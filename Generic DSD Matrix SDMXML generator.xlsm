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78" activeTab="24"/>
  </bookViews>
  <sheets>
    <sheet name="Generate SDMX &amp; Params"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nstraints" sheetId="88" state="hidden" r:id="rId9"/>
    <sheet name="CountDims" sheetId="77" state="hidden" r:id="rId10"/>
    <sheet name="XML_Fragments" sheetId="82" state="hidden" r:id="rId11"/>
    <sheet name="Constraints (2)" sheetId="89" state="hidden" r:id="rId12"/>
    <sheet name="ConstraintsSummary" sheetId="90" r:id="rId13"/>
    <sheet name="CL_FREQ" sheetId="54" r:id="rId14"/>
    <sheet name="XML_Output" sheetId="83" state="hidden" r:id="rId15"/>
    <sheet name="CL_AREA" sheetId="49" r:id="rId16"/>
    <sheet name="CL_MEASURE" sheetId="78" r:id="rId17"/>
    <sheet name="CL_UNIT_MEASURE" sheetId="80" r:id="rId18"/>
    <sheet name="CL_CONF_STATUS" sheetId="69" r:id="rId19"/>
    <sheet name="CL_OBS_STATUS" sheetId="70" r:id="rId20"/>
    <sheet name="CL_DECIMALS" sheetId="71" r:id="rId21"/>
    <sheet name="CL_TIME_FORMAT" sheetId="72" r:id="rId22"/>
    <sheet name="CL_UNIT_MULT" sheetId="73" r:id="rId23"/>
    <sheet name="CL_TRANSFORMATION" sheetId="100" r:id="rId24"/>
    <sheet name="New CL Template" sheetId="91" r:id="rId25"/>
  </sheets>
  <functionGroups builtInGroupCount="18"/>
  <definedNames>
    <definedName name="_xlnm._FilterDatabase" localSheetId="15" hidden="1">CL_AREA!$A$4:$B$971</definedName>
    <definedName name="_xlnm._FilterDatabase" localSheetId="13" hidden="1">CL_FREQ!$A$4:$B$4</definedName>
    <definedName name="_xlnm._FilterDatabase" localSheetId="16" hidden="1">CL_MEASURE!$A$1:$B$970</definedName>
    <definedName name="_xlnm._FilterDatabase" localSheetId="17" hidden="1">CL_UNIT_MEASURE!$A$1:$B$970</definedName>
    <definedName name="_xlnm._FilterDatabase" localSheetId="7" hidden="1">'DSD-Concept Matrix'!$H$5:$N$5</definedName>
    <definedName name="_xlnm._FilterDatabase" localSheetId="3" hidden="1">'Indicator-Concept Matrix'!$A$1:$A$556</definedName>
    <definedName name="_Toc521320262" localSheetId="15">CL_AREA!$F$1</definedName>
    <definedName name="ConAttrs">'DSD-Concept Matrix'!$Q$15:$T$16</definedName>
    <definedName name="ConAttrVals">'DSD-Concept Matrix'!$L$6:$N$89</definedName>
    <definedName name="ConDims">'DSD-Concept Matrix'!$H$3:$J$4</definedName>
    <definedName name="ConDimVals">'DSD-Concept Matrix'!$F$6:$AZ$100</definedName>
    <definedName name="CountConsforDSDs">CountDims!$CC$2:$CC$36</definedName>
    <definedName name="CountDSDs">CountDims!$A$2:$A$48</definedName>
    <definedName name="CountUniqueDSDs">CountDims!$AQ$2:$AQ$36</definedName>
    <definedName name="_xlnm.Criteria" localSheetId="3">'Indicator-Concept Matrix'!$D$2:$G$2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Matrix'!$D$6:$D$89</definedName>
    <definedName name="DSDIds">OFFSET(DSDs!$A$2,0,0,COUNTA(DSDs!$A:$A),1)</definedName>
    <definedName name="DSDs">'DSD-Concept Matrix'!$C$6:$C$89</definedName>
    <definedName name="FIRSTROW">CountDims!$AR$2:$CB$2</definedName>
    <definedName name="Functional_category">#VALUE!</definedName>
    <definedName name="International_account_item" localSheetId="16">#REF!</definedName>
    <definedName name="International_account_item" localSheetId="23">#REF!</definedName>
    <definedName name="International_account_item" localSheetId="17">#REF!</definedName>
    <definedName name="International_account_item" localSheetId="11">#REF!</definedName>
    <definedName name="International_account_item" localSheetId="6">#REF!</definedName>
    <definedName name="International_account_item">#REF!</definedName>
    <definedName name="old_iai" localSheetId="16">#REF!</definedName>
    <definedName name="old_iai" localSheetId="23">#REF!</definedName>
    <definedName name="old_iai" localSheetId="17">#REF!</definedName>
    <definedName name="old_iai" localSheetId="11">#REF!</definedName>
    <definedName name="old_iai" localSheetId="6">#REF!</definedName>
    <definedName name="old_iai">#REF!</definedName>
    <definedName name="old_range" localSheetId="16">#REF!</definedName>
    <definedName name="old_range" localSheetId="23">#REF!</definedName>
    <definedName name="old_range" localSheetId="17">#REF!</definedName>
    <definedName name="old_range" localSheetId="11">#REF!</definedName>
    <definedName name="old_range" localSheetId="6">#REF!</definedName>
    <definedName name="old_range">#REF!</definedName>
    <definedName name="old_test" localSheetId="16">#REF!</definedName>
    <definedName name="old_test" localSheetId="23">#REF!</definedName>
    <definedName name="old_test" localSheetId="17">#REF!</definedName>
    <definedName name="old_test" localSheetId="11">#REF!</definedName>
    <definedName name="old_test" localSheetId="6">#REF!</definedName>
    <definedName name="old_test">#REF!</definedName>
    <definedName name="old_test1" localSheetId="16">#REF!</definedName>
    <definedName name="old_test1" localSheetId="23">#REF!</definedName>
    <definedName name="old_test1" localSheetId="17">#REF!</definedName>
    <definedName name="old_test1" localSheetId="11">#REF!</definedName>
    <definedName name="old_test1" localSheetId="6">#REF!</definedName>
    <definedName name="old_test1">#REF!</definedName>
    <definedName name="Range_DSTNotes" localSheetId="16">#REF!</definedName>
    <definedName name="Range_DSTNotes" localSheetId="23">#REF!</definedName>
    <definedName name="Range_DSTNotes" localSheetId="17">#REF!</definedName>
    <definedName name="Range_DSTNotes" localSheetId="11">#REF!</definedName>
    <definedName name="Range_DSTNotes" localSheetId="6">#REF!</definedName>
    <definedName name="Range_DSTNotes">#REF!</definedName>
    <definedName name="Reporting_sector_financial">#VALUE!</definedName>
    <definedName name="Test" localSheetId="16">#REF!</definedName>
    <definedName name="Test" localSheetId="23">#REF!</definedName>
    <definedName name="Test" localSheetId="17">#REF!</definedName>
    <definedName name="Test" localSheetId="11">#REF!</definedName>
    <definedName name="Test" localSheetId="6">#REF!</definedName>
    <definedName name="Test">#REF!</definedName>
    <definedName name="Test1" localSheetId="16">#REF!</definedName>
    <definedName name="Test1" localSheetId="23">#REF!</definedName>
    <definedName name="Test1" localSheetId="17">#REF!</definedName>
    <definedName name="Test1" localSheetId="11">#REF!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5" hidden="1">CL_AREA!$A$4:$B$737</definedName>
    <definedName name="Z_609B000A_3B9D_4F2C_A882_9D8FED21A0B4_.wvu.FilterData" localSheetId="13" hidden="1">CL_FREQ!$A$4:$B$4</definedName>
    <definedName name="Z_609B000A_3B9D_4F2C_A882_9D8FED21A0B4_.wvu.FilterData" localSheetId="16" hidden="1">CL_MEASURE!$A$1:$B$736</definedName>
    <definedName name="Z_609B000A_3B9D_4F2C_A882_9D8FED21A0B4_.wvu.FilterData" localSheetId="17" hidden="1">CL_UNIT_MEASURE!$A$1:$B$736</definedName>
    <definedName name="Z_609B000A_3B9D_4F2C_A882_9D8FED21A0B4_.wvu.FilterData" localSheetId="7" hidden="1">'DSD-Concept Matrix'!$A$5:$M$84</definedName>
    <definedName name="Z_AA319F07_CC98_498A_B8F0_88469E3CB718_.wvu.Cols" localSheetId="7" hidden="1">'DSD-Concept Matrix'!#REF!</definedName>
    <definedName name="Z_AA319F07_CC98_498A_B8F0_88469E3CB718_.wvu.FilterData" localSheetId="15" hidden="1">CL_AREA!$A$4:$B$737</definedName>
    <definedName name="Z_AA319F07_CC98_498A_B8F0_88469E3CB718_.wvu.FilterData" localSheetId="13" hidden="1">CL_FREQ!$A$4:$B$4</definedName>
    <definedName name="Z_AA319F07_CC98_498A_B8F0_88469E3CB718_.wvu.FilterData" localSheetId="16" hidden="1">CL_MEASURE!$A$1:$B$736</definedName>
    <definedName name="Z_AA319F07_CC98_498A_B8F0_88469E3CB718_.wvu.FilterData" localSheetId="17" hidden="1">CL_UNIT_MEASURE!$A$1:$B$736</definedName>
    <definedName name="Z_AA319F07_CC98_498A_B8F0_88469E3CB718_.wvu.FilterData" localSheetId="7" hidden="1">'DSD-Concept Matrix'!$A$5:$M$84</definedName>
    <definedName name="Z_ACF55590_2DD5_4F64_8513_A5656764A8B4_.wvu.FilterData" localSheetId="15" hidden="1">CL_AREA!$A$4:$B$737</definedName>
    <definedName name="Z_ACF55590_2DD5_4F64_8513_A5656764A8B4_.wvu.FilterData" localSheetId="13" hidden="1">CL_FREQ!$A$4:$B$4</definedName>
    <definedName name="Z_ACF55590_2DD5_4F64_8513_A5656764A8B4_.wvu.FilterData" localSheetId="16" hidden="1">CL_MEASURE!$A$1:$B$736</definedName>
    <definedName name="Z_ACF55590_2DD5_4F64_8513_A5656764A8B4_.wvu.FilterData" localSheetId="17" hidden="1">CL_UNIT_MEASURE!$A$1:$B$736</definedName>
    <definedName name="Z_ACF55590_2DD5_4F64_8513_A5656764A8B4_.wvu.FilterData" localSheetId="7" hidden="1">'DSD-Concept Matrix'!$A$5:$M$84</definedName>
    <definedName name="Z_E66E0E75_407A_4A45_A7DD_4716A0845D40_.wvu.FilterData" localSheetId="15" hidden="1">CL_AREA!$A$4:$B$737</definedName>
    <definedName name="Z_E66E0E75_407A_4A45_A7DD_4716A0845D40_.wvu.FilterData" localSheetId="13" hidden="1">CL_FREQ!$A$4:$B$4</definedName>
    <definedName name="Z_E66E0E75_407A_4A45_A7DD_4716A0845D40_.wvu.FilterData" localSheetId="16" hidden="1">CL_MEASURE!$A$1:$B$736</definedName>
    <definedName name="Z_E66E0E75_407A_4A45_A7DD_4716A0845D40_.wvu.FilterData" localSheetId="17" hidden="1">CL_UNIT_MEASURE!$A$1:$B$736</definedName>
    <definedName name="Z_E66E0E75_407A_4A45_A7DD_4716A0845D40_.wvu.FilterData" localSheetId="7" hidden="1">'DSD-Concept Matrix'!$A$5:$M$84</definedName>
    <definedName name="Z_E7F7CB01_84EF_4CA7_B9F6_361080D9FD6D_.wvu.Cols" localSheetId="7" hidden="1">'DSD-Concept Matrix'!#REF!</definedName>
    <definedName name="Z_E7F7CB01_84EF_4CA7_B9F6_361080D9FD6D_.wvu.FilterData" localSheetId="15" hidden="1">CL_AREA!$A$4:$B$737</definedName>
    <definedName name="Z_E7F7CB01_84EF_4CA7_B9F6_361080D9FD6D_.wvu.FilterData" localSheetId="13" hidden="1">CL_FREQ!$A$4:$B$4</definedName>
    <definedName name="Z_E7F7CB01_84EF_4CA7_B9F6_361080D9FD6D_.wvu.FilterData" localSheetId="16" hidden="1">CL_MEASURE!$A$1:$B$736</definedName>
    <definedName name="Z_E7F7CB01_84EF_4CA7_B9F6_361080D9FD6D_.wvu.FilterData" localSheetId="17" hidden="1">CL_UNIT_MEASURE!$A$1:$B$736</definedName>
    <definedName name="Z_E7F7CB01_84EF_4CA7_B9F6_361080D9FD6D_.wvu.FilterData" localSheetId="7" hidden="1">'DSD-Concept Matrix'!$A$5:$M$84</definedName>
    <definedName name="Z_F7C97EE9_0129_4AF7_B3C1_B3102CE6FFA5_.wvu.FilterData" localSheetId="15" hidden="1">CL_AREA!$A$4:$B$737</definedName>
    <definedName name="Z_F7C97EE9_0129_4AF7_B3C1_B3102CE6FFA5_.wvu.FilterData" localSheetId="13" hidden="1">CL_FREQ!$A$4:$B$4</definedName>
    <definedName name="Z_F7C97EE9_0129_4AF7_B3C1_B3102CE6FFA5_.wvu.FilterData" localSheetId="16" hidden="1">CL_MEASURE!$A$1:$B$736</definedName>
    <definedName name="Z_F7C97EE9_0129_4AF7_B3C1_B3102CE6FFA5_.wvu.FilterData" localSheetId="17" hidden="1">CL_UNIT_MEASURE!$A$1:$B$736</definedName>
    <definedName name="Z_F7C97EE9_0129_4AF7_B3C1_B3102CE6FFA5_.wvu.FilterData" localSheetId="7" hidden="1">'DSD-Concept Matrix'!$A$5:$M$84</definedName>
    <definedName name="Z_FC4FBBDB_A3CF_4CB2_B1C9_D5DDEB34891E_.wvu.FilterData" localSheetId="15" hidden="1">CL_AREA!$A$4:$B$737</definedName>
    <definedName name="Z_FC4FBBDB_A3CF_4CB2_B1C9_D5DDEB34891E_.wvu.FilterData" localSheetId="13" hidden="1">CL_FREQ!$A$4:$B$4</definedName>
    <definedName name="Z_FC4FBBDB_A3CF_4CB2_B1C9_D5DDEB34891E_.wvu.FilterData" localSheetId="16" hidden="1">CL_MEASURE!$A$1:$B$736</definedName>
    <definedName name="Z_FC4FBBDB_A3CF_4CB2_B1C9_D5DDEB34891E_.wvu.FilterData" localSheetId="17" hidden="1">CL_UNIT_MEASURE!$A$1:$B$736</definedName>
    <definedName name="Z_FC4FBBDB_A3CF_4CB2_B1C9_D5DDEB34891E_.wvu.FilterData" localSheetId="7" hidden="1">'DSD-Concept Matrix'!$A$5:$M$84</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44" i="87" l="1"/>
  <c r="C45"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V7" i="77" l="1"/>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D7" authorId="0" shapeId="0">
      <text>
        <r>
          <rPr>
            <b/>
            <sz val="9"/>
            <color indexed="81"/>
            <rFont val="Tahoma"/>
            <charset val="1"/>
          </rPr>
          <t>BARRACLOUGH David:</t>
        </r>
        <r>
          <rPr>
            <sz val="9"/>
            <color indexed="81"/>
            <rFont val="Tahoma"/>
            <charset val="1"/>
          </rPr>
          <t xml:space="preserve">
What are fugitive emissions? Is it emissions or another type of SOURCE? What is the SECTOR?
</t>
        </r>
      </text>
    </comment>
  </commentList>
</comments>
</file>

<file path=xl/comments2.xml><?xml version="1.0" encoding="utf-8"?>
<comments xmlns="http://schemas.openxmlformats.org/spreadsheetml/2006/main">
  <authors>
    <author>Daniel SURANYI</author>
  </authors>
  <commentList>
    <comment ref="B54" authorId="0" shapeId="0">
      <text>
        <r>
          <rPr>
            <b/>
            <sz val="9"/>
            <color indexed="81"/>
            <rFont val="Tahoma"/>
            <family val="2"/>
          </rPr>
          <t>Daniel SURANYI:</t>
        </r>
        <r>
          <rPr>
            <sz val="9"/>
            <color indexed="81"/>
            <rFont val="Tahoma"/>
            <family val="2"/>
          </rPr>
          <t xml:space="preserve">
Label changed</t>
        </r>
      </text>
    </commen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BARRACLOUGH David</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13" authorId="1" shapeId="0">
      <text>
        <r>
          <rPr>
            <b/>
            <sz val="9"/>
            <color indexed="81"/>
            <rFont val="Tahoma"/>
            <family val="2"/>
          </rPr>
          <t>BARRACLOUGH David:</t>
        </r>
        <r>
          <rPr>
            <sz val="9"/>
            <color indexed="81"/>
            <rFont val="Tahoma"/>
            <family val="2"/>
          </rPr>
          <t xml:space="preserve">
Removed Employed and replaced with this
</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<sst xmlns="http://schemas.openxmlformats.org/spreadsheetml/2006/main" count="1109" uniqueCount="663">
  <si>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</si>
  <si>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</si>
  <si>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</si>
  <si>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</si>
  <si>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</si>
  <si>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</si>
  <si>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</si>
  <si>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</si>
  <si>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</si>
  <si>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</si>
  <si>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</si>
  <si>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</si>
  <si>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</si>
  <si>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</si>
  <si>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</si>
  <si>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</si>
  <si>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</si>
  <si>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</si>
  <si>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</si>
  <si>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</si>
  <si>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</si>
  <si>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</si>
  <si>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</si>
  <si>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Comments</t>
  </si>
  <si>
    <t>Annual</t>
  </si>
  <si>
    <t>Quarterly</t>
  </si>
  <si>
    <t>Hourly</t>
  </si>
  <si>
    <t>A (series, optional)</t>
  </si>
  <si>
    <t>CONF_STATUS</t>
  </si>
  <si>
    <t>DECIMALS</t>
  </si>
  <si>
    <t>OBS_STATUS</t>
  </si>
  <si>
    <t>TIME_FORMAT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</si>
  <si>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</si>
  <si>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</si>
  <si>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</si>
  <si>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</si>
  <si>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</si>
  <si>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</si>
  <si>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</si>
  <si>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</si>
  <si>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</si>
  <si>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</si>
  <si>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</si>
  <si>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</si>
  <si>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</si>
  <si>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</si>
  <si>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</si>
  <si>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</si>
  <si>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</si>
  <si>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</si>
  <si>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</si>
  <si>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</si>
  <si>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</si>
  <si>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</si>
  <si>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</si>
  <si>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</si>
  <si>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</si>
  <si>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</si>
  <si>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</si>
  <si>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</si>
  <si>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</si>
  <si>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</si>
  <si>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</si>
  <si>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</si>
  <si>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</si>
  <si>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</si>
  <si>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</si>
  <si>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</si>
  <si>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</si>
  <si>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</si>
  <si>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</si>
  <si>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</si>
  <si>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</si>
  <si>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</si>
  <si>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</si>
  <si>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</si>
  <si>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</si>
  <si>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</si>
  <si>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</si>
  <si>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</si>
  <si>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</si>
  <si>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</si>
  <si>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</si>
  <si>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</si>
  <si>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</si>
  <si>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</si>
  <si>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</si>
  <si>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</si>
  <si>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</si>
  <si>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</si>
  <si>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</si>
  <si>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</si>
  <si>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</si>
  <si>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</si>
  <si>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</si>
  <si>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</si>
  <si>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</si>
  <si>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</si>
  <si>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</si>
  <si>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</si>
  <si>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</si>
  <si>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</si>
  <si>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</si>
  <si>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</si>
  <si>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</si>
  <si>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</si>
  <si>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</si>
  <si>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</si>
  <si>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</si>
  <si>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</si>
  <si>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</si>
  <si>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</si>
  <si>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</si>
  <si>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</si>
  <si>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</si>
  <si>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</si>
  <si>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</si>
  <si>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</si>
  <si>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</si>
  <si>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</si>
  <si>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</si>
  <si>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</si>
  <si>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</si>
  <si>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</si>
  <si>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</si>
  <si>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</si>
  <si>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</si>
  <si>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</si>
  <si>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</si>
  <si>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</si>
  <si>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</si>
  <si>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</si>
  <si>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</si>
  <si>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</si>
  <si>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</si>
  <si>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</si>
  <si>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</si>
  <si>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</si>
  <si>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</si>
  <si>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</si>
  <si>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</si>
  <si>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</si>
  <si>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</si>
  <si>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</si>
  <si>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</si>
  <si>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</si>
  <si>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</si>
  <si>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</si>
  <si>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</si>
  <si>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</si>
  <si>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</si>
  <si>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</si>
  <si>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</si>
  <si>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</si>
  <si>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</si>
  <si>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</si>
  <si>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</si>
  <si>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</si>
  <si>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</si>
  <si>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</si>
  <si>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</si>
  <si>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</si>
  <si>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</si>
  <si>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</si>
  <si>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</si>
  <si>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</si>
  <si>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</si>
  <si>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</si>
  <si>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</si>
  <si>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</si>
  <si>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</si>
  <si>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</si>
  <si>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</si>
  <si>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</si>
  <si>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</si>
  <si>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</si>
  <si>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</si>
  <si>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</si>
  <si>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</si>
  <si>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</si>
  <si>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</si>
  <si>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</si>
  <si>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</si>
  <si>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</si>
  <si>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</si>
  <si>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</si>
  <si>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</si>
  <si>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</si>
  <si>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</si>
  <si>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</si>
  <si>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</si>
  <si>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</si>
  <si>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</si>
  <si>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</si>
  <si>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</si>
  <si>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</si>
  <si>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</si>
  <si>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</si>
  <si>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</si>
  <si>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</si>
  <si>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</si>
  <si>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</si>
  <si>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</si>
  <si>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</si>
  <si>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</si>
  <si>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</si>
  <si>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</si>
  <si>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</si>
  <si>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</si>
  <si>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</si>
  <si>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</si>
  <si>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</si>
  <si>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</si>
  <si>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</si>
  <si>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</si>
  <si>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</si>
  <si>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</si>
  <si>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</si>
  <si>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</si>
  <si>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</si>
  <si>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</si>
  <si>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</si>
  <si>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</si>
  <si>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</si>
  <si>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</si>
  <si>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</si>
  <si>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</si>
  <si>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</si>
  <si>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</si>
  <si>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</si>
  <si>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</si>
  <si>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</si>
  <si>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</si>
  <si>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</si>
  <si>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</si>
  <si>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</si>
  <si>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</si>
  <si>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</si>
  <si>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</si>
  <si>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</si>
  <si>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</si>
  <si>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</si>
  <si>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</si>
  <si>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</si>
  <si>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</si>
  <si>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</si>
  <si>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</si>
  <si>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</si>
  <si>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MAIN</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</si>
  <si>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</si>
  <si>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</si>
  <si>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</si>
  <si>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</si>
  <si>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</si>
  <si>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</si>
  <si>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</si>
  <si>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</si>
  <si>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</si>
  <si>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</si>
  <si>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</si>
  <si>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</si>
  <si>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</si>
  <si>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</si>
  <si>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</si>
  <si>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First DSD</t>
  </si>
  <si>
    <t>This is the first</t>
  </si>
  <si>
    <t>ELF</t>
  </si>
  <si>
    <t>Extended labour force</t>
  </si>
  <si>
    <t>PLF</t>
  </si>
  <si>
    <t>Potential labour force</t>
  </si>
  <si>
    <t>LF</t>
  </si>
  <si>
    <t>Labour force</t>
  </si>
  <si>
    <t>EMP</t>
  </si>
  <si>
    <t>Employment</t>
  </si>
  <si>
    <t>Time-related underemployment</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</si>
  <si>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</si>
  <si>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</si>
  <si>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</si>
  <si>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</si>
  <si>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</si>
  <si>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</si>
  <si>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 main 1</t>
  </si>
  <si>
    <t>Dataflow main 1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</si>
  <si>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</si>
  <si>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</si>
  <si>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</si>
  <si>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</si>
  <si>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</si>
  <si>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</si>
  <si>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</si>
  <si>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Freq Desc</t>
  </si>
  <si>
    <t>Total emissions, Index 1990 = 100</t>
  </si>
  <si>
    <t>Total emissions, Index 2000 = 100</t>
  </si>
  <si>
    <t>Total emission intensities</t>
  </si>
  <si>
    <t>Miscellaneous</t>
  </si>
  <si>
    <t>Agriculture</t>
  </si>
  <si>
    <t>Energy</t>
  </si>
  <si>
    <t>Waste</t>
  </si>
  <si>
    <t>Other Mobile Sources</t>
  </si>
  <si>
    <t>Road Transport</t>
  </si>
  <si>
    <t>Total Mobile Sources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</si>
  <si>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</si>
  <si>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</si>
  <si>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</si>
  <si>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</si>
  <si>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</si>
  <si>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</si>
  <si>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</si>
  <si>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</si>
  <si>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</si>
  <si>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</si>
  <si>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AIR_EMISSIONS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</si>
  <si>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</si>
  <si>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</si>
  <si>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</si>
  <si>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</si>
  <si>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</si>
  <si>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</si>
  <si>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</si>
  <si>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</si>
  <si>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</si>
  <si>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</si>
  <si>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</si>
  <si>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</si>
  <si>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</si>
  <si>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</si>
  <si>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</si>
  <si>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</si>
  <si>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</si>
  <si>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</si>
  <si>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</si>
  <si>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</si>
  <si>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</si>
  <si>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</si>
  <si>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</si>
  <si>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</si>
  <si>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</si>
  <si>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</si>
  <si>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</si>
  <si>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</si>
  <si>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</si>
  <si>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</si>
  <si>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</si>
  <si>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</si>
  <si>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</si>
  <si>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</si>
  <si>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</si>
  <si>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</si>
  <si>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</si>
  <si>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</si>
  <si>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</si>
  <si>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</si>
  <si>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</si>
  <si>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</si>
  <si>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</si>
  <si>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</si>
  <si>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</si>
  <si>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</si>
  <si>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</si>
  <si>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</si>
  <si>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</si>
  <si>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</si>
  <si>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</si>
  <si>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</si>
  <si>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</si>
  <si>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</si>
  <si>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</si>
  <si>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</si>
  <si>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</si>
  <si>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</si>
  <si>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</si>
  <si>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</si>
  <si>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</si>
  <si>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</si>
  <si>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</si>
  <si>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</si>
  <si>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</si>
  <si>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</si>
  <si>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</si>
  <si>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</si>
  <si>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</si>
  <si>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</si>
  <si>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</si>
  <si>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</si>
  <si>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</si>
  <si>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</si>
  <si>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</si>
  <si>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</si>
  <si>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</si>
  <si>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</si>
  <si>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</si>
  <si>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</si>
  <si>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</si>
  <si>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</si>
  <si>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</si>
  <si>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</si>
  <si>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</si>
  <si>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</si>
  <si>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</si>
  <si>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</si>
  <si>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</si>
  <si>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</si>
  <si>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</si>
  <si>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</si>
  <si>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</si>
  <si>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</si>
  <si>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</si>
  <si>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</si>
  <si>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</si>
  <si>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</si>
  <si>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</si>
  <si>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</si>
  <si>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</si>
  <si>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</si>
  <si>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</si>
  <si>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</si>
  <si>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</si>
  <si>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</si>
  <si>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</si>
  <si>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</si>
  <si>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</si>
  <si>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</si>
  <si>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</si>
  <si>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</si>
  <si>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Index</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</si>
  <si>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</si>
  <si>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</si>
  <si>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</si>
  <si>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</si>
  <si>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</si>
  <si>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</si>
  <si>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</si>
  <si>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</si>
  <si>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</si>
  <si>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</si>
  <si>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</si>
  <si>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</si>
  <si>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</si>
  <si>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</si>
  <si>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</si>
  <si>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</si>
  <si>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</si>
  <si>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</si>
  <si>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</si>
  <si>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</si>
  <si>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</si>
  <si>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</si>
  <si>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</si>
  <si>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</si>
  <si>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</si>
  <si>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</si>
  <si>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</si>
  <si>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</si>
  <si>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</si>
  <si>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</si>
  <si>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</si>
  <si>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</si>
  <si>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</si>
  <si>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</si>
  <si>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</si>
  <si>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</si>
  <si>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</si>
  <si>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</si>
  <si>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</si>
  <si>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</si>
  <si>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</si>
  <si>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</si>
  <si>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</si>
  <si>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</si>
  <si>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</si>
  <si>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</si>
  <si>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</si>
  <si>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</si>
  <si>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</si>
  <si>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</si>
  <si>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</si>
  <si>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</si>
  <si>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</si>
  <si>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</si>
  <si>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</si>
  <si>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</si>
  <si>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</si>
  <si>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</si>
  <si>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</si>
  <si>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</si>
  <si>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</si>
  <si>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</si>
  <si>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</si>
  <si>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</si>
  <si>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</si>
  <si>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</si>
  <si>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</si>
  <si>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</si>
  <si>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</si>
  <si>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</si>
  <si>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</si>
  <si>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</si>
  <si>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</si>
  <si>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AD,AE</t>
  </si>
  <si>
    <t>US,AE</t>
  </si>
  <si>
    <t>Concepts</t>
  </si>
  <si>
    <t>CONSTRAINTS</t>
  </si>
  <si>
    <t>Dataflows</t>
  </si>
  <si>
    <t>ParentCode</t>
  </si>
  <si>
    <t>Area Desc</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</si>
  <si>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</si>
  <si>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</si>
  <si>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</si>
  <si>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</si>
  <si>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</si>
  <si>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</si>
  <si>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</si>
  <si>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</si>
  <si>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</si>
  <si>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</si>
  <si>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</si>
  <si>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</si>
  <si>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</si>
  <si>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</si>
  <si>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</si>
  <si>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</si>
  <si>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</si>
  <si>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</si>
  <si>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</si>
  <si>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</si>
  <si>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</si>
  <si>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</si>
  <si>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</si>
  <si>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</si>
  <si>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</si>
  <si>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</si>
  <si>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</si>
  <si>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</si>
  <si>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</si>
  <si>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</si>
  <si>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</si>
  <si>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</si>
  <si>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</si>
  <si>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</si>
  <si>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</si>
  <si>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</si>
  <si>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</si>
  <si>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</si>
  <si>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</si>
  <si>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</si>
  <si>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</si>
  <si>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</si>
  <si>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</si>
  <si>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</si>
  <si>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</si>
  <si>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</si>
  <si>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</si>
  <si>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</si>
  <si>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</si>
  <si>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CR_MAIN@1</t>
  </si>
  <si>
    <t>A,Q,M</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</si>
  <si>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</si>
  <si>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</si>
  <si>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</si>
  <si>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</si>
  <si>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</si>
  <si>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</si>
  <si>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</si>
  <si>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</si>
  <si>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</si>
  <si>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</si>
  <si>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</si>
  <si>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</si>
  <si>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</si>
  <si>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</si>
  <si>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</si>
  <si>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</si>
  <si>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</si>
  <si>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</si>
  <si>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</si>
  <si>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A,B,D,E</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</si>
  <si>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</si>
  <si>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</si>
  <si>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</si>
  <si>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</si>
  <si>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</si>
  <si>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</si>
  <si>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</si>
  <si>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</si>
  <si>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</si>
  <si>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</si>
  <si>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</si>
  <si>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</si>
  <si>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</si>
  <si>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</si>
  <si>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</si>
  <si>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TRANSFORMATION</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</si>
  <si>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</si>
  <si>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</si>
  <si>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</si>
  <si>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</si>
  <si>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</si>
  <si>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</si>
  <si>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</si>
  <si>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</si>
  <si>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</si>
  <si>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</si>
  <si>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</si>
  <si>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</si>
  <si>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</si>
  <si>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</si>
  <si>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</si>
  <si>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</si>
  <si>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</si>
  <si>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</si>
  <si>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</si>
  <si>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</si>
  <si>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</si>
  <si>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</si>
  <si>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</si>
  <si>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</si>
  <si>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</si>
  <si>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</si>
  <si>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</si>
  <si>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</si>
  <si>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</si>
  <si>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</si>
  <si>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</si>
  <si>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CL_TRANSFORMATION</t>
  </si>
  <si>
    <t>Transformation</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</si>
  <si>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</si>
  <si>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</si>
  <si>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</si>
  <si>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</si>
  <si>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</si>
  <si>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</si>
  <si>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</si>
  <si>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</si>
  <si>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</si>
  <si>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</si>
  <si>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</si>
  <si>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</si>
  <si>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</si>
  <si>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</si>
  <si>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</si>
  <si>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</si>
  <si>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</si>
  <si>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</si>
  <si>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</si>
  <si>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</si>
  <si>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</si>
  <si>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</si>
  <si>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</si>
  <si>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</si>
  <si>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</si>
  <si>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</si>
  <si>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</si>
  <si>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</si>
  <si>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</si>
  <si>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</si>
  <si>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</si>
  <si>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</si>
  <si>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</si>
  <si>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</si>
  <si>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</si>
  <si>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https://registry.sdmx.org/schemas/v2_1/SDMXMessage.xsd"&gt;&lt;mes:Header&gt;&lt;mes:ID&gt;IDREF9017&lt;/mes:ID&gt;&lt;mes:Test&gt;false&lt;/mes:Test&gt;&lt;mes:Prepared&gt;2019-01-10T17:23:33&lt;/mes:Prepared&gt;&lt;mes:Sender id="OECD"/&gt;&lt;mes:Receiver id="OECD"/&gt;&lt;/mes:Header&gt;&lt;mes:Structures&gt;&lt;str:Dataflows&gt;&lt;str:Dataflow xmlns:str="http://www.sdmx.org/resources/sdmxml/schemas/v2_1/structure" xmlns:com="http://www.sdmx.org/resources/sdmxml/schemas/v2_1/common" id="MAIN@1" urn="urn:sdmx:org.sdmx.infomodel.datastructure.Dataflow=OECD:MAIN@1(1.0)" isExternalReference="false" agencyID="OECD" isFinal="false" version="1.0"&gt;&lt;com:Name xml:lang="en"&gt;Dataflow main 1&lt;/com:Name&gt;&lt;com:Description xml:lang="en"&gt;Dataflow main 1 desc&lt;/com:Description&gt;&lt;str:Structure&gt;&lt;Ref id="MAIN" package="datastructure" class="DataStructure" agencyID="OECD" version="1.0"/&gt;&lt;/str:Structure&gt;&lt;/str:Dataflow&gt;&lt;/str:Dataflows&gt;&lt;str:Categorisations&gt;&lt;str:Categorisation xmlns:str="http://www.sdmx.org/resources/sdmxml/schemas/v2_1/structure" xmlns:com="http://www.sdmx.org/resources/sdmxml/schemas/v2_1/common" id="SDD_MAIN@1" urn="urn:sdmx:org.sdmx.infomodel.categoryscheme.Categorisation=OECD:SDD_MAIN@1(1.0)" agencyID="OECD" version="1.0" isFinal="false"&gt;&lt;com:Name xml:lang="en"&gt;Dataflow main 1 for SDD&lt;/com:Name&gt;&lt;str:Source&gt;&lt;Ref id="MAIN@1" version="1.0" agencyID="OECD" package="datastructure" class="Dataflow"/&gt;&lt;/str:Source&gt;&lt;str:Target&gt;&lt;Ref id="SDD" maintainableParentID="OECDCAT" maintainableParentVersion="1.0" agencyID="OECD" package="categoryscheme" class="Category"/&gt;&lt;/str:Target&gt;&lt;/str:Categorisation&gt;&lt;/str:Categorisations&gt;&lt;str:Constraints&gt;&lt;str:ContentConstraint xmlns:str="http://www.sdmx.org/resources/sdmxml/schemas/v2_1/structure" xmlns:com="http://www.sdmx.org/resources/sdmxml/schemas/v2_1/common" id="CR_MAIN@1" urn="urn:sdmx:org.sdmx.infomodel.registry.ContentConstraint=OECD:CR_MAIN@1(1.0)" isExternalReference="false" agencyID="OECD" type="Allowed" isFinal="false" version="1.0"&gt;&lt;com:Name xml:lang="en"&gt;CR_MAIN@1&lt;/com:Name&gt;&lt;com:Description xml:lang="en"&gt;&lt;/com:Description&gt;&lt;str:ConstraintAttachment&gt;&lt;str:Dataflow&gt;&lt;Ref id="MAIN@1" package="datastructure" class="Dataflow" agencyID="OECD" version="1.0"/&gt;&lt;/str:Dataflow&gt;&lt;/str:ConstraintAttachment&gt;&lt;str:CubeRegion include="true"&gt;&lt;com:KeyValue id="FREQ"&gt;&lt;com:Value&gt;A&lt;/com:Value&gt;&lt;com:Value&gt;Q&lt;/com:Value&gt;&lt;com:Value&gt;M&lt;/com:Value&gt;&lt;/com:KeyValue&gt;&lt;com:Attribute id="OBS_STATUS"&gt;&lt;com:Value&gt;A&lt;/com:Value&gt;&lt;com:Value&gt;B&lt;/com:Value&gt;&lt;com:Value&gt;D&lt;/com:Value&gt;&lt;com:Value&gt;E&lt;/com:Value&gt;&lt;/com:Attribute&gt;&lt;/str:CubeRegion&gt;&lt;/str:ContentConstraint&gt;_x000D_
		&lt;/str:Constraints&gt;&lt;/mes:Structures&gt;&lt;/mes:Structure&gt;_x000D_
</t>
  </si>
  <si>
    <t>Choose which artefacts to generate by changing the Generate? Column: 1=Generate</t>
  </si>
  <si>
    <t>Ensure that the values in row 1 (Agency Id, Version, etc.) are entered. Ensure that the values are for the codelist, they may be different from the concept values (e.g.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</si>
</sst>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b/>
      <sz val="9"/>
      <color theme="1"/>
      <name val="Arial"/>
      <family val="2"/>
    </font>
    <font>
      <sz val="9"/>
      <color theme="1"/>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u/>
      <sz val="10"/>
      <color indexed="12"/>
      <name val="Calibri"/>
      <family val="2"/>
      <scheme val="minor"/>
    </font>
    <font>
      <vertAlign val="superscript"/>
      <sz val="11"/>
      <name val="Calibri"/>
      <family val="2"/>
      <scheme val="minor"/>
    </font>
    <font>
      <u/>
      <sz val="20"/>
      <color indexed="12"/>
      <name val="Arial"/>
      <family val="2"/>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DCE6F1"/>
        <bgColor indexed="64"/>
      </patternFill>
    </fill>
    <fill>
      <patternFill patternType="solid">
        <fgColor theme="6"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8" applyNumberFormat="0" applyAlignment="0" applyProtection="0"/>
    <xf numFmtId="0" fontId="26" fillId="28" borderId="9"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8" applyNumberFormat="0" applyAlignment="0" applyProtection="0"/>
    <xf numFmtId="0" fontId="34" fillId="0" borderId="13"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4" applyNumberFormat="0" applyFont="0" applyAlignment="0" applyProtection="0"/>
    <xf numFmtId="0" fontId="2" fillId="32" borderId="14" applyNumberFormat="0" applyFont="0" applyAlignment="0" applyProtection="0"/>
    <xf numFmtId="0" fontId="2" fillId="32" borderId="14" applyNumberFormat="0" applyFont="0" applyAlignment="0" applyProtection="0"/>
    <xf numFmtId="0" fontId="38" fillId="27" borderId="15" applyNumberFormat="0" applyAlignment="0" applyProtection="0"/>
    <xf numFmtId="0" fontId="11" fillId="0" borderId="0">
      <alignment vertical="top"/>
    </xf>
    <xf numFmtId="0" fontId="39" fillId="0" borderId="0" applyNumberFormat="0" applyFill="0" applyBorder="0" applyAlignment="0" applyProtection="0"/>
    <xf numFmtId="0" fontId="40" fillId="0" borderId="16"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301">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5" xfId="55" applyFont="1" applyFill="1" applyBorder="1" applyAlignment="1">
      <alignment horizontal="left" vertical="center"/>
    </xf>
    <xf numFmtId="0" fontId="45" fillId="0" borderId="5" xfId="55" applyFont="1" applyFill="1" applyBorder="1" applyAlignment="1">
      <alignment horizontal="left" vertical="center" wrapText="1"/>
    </xf>
    <xf numFmtId="164" fontId="44" fillId="0" borderId="0" xfId="55" applyNumberFormat="1" applyFont="1"/>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5" xfId="78" applyFont="1" applyFill="1" applyBorder="1" applyAlignment="1">
      <alignment horizontal="left" vertical="center"/>
    </xf>
    <xf numFmtId="0" fontId="45" fillId="0" borderId="5" xfId="55" applyFont="1" applyFill="1" applyBorder="1" applyAlignment="1">
      <alignment horizontal="center" vertical="center" wrapText="1"/>
    </xf>
    <xf numFmtId="0" fontId="5" fillId="0" borderId="0" xfId="212" applyFont="1" applyFill="1"/>
    <xf numFmtId="0" fontId="40" fillId="37" borderId="3" xfId="106" applyFont="1" applyFill="1" applyBorder="1" applyAlignment="1">
      <alignment horizontal="left" vertical="center" wrapText="1"/>
    </xf>
    <xf numFmtId="0" fontId="54" fillId="0" borderId="0" xfId="106" applyFont="1" applyFill="1"/>
    <xf numFmtId="0" fontId="54"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5" fillId="0" borderId="1" xfId="106" applyFont="1" applyFill="1" applyBorder="1" applyAlignment="1">
      <alignment horizontal="center" vertical="center" textRotation="90" wrapText="1"/>
    </xf>
    <xf numFmtId="0" fontId="55" fillId="34" borderId="1" xfId="106" applyFont="1" applyFill="1" applyBorder="1" applyAlignment="1">
      <alignment horizontal="left" wrapText="1"/>
    </xf>
    <xf numFmtId="0" fontId="54" fillId="0" borderId="0" xfId="0" applyFont="1"/>
    <xf numFmtId="0" fontId="50" fillId="0" borderId="0" xfId="0" applyFont="1"/>
    <xf numFmtId="0" fontId="56" fillId="0" borderId="0" xfId="0" applyFont="1"/>
    <xf numFmtId="0" fontId="57" fillId="0" borderId="0" xfId="0" applyFont="1"/>
    <xf numFmtId="0" fontId="45" fillId="0" borderId="17" xfId="55" applyFont="1" applyFill="1" applyBorder="1" applyAlignment="1">
      <alignment horizontal="center" vertical="top" wrapText="1"/>
    </xf>
    <xf numFmtId="0" fontId="45" fillId="0" borderId="17" xfId="55" applyFont="1" applyFill="1" applyBorder="1" applyAlignment="1">
      <alignment horizontal="left" vertical="top" wrapText="1"/>
    </xf>
    <xf numFmtId="0" fontId="40" fillId="0" borderId="0" xfId="0" applyFont="1"/>
    <xf numFmtId="0" fontId="0" fillId="39" borderId="1" xfId="106" applyFont="1" applyFill="1" applyBorder="1" applyAlignment="1">
      <alignment horizontal="center"/>
    </xf>
    <xf numFmtId="0" fontId="59" fillId="0" borderId="0" xfId="0" applyFont="1" applyAlignment="1">
      <alignment vertical="center"/>
    </xf>
    <xf numFmtId="0" fontId="0" fillId="0" borderId="0" xfId="0" applyFont="1"/>
    <xf numFmtId="0" fontId="40" fillId="0" borderId="0" xfId="0" applyFont="1" applyAlignment="1">
      <alignment wrapText="1"/>
    </xf>
    <xf numFmtId="0" fontId="60" fillId="36" borderId="0" xfId="106" applyFont="1" applyFill="1" applyAlignment="1">
      <alignment horizontal="center" wrapText="1"/>
    </xf>
    <xf numFmtId="0" fontId="53" fillId="0" borderId="0" xfId="213" applyFont="1" applyFill="1"/>
    <xf numFmtId="0" fontId="61" fillId="0" borderId="0" xfId="213" applyFont="1" applyFill="1"/>
    <xf numFmtId="49" fontId="54" fillId="0" borderId="0" xfId="0" applyNumberFormat="1" applyFont="1" applyFill="1" applyBorder="1" applyAlignment="1">
      <alignment horizontal="center" vertical="center" wrapText="1"/>
    </xf>
    <xf numFmtId="0" fontId="54" fillId="0" borderId="0" xfId="0" applyFont="1" applyFill="1" applyBorder="1" applyAlignment="1">
      <alignment wrapText="1"/>
    </xf>
    <xf numFmtId="0" fontId="54" fillId="0" borderId="0" xfId="0" applyFont="1" applyFill="1" applyBorder="1" applyAlignment="1">
      <alignment horizontal="center" vertical="center"/>
    </xf>
    <xf numFmtId="0" fontId="54" fillId="0" borderId="4" xfId="0" applyFont="1" applyBorder="1" applyAlignment="1">
      <alignment horizontal="left"/>
    </xf>
    <xf numFmtId="0" fontId="54" fillId="0" borderId="4" xfId="212" applyFont="1" applyFill="1" applyBorder="1" applyAlignment="1">
      <alignment horizontal="left"/>
    </xf>
    <xf numFmtId="49" fontId="0" fillId="0" borderId="0" xfId="0" applyNumberFormat="1" applyAlignment="1">
      <alignment wrapText="1"/>
    </xf>
    <xf numFmtId="0" fontId="63" fillId="0" borderId="0" xfId="0" applyFont="1"/>
    <xf numFmtId="49" fontId="0" fillId="0" borderId="0" xfId="0" applyNumberFormat="1"/>
    <xf numFmtId="49" fontId="45" fillId="0" borderId="5" xfId="78" applyNumberFormat="1" applyFont="1" applyFill="1" applyBorder="1" applyAlignment="1">
      <alignment horizontal="left" vertical="center"/>
    </xf>
    <xf numFmtId="49" fontId="44" fillId="0" borderId="0" xfId="55" applyNumberFormat="1" applyFont="1"/>
    <xf numFmtId="0" fontId="64" fillId="0" borderId="0" xfId="0" applyFont="1"/>
    <xf numFmtId="0" fontId="65" fillId="0" borderId="0" xfId="0" applyFont="1"/>
    <xf numFmtId="0" fontId="66" fillId="0" borderId="0" xfId="0" applyFont="1"/>
    <xf numFmtId="0" fontId="67" fillId="0" borderId="0" xfId="48" applyFont="1" applyAlignment="1" applyProtection="1"/>
    <xf numFmtId="49" fontId="3" fillId="0" borderId="0" xfId="0" applyNumberFormat="1" applyFont="1"/>
    <xf numFmtId="0" fontId="68" fillId="0" borderId="0" xfId="48" applyFont="1" applyAlignment="1" applyProtection="1"/>
    <xf numFmtId="0" fontId="54" fillId="0" borderId="4" xfId="0" applyFont="1" applyBorder="1" applyAlignment="1">
      <alignment horizontal="left" vertical="top"/>
    </xf>
    <xf numFmtId="0" fontId="54" fillId="0" borderId="4" xfId="212" applyFont="1" applyFill="1" applyBorder="1" applyAlignment="1">
      <alignment horizontal="left" vertical="top"/>
    </xf>
    <xf numFmtId="0" fontId="54" fillId="0" borderId="0" xfId="0" applyFont="1" applyAlignment="1">
      <alignment horizontal="left" vertical="top"/>
    </xf>
    <xf numFmtId="49" fontId="54" fillId="0" borderId="0" xfId="0" applyNumberFormat="1" applyFont="1" applyFill="1" applyBorder="1" applyAlignment="1">
      <alignment horizontal="left" vertical="top" wrapText="1"/>
    </xf>
    <xf numFmtId="0" fontId="54" fillId="0" borderId="0" xfId="0" applyFont="1" applyFill="1" applyBorder="1" applyAlignment="1">
      <alignment horizontal="left" vertical="top" wrapText="1"/>
    </xf>
    <xf numFmtId="0" fontId="54" fillId="0" borderId="0" xfId="0" applyFont="1" applyFill="1" applyBorder="1" applyAlignment="1">
      <alignment horizontal="left" vertical="top"/>
    </xf>
    <xf numFmtId="0" fontId="50" fillId="0" borderId="0" xfId="0" applyFont="1" applyAlignment="1">
      <alignment horizontal="left"/>
    </xf>
    <xf numFmtId="0" fontId="61"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69" fillId="0" borderId="0" xfId="0" applyFont="1"/>
    <xf numFmtId="0" fontId="69" fillId="0" borderId="0" xfId="0" applyNumberFormat="1" applyFont="1"/>
    <xf numFmtId="0" fontId="55" fillId="34" borderId="0" xfId="106" applyFont="1" applyFill="1" applyBorder="1" applyAlignment="1">
      <alignment horizontal="left" wrapText="1"/>
    </xf>
    <xf numFmtId="0" fontId="21" fillId="34" borderId="0" xfId="106" applyFont="1" applyFill="1" applyBorder="1" applyAlignment="1">
      <alignment horizontal="left" wrapText="1"/>
    </xf>
    <xf numFmtId="0" fontId="50" fillId="0" borderId="0" xfId="0" applyFont="1" applyBorder="1"/>
    <xf numFmtId="0" fontId="50" fillId="0" borderId="19" xfId="0" applyFont="1" applyBorder="1" applyAlignment="1">
      <alignment horizontal="left" vertical="top"/>
    </xf>
    <xf numFmtId="0" fontId="50" fillId="0" borderId="0" xfId="0" applyFont="1" applyAlignment="1">
      <alignment wrapText="1"/>
    </xf>
    <xf numFmtId="0" fontId="63" fillId="0" borderId="0" xfId="0" applyFont="1" applyAlignment="1">
      <alignment vertical="top"/>
    </xf>
    <xf numFmtId="0" fontId="63" fillId="0" borderId="0" xfId="0" applyFont="1" applyAlignment="1">
      <alignment vertical="top" wrapText="1"/>
    </xf>
    <xf numFmtId="0" fontId="71" fillId="0" borderId="0" xfId="0" applyFont="1" applyAlignment="1">
      <alignment horizontal="left" vertical="top"/>
    </xf>
    <xf numFmtId="0" fontId="50" fillId="0" borderId="0" xfId="0" applyFont="1" applyAlignment="1">
      <alignment horizontal="center" vertical="top"/>
    </xf>
    <xf numFmtId="0" fontId="72" fillId="0" borderId="0" xfId="0" applyFont="1"/>
    <xf numFmtId="0" fontId="50" fillId="0" borderId="0" xfId="223" applyFont="1" applyFill="1" applyBorder="1" applyAlignment="1">
      <alignment wrapText="1"/>
    </xf>
    <xf numFmtId="0" fontId="50" fillId="0" borderId="0" xfId="224" applyFont="1" applyBorder="1"/>
    <xf numFmtId="0" fontId="4" fillId="0" borderId="0" xfId="48" applyAlignment="1" applyProtection="1"/>
    <xf numFmtId="0" fontId="50" fillId="0" borderId="18" xfId="48" applyFont="1" applyBorder="1" applyAlignment="1" applyProtection="1">
      <alignment horizontal="left" vertical="top"/>
    </xf>
    <xf numFmtId="0" fontId="50" fillId="0" borderId="19" xfId="48" applyFont="1" applyBorder="1" applyAlignment="1" applyProtection="1">
      <alignment horizontal="left" vertical="top"/>
    </xf>
    <xf numFmtId="0" fontId="49" fillId="0" borderId="0" xfId="48" applyFont="1" applyAlignment="1" applyProtection="1">
      <alignment horizontal="left" vertical="top"/>
    </xf>
    <xf numFmtId="0" fontId="53" fillId="40" borderId="0" xfId="213" applyFont="1" applyFill="1" applyAlignment="1">
      <alignment vertical="top"/>
    </xf>
    <xf numFmtId="0" fontId="61" fillId="40" borderId="0" xfId="213" applyFont="1" applyFill="1" applyAlignment="1">
      <alignment vertical="top"/>
    </xf>
    <xf numFmtId="0" fontId="54" fillId="40" borderId="0" xfId="0" applyFont="1" applyFill="1" applyAlignment="1">
      <alignment vertical="top"/>
    </xf>
    <xf numFmtId="0" fontId="53" fillId="40" borderId="0" xfId="213" applyFont="1" applyFill="1"/>
    <xf numFmtId="0" fontId="61" fillId="40" borderId="0" xfId="213" applyFont="1" applyFill="1"/>
    <xf numFmtId="0" fontId="54" fillId="40" borderId="0" xfId="0"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2" fillId="35" borderId="0" xfId="0" applyFont="1" applyFill="1" applyAlignment="1">
      <alignment horizontal="left"/>
    </xf>
    <xf numFmtId="0" fontId="62" fillId="35" borderId="0" xfId="0" applyFont="1" applyFill="1"/>
    <xf numFmtId="0" fontId="74" fillId="35" borderId="2" xfId="0" applyFont="1" applyFill="1" applyBorder="1"/>
    <xf numFmtId="0" fontId="70"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4" fillId="35" borderId="0" xfId="0" applyFont="1" applyFill="1" applyAlignment="1">
      <alignment vertical="top"/>
    </xf>
    <xf numFmtId="49" fontId="54" fillId="35" borderId="0" xfId="0" applyNumberFormat="1" applyFont="1" applyFill="1" applyBorder="1" applyAlignment="1">
      <alignment horizontal="center" vertical="top" wrapText="1"/>
    </xf>
    <xf numFmtId="0" fontId="54" fillId="35" borderId="0" xfId="0" applyFont="1" applyFill="1" applyBorder="1" applyAlignment="1">
      <alignment vertical="top" wrapText="1"/>
    </xf>
    <xf numFmtId="0" fontId="54" fillId="0" borderId="4" xfId="0" applyFont="1" applyFill="1" applyBorder="1" applyAlignment="1">
      <alignment horizontal="left" vertical="top"/>
    </xf>
    <xf numFmtId="0" fontId="53" fillId="33" borderId="0" xfId="213" applyFont="1" applyFill="1"/>
    <xf numFmtId="0" fontId="61" fillId="33" borderId="0" xfId="213" applyFont="1" applyFill="1"/>
    <xf numFmtId="0" fontId="53" fillId="33" borderId="0" xfId="213" applyFont="1" applyFill="1" applyAlignment="1">
      <alignment vertical="top"/>
    </xf>
    <xf numFmtId="0" fontId="61" fillId="33" borderId="0" xfId="213" applyFont="1" applyFill="1" applyAlignment="1">
      <alignment vertical="top"/>
    </xf>
    <xf numFmtId="0" fontId="54" fillId="38" borderId="1" xfId="0" applyFont="1" applyFill="1" applyBorder="1" applyAlignment="1">
      <alignment vertical="top" wrapText="1"/>
    </xf>
    <xf numFmtId="0" fontId="4" fillId="38" borderId="1" xfId="48" applyFill="1" applyBorder="1" applyAlignment="1" applyProtection="1"/>
    <xf numFmtId="0" fontId="54" fillId="38" borderId="1" xfId="0" applyFont="1" applyFill="1" applyBorder="1" applyAlignment="1">
      <alignment horizontal="left" vertical="top"/>
    </xf>
    <xf numFmtId="0" fontId="57" fillId="38" borderId="1" xfId="0" applyFont="1" applyFill="1" applyBorder="1" applyAlignment="1">
      <alignment vertical="top" wrapText="1"/>
    </xf>
    <xf numFmtId="0" fontId="0" fillId="38" borderId="1" xfId="0" applyFill="1" applyBorder="1"/>
    <xf numFmtId="0" fontId="0" fillId="0" borderId="1" xfId="0" applyFill="1" applyBorder="1"/>
    <xf numFmtId="0" fontId="5" fillId="0" borderId="1" xfId="0" applyFont="1" applyFill="1" applyBorder="1"/>
    <xf numFmtId="0" fontId="5" fillId="0" borderId="1" xfId="0" applyFont="1" applyFill="1" applyBorder="1" applyAlignment="1">
      <alignment horizontal="center"/>
    </xf>
    <xf numFmtId="0" fontId="19" fillId="0" borderId="1" xfId="212" applyFont="1" applyFill="1" applyBorder="1" applyAlignment="1">
      <alignment horizontal="left"/>
    </xf>
    <xf numFmtId="0" fontId="5" fillId="0" borderId="1" xfId="212" applyFont="1" applyFill="1" applyBorder="1" applyAlignment="1">
      <alignment horizontal="left"/>
    </xf>
    <xf numFmtId="0" fontId="50" fillId="38" borderId="1" xfId="0" applyFont="1" applyFill="1" applyBorder="1" applyAlignment="1">
      <alignment horizontal="left" vertical="top"/>
    </xf>
    <xf numFmtId="0" fontId="21" fillId="0" borderId="0" xfId="0" applyFont="1" applyFill="1" applyBorder="1" applyAlignment="1">
      <alignment vertical="center"/>
    </xf>
    <xf numFmtId="0" fontId="54" fillId="40" borderId="0" xfId="0" applyFont="1" applyFill="1" applyAlignment="1">
      <alignment wrapText="1"/>
    </xf>
    <xf numFmtId="0" fontId="21" fillId="0" borderId="0" xfId="0" applyFont="1" applyFill="1" applyBorder="1" applyAlignment="1">
      <alignment vertical="center" wrapText="1"/>
    </xf>
    <xf numFmtId="0" fontId="50" fillId="0" borderId="0" xfId="0" applyFont="1" applyFill="1" applyBorder="1" applyAlignment="1">
      <alignment vertical="center" wrapText="1"/>
    </xf>
    <xf numFmtId="0" fontId="14" fillId="40" borderId="0" xfId="0" applyFont="1" applyFill="1"/>
    <xf numFmtId="0" fontId="54" fillId="40" borderId="0" xfId="0" applyFont="1" applyFill="1" applyAlignment="1">
      <alignment vertical="top" wrapText="1"/>
    </xf>
    <xf numFmtId="49" fontId="54" fillId="0" borderId="0" xfId="0" applyNumberFormat="1" applyFont="1" applyFill="1" applyBorder="1" applyAlignment="1">
      <alignment horizontal="center" vertical="top" wrapText="1"/>
    </xf>
    <xf numFmtId="0" fontId="54"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5" fillId="0" borderId="0" xfId="0" applyFont="1" applyFill="1" applyBorder="1" applyAlignment="1">
      <alignment horizontal="center" vertical="center" wrapText="1"/>
    </xf>
    <xf numFmtId="0" fontId="44" fillId="40" borderId="0" xfId="55" applyFont="1" applyFill="1" applyAlignment="1">
      <alignment vertical="center"/>
    </xf>
    <xf numFmtId="0" fontId="0" fillId="0" borderId="0" xfId="0" applyAlignment="1">
      <alignment horizontal="left" vertical="top"/>
    </xf>
    <xf numFmtId="0" fontId="11" fillId="0" borderId="0" xfId="218">
      <alignment vertical="top"/>
    </xf>
    <xf numFmtId="0" fontId="45" fillId="0" borderId="6" xfId="55" applyFont="1" applyFill="1" applyBorder="1" applyAlignment="1">
      <alignment horizontal="left" vertical="top" wrapText="1"/>
    </xf>
    <xf numFmtId="0" fontId="45" fillId="0" borderId="6" xfId="55" applyFont="1" applyFill="1" applyBorder="1" applyAlignment="1">
      <alignment horizontal="left" vertical="top"/>
    </xf>
    <xf numFmtId="49" fontId="45" fillId="0" borderId="6" xfId="55" applyNumberFormat="1" applyFont="1" applyFill="1" applyBorder="1" applyAlignment="1">
      <alignment horizontal="left" vertical="top"/>
    </xf>
    <xf numFmtId="0" fontId="45" fillId="0" borderId="7" xfId="55" applyFont="1" applyFill="1" applyBorder="1" applyAlignment="1">
      <alignment horizontal="center" vertical="top" wrapText="1"/>
    </xf>
    <xf numFmtId="0" fontId="45" fillId="0" borderId="6" xfId="55" applyFont="1" applyFill="1" applyBorder="1" applyAlignment="1">
      <alignment horizontal="center" vertical="top" wrapText="1"/>
    </xf>
    <xf numFmtId="0" fontId="45" fillId="0" borderId="2" xfId="55" applyFont="1" applyFill="1" applyBorder="1" applyAlignment="1">
      <alignment horizontal="left" vertical="top" wrapText="1"/>
    </xf>
    <xf numFmtId="0" fontId="45" fillId="0" borderId="6" xfId="78" applyFont="1" applyFill="1" applyBorder="1" applyAlignment="1">
      <alignment horizontal="left" vertical="top"/>
    </xf>
    <xf numFmtId="49" fontId="45" fillId="0" borderId="6" xfId="78" applyNumberFormat="1" applyFont="1" applyFill="1" applyBorder="1" applyAlignment="1">
      <alignment horizontal="left" vertical="top"/>
    </xf>
    <xf numFmtId="49" fontId="46" fillId="0" borderId="6" xfId="213" applyNumberFormat="1" applyFont="1" applyFill="1" applyBorder="1" applyAlignment="1">
      <alignment horizontal="left" vertical="top" wrapText="1"/>
    </xf>
    <xf numFmtId="0" fontId="44" fillId="0" borderId="0" xfId="55" applyFont="1" applyAlignment="1">
      <alignment horizontal="left" vertical="top"/>
    </xf>
    <xf numFmtId="0" fontId="44" fillId="0" borderId="0" xfId="55" applyFont="1" applyAlignment="1">
      <alignment horizontal="left" vertical="top" wrapText="1"/>
    </xf>
    <xf numFmtId="0" fontId="44" fillId="0" borderId="6" xfId="55" applyFont="1" applyBorder="1" applyAlignment="1">
      <alignment horizontal="left" vertical="top" wrapText="1"/>
    </xf>
    <xf numFmtId="0" fontId="45" fillId="0" borderId="0" xfId="0" applyFont="1" applyFill="1" applyBorder="1" applyAlignment="1">
      <alignment horizontal="left" vertical="top" wrapText="1"/>
    </xf>
    <xf numFmtId="0" fontId="45" fillId="0" borderId="0" xfId="0" applyFont="1" applyFill="1" applyBorder="1" applyAlignment="1">
      <alignment horizontal="left" vertical="top"/>
    </xf>
    <xf numFmtId="0" fontId="75" fillId="41" borderId="0" xfId="213" applyFont="1" applyFill="1"/>
    <xf numFmtId="0" fontId="76" fillId="41" borderId="0" xfId="213" applyFont="1" applyFill="1"/>
    <xf numFmtId="0" fontId="63" fillId="41" borderId="0" xfId="0" applyFont="1" applyFill="1"/>
    <xf numFmtId="49" fontId="77" fillId="41" borderId="0" xfId="0" applyNumberFormat="1" applyFont="1" applyFill="1"/>
    <xf numFmtId="49" fontId="75" fillId="41" borderId="0" xfId="213" applyNumberFormat="1" applyFont="1" applyFill="1"/>
    <xf numFmtId="0" fontId="75" fillId="41" borderId="0" xfId="213" applyFont="1" applyFill="1" applyAlignment="1">
      <alignment vertical="top" wrapText="1"/>
    </xf>
    <xf numFmtId="0" fontId="76" fillId="41" borderId="0" xfId="213" applyFont="1" applyFill="1" applyAlignment="1">
      <alignment vertical="top"/>
    </xf>
    <xf numFmtId="0" fontId="78" fillId="33" borderId="0" xfId="48" applyFont="1" applyFill="1" applyAlignment="1" applyProtection="1"/>
    <xf numFmtId="0" fontId="54" fillId="0" borderId="0" xfId="0" applyFont="1" applyAlignment="1">
      <alignment vertical="top"/>
    </xf>
    <xf numFmtId="0" fontId="12" fillId="0" borderId="0" xfId="0" applyFont="1" applyFill="1" applyAlignment="1">
      <alignment horizontal="center"/>
    </xf>
    <xf numFmtId="0" fontId="14" fillId="0" borderId="0" xfId="0" applyFont="1" applyAlignment="1">
      <alignment horizontal="center"/>
    </xf>
    <xf numFmtId="0" fontId="58" fillId="0" borderId="0" xfId="0" applyFont="1" applyAlignment="1">
      <alignment horizontal="center"/>
    </xf>
    <xf numFmtId="0" fontId="12" fillId="0" borderId="0" xfId="0" applyFont="1" applyAlignment="1">
      <alignment horizont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0" fontId="21" fillId="0" borderId="0" xfId="0" applyNumberFormat="1" applyFont="1"/>
    <xf numFmtId="0" fontId="21" fillId="0" borderId="0" xfId="0" applyFont="1"/>
    <xf numFmtId="0" fontId="21" fillId="34" borderId="1" xfId="106" applyFont="1" applyFill="1" applyBorder="1" applyAlignment="1">
      <alignment horizontal="center"/>
    </xf>
    <xf numFmtId="0" fontId="21" fillId="34" borderId="0" xfId="106" applyFont="1" applyFill="1" applyBorder="1" applyAlignment="1">
      <alignment horizontal="center" wrapText="1"/>
    </xf>
    <xf numFmtId="0" fontId="21" fillId="0" borderId="0" xfId="0" applyNumberFormat="1" applyFont="1" applyAlignment="1">
      <alignment horizontal="center"/>
    </xf>
    <xf numFmtId="0" fontId="50" fillId="0" borderId="0" xfId="106" applyFont="1" applyAlignment="1">
      <alignment horizontal="center"/>
    </xf>
    <xf numFmtId="0" fontId="78" fillId="33" borderId="0" xfId="48" applyFont="1" applyFill="1" applyAlignment="1" applyProtection="1">
      <alignment vertical="top"/>
    </xf>
    <xf numFmtId="0" fontId="53" fillId="0" borderId="0" xfId="213" applyFont="1" applyFill="1" applyAlignment="1">
      <alignment vertical="top"/>
    </xf>
    <xf numFmtId="0" fontId="4" fillId="38" borderId="1" xfId="48" applyFill="1" applyBorder="1" applyAlignment="1" applyProtection="1">
      <alignment vertical="top"/>
    </xf>
    <xf numFmtId="0" fontId="54" fillId="0" borderId="0" xfId="0" applyFont="1" applyFill="1" applyBorder="1" applyAlignment="1">
      <alignment vertical="top" wrapText="1"/>
    </xf>
    <xf numFmtId="0" fontId="54" fillId="0" borderId="0" xfId="0" applyFont="1" applyFill="1" applyBorder="1" applyAlignment="1">
      <alignment horizontal="center" vertical="top"/>
    </xf>
    <xf numFmtId="0" fontId="4" fillId="0" borderId="0" xfId="48" applyBorder="1" applyAlignment="1" applyProtection="1">
      <alignment horizontal="center" vertical="center" textRotation="90"/>
    </xf>
    <xf numFmtId="0" fontId="40" fillId="34" borderId="3" xfId="106" applyFont="1" applyFill="1" applyBorder="1" applyAlignment="1">
      <alignment wrapText="1"/>
    </xf>
    <xf numFmtId="0" fontId="50" fillId="0" borderId="0" xfId="106" applyFont="1" applyFill="1" applyBorder="1" applyAlignment="1"/>
    <xf numFmtId="0" fontId="21" fillId="0" borderId="0" xfId="0" applyFont="1" applyBorder="1"/>
    <xf numFmtId="0" fontId="50" fillId="0" borderId="0" xfId="106" applyFont="1" applyBorder="1"/>
    <xf numFmtId="0" fontId="21" fillId="0" borderId="0" xfId="0" applyNumberFormat="1" applyFont="1" applyBorder="1"/>
    <xf numFmtId="0" fontId="50" fillId="0" borderId="0" xfId="72" applyFont="1" applyBorder="1"/>
    <xf numFmtId="0" fontId="21" fillId="0" borderId="0" xfId="0" applyNumberFormat="1" applyFont="1" applyBorder="1" applyAlignment="1">
      <alignment horizontal="center"/>
    </xf>
    <xf numFmtId="0" fontId="50" fillId="0" borderId="0" xfId="106" applyFont="1" applyBorder="1" applyAlignment="1">
      <alignment wrapText="1"/>
    </xf>
    <xf numFmtId="0" fontId="50" fillId="0" borderId="0" xfId="106" applyFont="1" applyBorder="1" applyAlignment="1">
      <alignment horizontal="left" wrapText="1"/>
    </xf>
    <xf numFmtId="0" fontId="50" fillId="0" borderId="0" xfId="106" applyFont="1" applyBorder="1" applyAlignment="1">
      <alignment horizontal="center"/>
    </xf>
    <xf numFmtId="0" fontId="54" fillId="38" borderId="22" xfId="0" applyFont="1" applyFill="1" applyBorder="1" applyAlignment="1">
      <alignment vertical="top" wrapText="1"/>
    </xf>
    <xf numFmtId="0" fontId="53" fillId="0" borderId="0" xfId="213" applyFont="1" applyFill="1" applyBorder="1"/>
    <xf numFmtId="0" fontId="53" fillId="0" borderId="0" xfId="213" applyFont="1" applyFill="1" applyBorder="1" applyAlignment="1">
      <alignment vertical="top"/>
    </xf>
    <xf numFmtId="0" fontId="78" fillId="0" borderId="0" xfId="48" applyFont="1" applyFill="1" applyBorder="1" applyAlignment="1" applyProtection="1">
      <alignment vertical="top"/>
    </xf>
    <xf numFmtId="0" fontId="78" fillId="0" borderId="0" xfId="48" applyFont="1" applyFill="1" applyBorder="1" applyAlignment="1" applyProtection="1"/>
    <xf numFmtId="0" fontId="54" fillId="0" borderId="0" xfId="212" applyFont="1" applyFill="1" applyBorder="1" applyAlignment="1">
      <alignment horizontal="left" vertical="top"/>
    </xf>
    <xf numFmtId="0" fontId="43" fillId="0" borderId="0" xfId="0" applyFont="1" applyFill="1" applyBorder="1" applyAlignment="1">
      <alignment horizontal="center"/>
    </xf>
    <xf numFmtId="0" fontId="43"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3" fillId="0" borderId="0" xfId="0" applyFont="1" applyFill="1" applyBorder="1" applyAlignment="1">
      <alignment horizontal="center"/>
    </xf>
    <xf numFmtId="0" fontId="14" fillId="0" borderId="0" xfId="0" applyFont="1" applyFill="1" applyBorder="1" applyAlignment="1">
      <alignment horizontal="center"/>
    </xf>
    <xf numFmtId="0" fontId="42" fillId="0" borderId="0" xfId="0" applyFont="1" applyFill="1" applyBorder="1" applyAlignment="1">
      <alignment horizontal="center"/>
    </xf>
    <xf numFmtId="0" fontId="47" fillId="34" borderId="3" xfId="0" applyFont="1" applyFill="1" applyBorder="1" applyAlignment="1">
      <alignment horizontal="center" wrapText="1"/>
    </xf>
    <xf numFmtId="0" fontId="40" fillId="34" borderId="3" xfId="0" applyFont="1" applyFill="1" applyBorder="1" applyAlignment="1">
      <alignment horizontal="center"/>
    </xf>
    <xf numFmtId="0" fontId="79" fillId="0" borderId="0" xfId="0" applyFont="1" applyFill="1" applyBorder="1" applyAlignment="1">
      <alignment horizontal="center"/>
    </xf>
    <xf numFmtId="0" fontId="0" fillId="0" borderId="0" xfId="0" applyFill="1" applyBorder="1" applyAlignment="1">
      <alignment horizontal="center" vertical="top"/>
    </xf>
    <xf numFmtId="0" fontId="14" fillId="0" borderId="0" xfId="0" applyFont="1" applyAlignment="1">
      <alignment horizontal="left"/>
    </xf>
    <xf numFmtId="0" fontId="5" fillId="0" borderId="0" xfId="0" applyFont="1" applyAlignment="1">
      <alignment horizontal="left"/>
    </xf>
    <xf numFmtId="0" fontId="0" fillId="0" borderId="0" xfId="0" applyAlignment="1">
      <alignment horizontal="left"/>
    </xf>
    <xf numFmtId="0" fontId="40" fillId="34" borderId="24" xfId="0" applyFont="1" applyFill="1" applyBorder="1" applyAlignment="1">
      <alignment horizontal="center"/>
    </xf>
    <xf numFmtId="0" fontId="3" fillId="0" borderId="0" xfId="0" applyFont="1" applyFill="1" applyBorder="1" applyAlignment="1">
      <alignment horizontal="center" vertical="top"/>
    </xf>
    <xf numFmtId="0" fontId="42" fillId="0" borderId="0" xfId="0" applyFont="1" applyFill="1" applyBorder="1" applyAlignment="1">
      <alignment horizontal="center" vertical="top"/>
    </xf>
    <xf numFmtId="0" fontId="4" fillId="0" borderId="0" xfId="48" applyFont="1" applyFill="1" applyBorder="1" applyAlignment="1" applyProtection="1">
      <alignment vertical="top"/>
    </xf>
    <xf numFmtId="0" fontId="5" fillId="0" borderId="0" xfId="0" applyFont="1" applyFill="1" applyBorder="1" applyAlignment="1">
      <alignment horizontal="center" vertical="top"/>
    </xf>
    <xf numFmtId="0" fontId="80" fillId="0" borderId="0" xfId="0" quotePrefix="1" applyFont="1" applyFill="1" applyBorder="1" applyAlignment="1">
      <alignment horizontal="center" vertical="top"/>
    </xf>
    <xf numFmtId="0" fontId="79" fillId="0" borderId="0" xfId="0" quotePrefix="1"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3" fillId="0" borderId="0" xfId="0" applyFont="1" applyFill="1" applyBorder="1" applyAlignment="1">
      <alignment horizontal="center" vertical="top"/>
    </xf>
    <xf numFmtId="0" fontId="79" fillId="0" borderId="0" xfId="0" applyFont="1" applyFill="1" applyBorder="1" applyAlignment="1">
      <alignment horizontal="center" vertical="top"/>
    </xf>
    <xf numFmtId="0" fontId="5" fillId="0" borderId="0" xfId="0" applyFont="1" applyFill="1" applyBorder="1" applyAlignment="1">
      <alignment vertical="top"/>
    </xf>
    <xf numFmtId="0" fontId="43" fillId="0" borderId="0" xfId="0" quotePrefix="1" applyFont="1" applyFill="1" applyBorder="1" applyAlignment="1">
      <alignment horizontal="center" vertical="top"/>
    </xf>
    <xf numFmtId="0" fontId="14" fillId="0" borderId="0" xfId="0" applyFont="1" applyFill="1" applyBorder="1" applyAlignment="1">
      <alignment horizontal="center" vertical="top"/>
    </xf>
    <xf numFmtId="0" fontId="4" fillId="41" borderId="0" xfId="48" applyFill="1" applyAlignment="1" applyProtection="1"/>
    <xf numFmtId="0" fontId="14" fillId="0" borderId="0" xfId="0" applyFont="1" applyAlignment="1"/>
    <xf numFmtId="0" fontId="0" fillId="0" borderId="0" xfId="0" applyAlignment="1"/>
    <xf numFmtId="0" fontId="76" fillId="41" borderId="0" xfId="213" applyFont="1" applyFill="1" applyAlignment="1">
      <alignment horizontal="left"/>
    </xf>
    <xf numFmtId="0" fontId="45" fillId="0" borderId="0" xfId="0" applyFont="1" applyFill="1" applyBorder="1" applyAlignment="1">
      <alignment horizontal="left" vertical="center"/>
    </xf>
    <xf numFmtId="0" fontId="44" fillId="0" borderId="0" xfId="55" applyFont="1" applyAlignment="1">
      <alignment horizontal="left"/>
    </xf>
    <xf numFmtId="0" fontId="40" fillId="36" borderId="23" xfId="0" applyFont="1" applyFill="1" applyBorder="1" applyAlignment="1">
      <alignment vertical="top" wrapText="1"/>
    </xf>
    <xf numFmtId="0" fontId="40" fillId="36" borderId="26" xfId="0" applyFont="1" applyFill="1" applyBorder="1" applyAlignment="1">
      <alignment horizontal="left" vertical="top" wrapText="1"/>
    </xf>
    <xf numFmtId="0" fontId="0" fillId="0" borderId="0" xfId="0" applyFill="1" applyBorder="1" applyAlignment="1">
      <alignment horizontal="left"/>
    </xf>
    <xf numFmtId="0" fontId="5" fillId="0" borderId="0" xfId="0" applyFont="1" applyFill="1" applyBorder="1" applyAlignment="1">
      <alignment horizontal="left" vertical="top"/>
    </xf>
    <xf numFmtId="0" fontId="4" fillId="0" borderId="0" xfId="48" applyFill="1" applyBorder="1" applyAlignment="1" applyProtection="1">
      <alignment horizontal="center" textRotation="90"/>
    </xf>
    <xf numFmtId="0" fontId="4" fillId="0" borderId="0" xfId="48" applyFill="1" applyBorder="1" applyAlignment="1" applyProtection="1">
      <alignment textRotation="90"/>
    </xf>
    <xf numFmtId="0" fontId="4" fillId="0" borderId="17" xfId="48" applyBorder="1" applyAlignment="1" applyProtection="1">
      <alignment horizontal="center" vertical="center" textRotation="90"/>
    </xf>
    <xf numFmtId="0" fontId="4" fillId="0" borderId="17" xfId="48" applyBorder="1" applyAlignment="1" applyProtection="1">
      <alignment horizontal="center" vertical="center" textRotation="90" wrapText="1"/>
    </xf>
    <xf numFmtId="0" fontId="83" fillId="40" borderId="3" xfId="55" applyFont="1" applyFill="1" applyBorder="1" applyAlignment="1">
      <alignment horizontal="center" vertical="center" wrapText="1"/>
    </xf>
    <xf numFmtId="0" fontId="83" fillId="40" borderId="3" xfId="55" applyFont="1" applyFill="1" applyBorder="1" applyAlignment="1">
      <alignment horizontal="center" vertical="center"/>
    </xf>
    <xf numFmtId="0" fontId="83" fillId="40" borderId="3" xfId="55" applyFont="1" applyFill="1" applyBorder="1" applyAlignment="1">
      <alignment horizontal="left" vertical="center" wrapText="1"/>
    </xf>
    <xf numFmtId="49" fontId="83" fillId="40" borderId="3" xfId="55" applyNumberFormat="1" applyFont="1" applyFill="1" applyBorder="1" applyAlignment="1">
      <alignment horizontal="left" vertical="center"/>
    </xf>
    <xf numFmtId="0" fontId="83" fillId="40" borderId="3" xfId="55" applyFont="1" applyFill="1" applyBorder="1" applyAlignment="1">
      <alignment horizontal="left" vertical="center"/>
    </xf>
    <xf numFmtId="0" fontId="84" fillId="40" borderId="0" xfId="55" applyFont="1" applyFill="1" applyAlignment="1">
      <alignment vertical="center" wrapText="1"/>
    </xf>
    <xf numFmtId="0" fontId="44" fillId="0" borderId="17" xfId="55" applyFont="1" applyBorder="1" applyAlignment="1">
      <alignment horizontal="center" vertical="top" wrapText="1"/>
    </xf>
    <xf numFmtId="0" fontId="44" fillId="0" borderId="17" xfId="55" applyFont="1" applyBorder="1" applyAlignment="1">
      <alignment horizontal="left" vertical="top" wrapText="1"/>
    </xf>
    <xf numFmtId="0" fontId="85" fillId="0" borderId="6" xfId="48" applyFont="1" applyFill="1" applyBorder="1" applyAlignment="1" applyProtection="1">
      <alignment horizontal="left" vertical="top"/>
    </xf>
    <xf numFmtId="0" fontId="85" fillId="0" borderId="6" xfId="48" applyFont="1" applyBorder="1" applyAlignment="1" applyProtection="1">
      <alignment horizontal="left" vertical="top"/>
    </xf>
    <xf numFmtId="0" fontId="85" fillId="0" borderId="0" xfId="48" applyFont="1" applyAlignment="1" applyProtection="1"/>
    <xf numFmtId="0" fontId="45" fillId="33" borderId="1" xfId="55" applyFont="1" applyFill="1" applyBorder="1" applyAlignment="1">
      <alignment horizontal="center" vertical="top" wrapText="1"/>
    </xf>
    <xf numFmtId="0" fontId="85" fillId="0" borderId="6" xfId="48" applyFont="1" applyFill="1" applyBorder="1" applyAlignment="1" applyProtection="1">
      <alignment horizontal="left" vertical="top" wrapText="1"/>
    </xf>
    <xf numFmtId="0" fontId="78" fillId="0" borderId="0" xfId="48" applyFont="1" applyAlignment="1" applyProtection="1">
      <alignment wrapText="1"/>
    </xf>
    <xf numFmtId="0" fontId="78" fillId="0" borderId="0" xfId="48" applyFont="1" applyFill="1" applyAlignment="1" applyProtection="1"/>
    <xf numFmtId="0" fontId="74" fillId="35" borderId="0" xfId="0" applyFont="1" applyFill="1" applyAlignment="1">
      <alignment vertical="top" wrapText="1"/>
    </xf>
    <xf numFmtId="0" fontId="78" fillId="0" borderId="0" xfId="48" applyFont="1" applyAlignment="1" applyProtection="1"/>
    <xf numFmtId="0" fontId="70" fillId="0" borderId="0" xfId="0" applyFont="1" applyAlignment="1">
      <alignment vertical="top" wrapText="1"/>
    </xf>
    <xf numFmtId="0" fontId="87" fillId="35" borderId="0" xfId="48" applyFont="1" applyFill="1" applyAlignment="1" applyProtection="1">
      <alignment horizontal="center"/>
    </xf>
    <xf numFmtId="0" fontId="12" fillId="0" borderId="0" xfId="0" applyFont="1" applyFill="1" applyAlignment="1">
      <alignment horizontal="center"/>
    </xf>
    <xf numFmtId="0" fontId="73" fillId="37" borderId="3" xfId="48" applyFont="1" applyFill="1" applyBorder="1" applyAlignment="1" applyProtection="1">
      <alignment horizontal="center" textRotation="90"/>
    </xf>
    <xf numFmtId="0" fontId="73" fillId="37" borderId="5" xfId="48" applyFont="1" applyFill="1" applyBorder="1" applyAlignment="1" applyProtection="1">
      <alignment horizontal="center" textRotation="90"/>
    </xf>
    <xf numFmtId="0" fontId="12" fillId="0" borderId="4" xfId="0" applyFont="1" applyBorder="1" applyAlignment="1">
      <alignment horizontal="center"/>
    </xf>
    <xf numFmtId="0" fontId="4" fillId="37" borderId="3" xfId="48" applyFill="1" applyBorder="1" applyAlignment="1" applyProtection="1">
      <alignment horizontal="center" textRotation="90"/>
    </xf>
    <xf numFmtId="0" fontId="4" fillId="37" borderId="5" xfId="48" applyFill="1" applyBorder="1" applyAlignment="1" applyProtection="1">
      <alignment horizontal="center" textRotation="90"/>
    </xf>
    <xf numFmtId="0" fontId="4" fillId="42" borderId="24" xfId="48" applyFill="1" applyBorder="1" applyAlignment="1" applyProtection="1">
      <alignment horizontal="center" textRotation="90"/>
    </xf>
    <xf numFmtId="0" fontId="14" fillId="0" borderId="23" xfId="0" applyFont="1" applyBorder="1" applyAlignment="1">
      <alignment horizontal="center" textRotation="90"/>
    </xf>
    <xf numFmtId="0" fontId="4" fillId="42" borderId="0" xfId="48" applyFill="1" applyAlignment="1" applyProtection="1">
      <alignment horizontal="center" textRotation="90"/>
    </xf>
    <xf numFmtId="0" fontId="14" fillId="0" borderId="4" xfId="0" applyFont="1" applyBorder="1" applyAlignment="1">
      <alignment horizontal="center" textRotation="90"/>
    </xf>
    <xf numFmtId="0" fontId="14" fillId="0" borderId="0" xfId="0" applyFont="1" applyBorder="1" applyAlignment="1">
      <alignment horizontal="center" textRotation="90"/>
    </xf>
    <xf numFmtId="0" fontId="14" fillId="0" borderId="0" xfId="0" applyFont="1" applyAlignment="1">
      <alignment horizontal="center" textRotation="90"/>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24" xfId="0" applyFont="1" applyFill="1" applyBorder="1" applyAlignment="1">
      <alignment horizontal="center" vertical="center" wrapText="1"/>
    </xf>
    <xf numFmtId="0" fontId="48" fillId="36" borderId="25" xfId="0" applyFont="1" applyFill="1" applyBorder="1" applyAlignment="1">
      <alignment horizontal="center" vertical="center" wrapText="1"/>
    </xf>
    <xf numFmtId="0" fontId="14" fillId="0" borderId="0" xfId="0" applyFont="1" applyAlignment="1">
      <alignment horizontal="center"/>
    </xf>
    <xf numFmtId="0" fontId="54" fillId="38" borderId="20" xfId="0" applyFont="1" applyFill="1" applyBorder="1" applyAlignment="1">
      <alignment horizontal="center" vertical="top" wrapText="1"/>
    </xf>
    <xf numFmtId="0" fontId="54" fillId="38" borderId="21" xfId="0" applyFont="1" applyFill="1" applyBorder="1" applyAlignment="1">
      <alignment horizontal="center" vertical="top" wrapText="1"/>
    </xf>
    <xf numFmtId="0" fontId="54" fillId="38" borderId="22" xfId="0" applyFont="1" applyFill="1" applyBorder="1" applyAlignment="1">
      <alignment horizontal="center" vertical="top" wrapText="1"/>
    </xf>
    <xf numFmtId="0" fontId="54" fillId="38" borderId="23" xfId="0" applyFont="1" applyFill="1" applyBorder="1" applyAlignment="1">
      <alignment horizontal="center" vertical="top" wrapText="1"/>
    </xf>
    <xf numFmtId="0" fontId="54" fillId="38" borderId="4" xfId="0" applyFont="1" applyFill="1" applyBorder="1" applyAlignment="1">
      <alignment horizontal="center" vertical="top" wrapText="1"/>
    </xf>
    <xf numFmtId="0" fontId="61" fillId="43" borderId="0" xfId="213" applyFont="1" applyFill="1" applyAlignment="1">
      <alignment vertical="top"/>
    </xf>
    <xf numFmtId="49" fontId="50" fillId="43" borderId="0" xfId="0" applyNumberFormat="1" applyFont="1" applyFill="1" applyAlignment="1">
      <alignment vertical="top"/>
    </xf>
    <xf numFmtId="0" fontId="61" fillId="43" borderId="0" xfId="213" applyFont="1" applyFill="1"/>
    <xf numFmtId="49" fontId="50" fillId="43" borderId="0" xfId="0" applyNumberFormat="1" applyFont="1" applyFill="1"/>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6">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25" dataDxfId="24">
  <autoFilter ref="A2:C8"/>
  <tableColumns count="3">
    <tableColumn id="1" name="Generate? 0=no, 1=yes" dataDxfId="23"/>
    <tableColumn id="2" name="Action" dataDxfId="22"/>
    <tableColumn id="3" name="Prerequisites" dataDxfId="21"/>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A1:F6" totalsRowShown="0">
  <autoFilter ref="A1:F6"/>
  <tableColumns count="6">
    <tableColumn id="1" name="ID"/>
    <tableColumn id="2" name="Agency"/>
    <tableColumn id="3" name="Version" dataDxfId="20"/>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9"/>
    <tableColumn id="4" name="Name"/>
    <tableColumn id="5" name="Description"/>
    <tableColumn id="6" name="IsFinal"/>
    <tableColumn id="8" name="Cat.Sch Agency" dataDxfId="18"/>
    <tableColumn id="9" name="Cat.Scheme ID" dataDxfId="17"/>
    <tableColumn id="10" name="Cat.Sch Version" dataDxfId="16"/>
    <tableColumn id="7" name="Category" dataDxfId="15"/>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4" dataDxfId="13">
  <autoFilter ref="A1:D16"/>
  <tableColumns count="4">
    <tableColumn id="1" name="Dataflow" dataDxfId="12"/>
    <tableColumn id="2" name="Concept" dataDxfId="11"/>
    <tableColumn id="3" name="Co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8" dataDxfId="7">
  <autoFilter ref="A1:F13"/>
  <tableColumns count="6">
    <tableColumn id="1" name="Dataflow" dataDxfId="6"/>
    <tableColumn id="2" name="FREQ" dataDxfId="5"/>
    <tableColumn id="3" name="REF_AREA" dataDxfId="4"/>
    <tableColumn id="6" name="COUNTERPART_AREA" dataDxfId="3"/>
    <tableColumn id="4" name="OBS_STATUS" dataDxfId="2"/>
    <tableColumn id="5" name="IsFinal"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6.bin"/><Relationship Id="rId1" Type="http://schemas.openxmlformats.org/officeDocument/2006/relationships/hyperlink" Target="mailto:MAIN@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MAIN@1"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 Id="rId9"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printerSettings" Target="../printerSettings/printerSettings23.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hyperlink" Target="mailto:DEUX@1" TargetMode="External"/><Relationship Id="rId5" Type="http://schemas.openxmlformats.org/officeDocument/2006/relationships/hyperlink" Target="mailto:MAIN@1" TargetMode="External"/><Relationship Id="rId4" Type="http://schemas.openxmlformats.org/officeDocument/2006/relationships/printerSettings" Target="../printerSettings/printerSettings2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7.bin"/><Relationship Id="rId7" Type="http://schemas.openxmlformats.org/officeDocument/2006/relationships/vmlDrawing" Target="../drawings/vmlDrawing2.v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1"/>
  <sheetViews>
    <sheetView zoomScaleNormal="100" workbookViewId="0">
      <selection sqref="A1:C1"/>
    </sheetView>
  </sheetViews>
  <sheetFormatPr defaultRowHeight="15" x14ac:dyDescent="0.25"/>
  <cols>
    <col min="1" max="1" width="36.1640625" style="46" bestFit="1" customWidth="1"/>
    <col min="2" max="2" width="29.1640625" style="95" bestFit="1" customWidth="1"/>
    <col min="3" max="3" width="58.33203125" style="95" customWidth="1"/>
    <col min="4" max="4" width="33.6640625" style="95" customWidth="1"/>
    <col min="5" max="5" width="27.6640625" style="122" bestFit="1" customWidth="1"/>
    <col min="6" max="6" width="10.33203125" style="81" customWidth="1"/>
    <col min="7" max="7" width="8.1640625" style="46" customWidth="1"/>
    <col min="8" max="10" width="9.33203125" style="46"/>
    <col min="11" max="11" width="48.6640625" style="46" bestFit="1" customWidth="1"/>
    <col min="12" max="12" width="4.5" style="46" bestFit="1" customWidth="1"/>
    <col min="13" max="16384" width="9.33203125" style="46"/>
  </cols>
  <sheetData>
    <row r="1" spans="1:6" s="118" customFormat="1" ht="36" x14ac:dyDescent="0.55000000000000004">
      <c r="A1" s="273" t="s">
        <v>333</v>
      </c>
      <c r="B1" s="273"/>
      <c r="C1" s="273"/>
      <c r="D1" s="119" t="s">
        <v>325</v>
      </c>
      <c r="F1" s="117"/>
    </row>
    <row r="2" spans="1:6" s="96" customFormat="1" ht="18.75" x14ac:dyDescent="0.2">
      <c r="A2" s="96" t="s">
        <v>334</v>
      </c>
      <c r="B2" s="97" t="s">
        <v>239</v>
      </c>
      <c r="C2" s="97" t="s">
        <v>321</v>
      </c>
      <c r="D2" s="120" t="s">
        <v>278</v>
      </c>
      <c r="E2" s="106" t="s">
        <v>487</v>
      </c>
    </row>
    <row r="3" spans="1:6" s="87" customFormat="1" ht="30" x14ac:dyDescent="0.2">
      <c r="A3" s="99">
        <v>1</v>
      </c>
      <c r="B3" s="85" t="s">
        <v>586</v>
      </c>
      <c r="C3" s="85" t="s">
        <v>322</v>
      </c>
      <c r="D3" s="120" t="s">
        <v>286</v>
      </c>
      <c r="E3" s="98">
        <v>0</v>
      </c>
    </row>
    <row r="4" spans="1:6" s="87" customFormat="1" ht="15.75" x14ac:dyDescent="0.2">
      <c r="A4" s="99">
        <v>1</v>
      </c>
      <c r="B4" s="85" t="s">
        <v>584</v>
      </c>
      <c r="C4" s="85" t="s">
        <v>585</v>
      </c>
      <c r="D4" s="120" t="s">
        <v>497</v>
      </c>
      <c r="E4" s="86" t="s">
        <v>496</v>
      </c>
    </row>
    <row r="5" spans="1:6" s="87" customFormat="1" ht="30" x14ac:dyDescent="0.2">
      <c r="A5" s="99">
        <v>0</v>
      </c>
      <c r="B5" s="85" t="s">
        <v>238</v>
      </c>
      <c r="C5" s="85" t="s">
        <v>335</v>
      </c>
      <c r="D5" s="272" t="s">
        <v>587</v>
      </c>
      <c r="E5" s="121" t="s">
        <v>588</v>
      </c>
      <c r="F5" s="86"/>
    </row>
    <row r="6" spans="1:6" s="87" customFormat="1" x14ac:dyDescent="0.2">
      <c r="A6" s="99">
        <v>0</v>
      </c>
      <c r="B6" s="85" t="s">
        <v>234</v>
      </c>
      <c r="C6" s="85" t="s">
        <v>324</v>
      </c>
      <c r="D6" s="178"/>
      <c r="E6" s="151"/>
      <c r="F6" s="86"/>
    </row>
    <row r="7" spans="1:6" s="87" customFormat="1" ht="31.5" x14ac:dyDescent="0.2">
      <c r="A7" s="99">
        <v>0</v>
      </c>
      <c r="B7" s="85" t="s">
        <v>235</v>
      </c>
      <c r="C7" s="85" t="s">
        <v>323</v>
      </c>
      <c r="D7" s="270" t="s">
        <v>627</v>
      </c>
      <c r="E7" s="121"/>
      <c r="F7" s="86"/>
    </row>
    <row r="8" spans="1:6" s="87" customFormat="1" x14ac:dyDescent="0.2">
      <c r="A8" s="99">
        <v>1</v>
      </c>
      <c r="B8" s="85" t="s">
        <v>289</v>
      </c>
      <c r="C8" s="85" t="s">
        <v>320</v>
      </c>
      <c r="D8" s="271" t="s">
        <v>628</v>
      </c>
      <c r="E8" s="121"/>
      <c r="F8" s="86"/>
    </row>
    <row r="9" spans="1:6" s="87" customFormat="1" x14ac:dyDescent="0.2">
      <c r="B9" s="85"/>
      <c r="C9" s="85"/>
      <c r="D9" s="269" t="s">
        <v>629</v>
      </c>
      <c r="E9" s="121"/>
      <c r="F9" s="86"/>
    </row>
    <row r="10" spans="1:6" x14ac:dyDescent="0.25">
      <c r="A10" s="87"/>
      <c r="B10" s="85"/>
      <c r="C10" s="85"/>
      <c r="D10" s="85"/>
    </row>
    <row r="11" spans="1:6" x14ac:dyDescent="0.25">
      <c r="C11" s="85"/>
    </row>
  </sheetData>
  <mergeCells count="1">
    <mergeCell ref="A1:C1"/>
  </mergeCells>
  <hyperlinks>
    <hyperlink ref="A1" location="'Generate SDMX-ML'!A1" display="Generate SDMX-ML!"/>
    <hyperlink ref="E2" r:id="rId1"/>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B22" sqref="B22"/>
    </sheetView>
  </sheetViews>
  <sheetFormatPr defaultRowHeight="12.75" x14ac:dyDescent="0.2"/>
  <cols>
    <col min="1" max="1" width="14" style="155" bestFit="1" customWidth="1"/>
    <col min="2" max="2" width="28.1640625" style="155" customWidth="1"/>
    <col min="3" max="16384" width="9.33203125" style="155"/>
  </cols>
  <sheetData>
    <row r="1" spans="1:2" x14ac:dyDescent="0.2">
      <c r="A1" s="155" t="s">
        <v>563</v>
      </c>
      <c r="B1" s="155" t="s">
        <v>21</v>
      </c>
    </row>
    <row r="2" spans="1:2" x14ac:dyDescent="0.2">
      <c r="B2" s="155" t="s">
        <v>22</v>
      </c>
    </row>
    <row r="3" spans="1:2" x14ac:dyDescent="0.2">
      <c r="B3" s="155" t="s">
        <v>3</v>
      </c>
    </row>
    <row r="4" spans="1:2" x14ac:dyDescent="0.2">
      <c r="B4" s="155" t="s">
        <v>1</v>
      </c>
    </row>
    <row r="5" spans="1:2" x14ac:dyDescent="0.2">
      <c r="B5" s="155" t="s">
        <v>240</v>
      </c>
    </row>
    <row r="6" spans="1:2" x14ac:dyDescent="0.2">
      <c r="B6" s="155" t="s">
        <v>564</v>
      </c>
    </row>
    <row r="7" spans="1:2" x14ac:dyDescent="0.2">
      <c r="B7" s="155" t="s">
        <v>27</v>
      </c>
    </row>
    <row r="8" spans="1:2" x14ac:dyDescent="0.2">
      <c r="B8" s="155" t="s">
        <v>45</v>
      </c>
    </row>
    <row r="9" spans="1:2" x14ac:dyDescent="0.2">
      <c r="B9" s="155" t="s">
        <v>565</v>
      </c>
    </row>
    <row r="10" spans="1:2" x14ac:dyDescent="0.2">
      <c r="B10" s="155" t="s">
        <v>566</v>
      </c>
    </row>
    <row r="11" spans="1:2" x14ac:dyDescent="0.2">
      <c r="A11" s="155" t="s">
        <v>567</v>
      </c>
      <c r="B11" s="155" t="s">
        <v>52</v>
      </c>
    </row>
    <row r="12" spans="1:2" x14ac:dyDescent="0.2">
      <c r="B12" s="157" t="s">
        <v>47</v>
      </c>
    </row>
    <row r="13" spans="1:2" x14ac:dyDescent="0.2">
      <c r="B13" s="157" t="s">
        <v>118</v>
      </c>
    </row>
    <row r="14" spans="1:2" x14ac:dyDescent="0.2">
      <c r="B14" s="155" t="s">
        <v>53</v>
      </c>
    </row>
    <row r="15" spans="1:2" x14ac:dyDescent="0.2">
      <c r="A15" s="155" t="s">
        <v>568</v>
      </c>
      <c r="B15" s="155" t="b">
        <v>1</v>
      </c>
    </row>
    <row r="16" spans="1:2" x14ac:dyDescent="0.2">
      <c r="B16" s="155" t="b">
        <v>0</v>
      </c>
    </row>
    <row r="17" spans="1:2" x14ac:dyDescent="0.2">
      <c r="A17" s="155" t="s">
        <v>569</v>
      </c>
      <c r="B17" s="155" t="s">
        <v>2</v>
      </c>
    </row>
    <row r="18" spans="1:2" x14ac:dyDescent="0.2">
      <c r="B18" s="155" t="s">
        <v>252</v>
      </c>
    </row>
    <row r="19" spans="1:2" x14ac:dyDescent="0.2">
      <c r="B19" s="155" t="s">
        <v>570</v>
      </c>
    </row>
    <row r="20" spans="1:2" x14ac:dyDescent="0.2">
      <c r="A20" s="155" t="s">
        <v>581</v>
      </c>
      <c r="B20" s="166" t="s">
        <v>571</v>
      </c>
    </row>
    <row r="21" spans="1:2" x14ac:dyDescent="0.2">
      <c r="B21" s="166" t="s">
        <v>18</v>
      </c>
    </row>
    <row r="22" spans="1:2" x14ac:dyDescent="0.2">
      <c r="B22" s="166" t="s">
        <v>573</v>
      </c>
    </row>
    <row r="23" spans="1:2" x14ac:dyDescent="0.2">
      <c r="B23" s="166" t="s">
        <v>583</v>
      </c>
    </row>
    <row r="24" spans="1:2" x14ac:dyDescent="0.2">
      <c r="B24" s="168" t="s">
        <v>574</v>
      </c>
    </row>
    <row r="25" spans="1:2" x14ac:dyDescent="0.2">
      <c r="B25" s="168" t="s">
        <v>572</v>
      </c>
    </row>
    <row r="26" spans="1:2" x14ac:dyDescent="0.2">
      <c r="B26" s="168" t="s">
        <v>582</v>
      </c>
    </row>
    <row r="27" spans="1:2" x14ac:dyDescent="0.2">
      <c r="B27" s="16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C16" sqref="C16"/>
    </sheetView>
  </sheetViews>
  <sheetFormatPr defaultRowHeight="18.75" x14ac:dyDescent="0.3"/>
  <cols>
    <col min="1" max="1" width="9.33203125" style="65"/>
    <col min="2" max="2" width="9.33203125" style="46"/>
    <col min="3" max="3" width="9.33203125" style="47"/>
    <col min="4" max="4" width="24" style="47" customWidth="1"/>
    <col min="5" max="16384" width="9.33203125" style="47"/>
  </cols>
  <sheetData>
    <row r="1" spans="1:5" s="70" customFormat="1" ht="21" x14ac:dyDescent="0.35">
      <c r="A1" s="69" t="s">
        <v>138</v>
      </c>
      <c r="B1" s="46"/>
      <c r="D1" s="71"/>
      <c r="E1" s="72"/>
    </row>
    <row r="2" spans="1:5" s="70" customFormat="1" ht="21" x14ac:dyDescent="0.35">
      <c r="A2" s="69">
        <v>0</v>
      </c>
      <c r="B2" s="46" t="s">
        <v>630</v>
      </c>
      <c r="D2" s="71"/>
      <c r="E2" s="72"/>
    </row>
    <row r="3" spans="1:5" x14ac:dyDescent="0.3">
      <c r="A3" s="65">
        <v>1</v>
      </c>
      <c r="B3" s="74" t="s">
        <v>201</v>
      </c>
    </row>
    <row r="4" spans="1:5" s="48" customFormat="1" x14ac:dyDescent="0.3">
      <c r="A4" s="65"/>
      <c r="B4" s="46"/>
      <c r="C4" s="48" t="s">
        <v>202</v>
      </c>
    </row>
    <row r="5" spans="1:5" s="48" customFormat="1" x14ac:dyDescent="0.3">
      <c r="A5" s="65"/>
      <c r="B5" s="46"/>
      <c r="C5" s="48" t="s">
        <v>205</v>
      </c>
    </row>
    <row r="6" spans="1:5" s="48" customFormat="1" x14ac:dyDescent="0.3">
      <c r="A6" s="65"/>
      <c r="B6" s="46"/>
      <c r="D6" s="48" t="s">
        <v>203</v>
      </c>
    </row>
    <row r="7" spans="1:5" s="48" customFormat="1" x14ac:dyDescent="0.3">
      <c r="A7" s="65"/>
      <c r="B7" s="46"/>
      <c r="D7" s="48" t="s">
        <v>204</v>
      </c>
    </row>
    <row r="8" spans="1:5" s="48" customFormat="1" x14ac:dyDescent="0.3">
      <c r="A8" s="65"/>
      <c r="B8" s="46"/>
      <c r="D8" s="48" t="s">
        <v>206</v>
      </c>
    </row>
    <row r="9" spans="1:5" x14ac:dyDescent="0.3">
      <c r="A9" s="65">
        <v>2</v>
      </c>
      <c r="B9" s="74" t="s">
        <v>141</v>
      </c>
    </row>
    <row r="10" spans="1:5" s="48" customFormat="1" x14ac:dyDescent="0.3">
      <c r="A10" s="65"/>
      <c r="B10" s="46"/>
      <c r="C10" s="48" t="s">
        <v>207</v>
      </c>
    </row>
    <row r="11" spans="1:5" s="48" customFormat="1" x14ac:dyDescent="0.3">
      <c r="A11" s="65"/>
      <c r="B11" s="46"/>
      <c r="C11" s="48" t="s">
        <v>142</v>
      </c>
    </row>
    <row r="12" spans="1:5" s="48" customFormat="1" x14ac:dyDescent="0.3">
      <c r="A12" s="65"/>
      <c r="B12" s="46"/>
      <c r="C12" s="48" t="s">
        <v>140</v>
      </c>
    </row>
    <row r="13" spans="1:5" s="48" customFormat="1" x14ac:dyDescent="0.3">
      <c r="A13" s="65"/>
      <c r="B13" s="46"/>
      <c r="C13" s="48" t="s">
        <v>194</v>
      </c>
    </row>
    <row r="14" spans="1:5" x14ac:dyDescent="0.3">
      <c r="A14" s="65">
        <v>3</v>
      </c>
      <c r="B14" s="100" t="s">
        <v>558</v>
      </c>
    </row>
    <row r="15" spans="1:5" x14ac:dyDescent="0.3">
      <c r="C15" s="48" t="s">
        <v>144</v>
      </c>
    </row>
    <row r="16" spans="1:5" x14ac:dyDescent="0.3">
      <c r="C16" s="48" t="s">
        <v>662</v>
      </c>
    </row>
    <row r="17" spans="1:4" x14ac:dyDescent="0.3">
      <c r="A17" s="65">
        <v>4</v>
      </c>
      <c r="B17" s="100" t="s">
        <v>139</v>
      </c>
    </row>
    <row r="18" spans="1:4" x14ac:dyDescent="0.3">
      <c r="C18" s="48" t="s">
        <v>146</v>
      </c>
    </row>
    <row r="19" spans="1:4" x14ac:dyDescent="0.3">
      <c r="C19" s="48" t="s">
        <v>145</v>
      </c>
    </row>
    <row r="20" spans="1:4" x14ac:dyDescent="0.3">
      <c r="C20" s="48" t="s">
        <v>195</v>
      </c>
    </row>
    <row r="21" spans="1:4" x14ac:dyDescent="0.3">
      <c r="C21" s="48" t="s">
        <v>196</v>
      </c>
    </row>
    <row r="22" spans="1:4" x14ac:dyDescent="0.3">
      <c r="C22" s="48" t="s">
        <v>197</v>
      </c>
    </row>
    <row r="23" spans="1:4" x14ac:dyDescent="0.3">
      <c r="A23" s="65">
        <v>5</v>
      </c>
      <c r="B23" s="74" t="s">
        <v>279</v>
      </c>
      <c r="C23" s="48"/>
    </row>
    <row r="24" spans="1:4" x14ac:dyDescent="0.3">
      <c r="A24" s="65">
        <v>6</v>
      </c>
      <c r="B24" s="74" t="s">
        <v>288</v>
      </c>
      <c r="C24" s="48"/>
    </row>
    <row r="25" spans="1:4" x14ac:dyDescent="0.3">
      <c r="A25" s="65">
        <v>7</v>
      </c>
      <c r="B25" s="74" t="s">
        <v>287</v>
      </c>
    </row>
    <row r="26" spans="1:4" s="48" customFormat="1" x14ac:dyDescent="0.3">
      <c r="A26" s="65"/>
      <c r="B26" s="46"/>
      <c r="C26" s="48" t="s">
        <v>221</v>
      </c>
    </row>
    <row r="27" spans="1:4" s="48" customFormat="1" x14ac:dyDescent="0.3">
      <c r="A27" s="65"/>
      <c r="B27" s="46"/>
      <c r="C27" s="48" t="s">
        <v>222</v>
      </c>
    </row>
    <row r="28" spans="1:4" s="48" customFormat="1" x14ac:dyDescent="0.3">
      <c r="A28" s="65"/>
      <c r="B28" s="46"/>
      <c r="C28" s="48" t="s">
        <v>223</v>
      </c>
    </row>
    <row r="29" spans="1:4" x14ac:dyDescent="0.3">
      <c r="D29" s="48" t="s">
        <v>143</v>
      </c>
    </row>
    <row r="30" spans="1:4" x14ac:dyDescent="0.3">
      <c r="C30" s="48" t="s">
        <v>224</v>
      </c>
    </row>
    <row r="31" spans="1:4" x14ac:dyDescent="0.3">
      <c r="D31" s="48" t="s">
        <v>225</v>
      </c>
    </row>
    <row r="32" spans="1:4" x14ac:dyDescent="0.3">
      <c r="A32" s="65">
        <v>8</v>
      </c>
      <c r="B32" s="100" t="s">
        <v>559</v>
      </c>
      <c r="D32" s="48"/>
    </row>
    <row r="33" spans="1:4" x14ac:dyDescent="0.3">
      <c r="C33" s="48" t="s">
        <v>561</v>
      </c>
      <c r="D33" s="48"/>
    </row>
    <row r="34" spans="1:4" x14ac:dyDescent="0.3">
      <c r="D34" s="48" t="s">
        <v>560</v>
      </c>
    </row>
    <row r="35" spans="1:4" x14ac:dyDescent="0.3">
      <c r="D35" s="48" t="s">
        <v>562</v>
      </c>
    </row>
    <row r="36" spans="1:4" s="46" customFormat="1" x14ac:dyDescent="0.3">
      <c r="A36" s="65">
        <v>9</v>
      </c>
      <c r="B36" s="74" t="s">
        <v>280</v>
      </c>
    </row>
    <row r="37" spans="1:4" x14ac:dyDescent="0.3">
      <c r="C37" s="48" t="s">
        <v>661</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C00000"/>
  </sheetPr>
  <dimension ref="A1:I64"/>
  <sheetViews>
    <sheetView zoomScaleNormal="100" workbookViewId="0">
      <pane ySplit="3" topLeftCell="A4" activePane="bottomLeft" state="frozen"/>
      <selection activeCell="D4" sqref="D4:XFD4"/>
      <selection pane="bottomLeft" activeCell="D13" sqref="D13"/>
    </sheetView>
  </sheetViews>
  <sheetFormatPr defaultColWidth="10.6640625" defaultRowHeight="15" x14ac:dyDescent="0.25"/>
  <cols>
    <col min="1" max="1" width="17.5" style="39" bestFit="1" customWidth="1"/>
    <col min="2" max="2" width="65.1640625" style="40" customWidth="1"/>
    <col min="3" max="3" width="32.1640625" style="42" customWidth="1"/>
    <col min="4" max="4" width="31" style="41" customWidth="1"/>
    <col min="5" max="5" width="14.5" style="191" bestFit="1" customWidth="1"/>
    <col min="6" max="7" width="9.33203125" style="191" customWidth="1"/>
    <col min="8" max="8" width="70.33203125" style="40" customWidth="1"/>
    <col min="9" max="16384" width="10.6640625" style="39"/>
  </cols>
  <sheetData>
    <row r="1" spans="1:9" s="35" customFormat="1" ht="117.75" customHeight="1" x14ac:dyDescent="0.25">
      <c r="A1" s="268" t="s">
        <v>593</v>
      </c>
      <c r="B1" s="43" t="s">
        <v>200</v>
      </c>
      <c r="C1" s="254" t="s">
        <v>20</v>
      </c>
      <c r="D1" s="253" t="s">
        <v>212</v>
      </c>
      <c r="E1" s="197" t="s">
        <v>32</v>
      </c>
      <c r="F1" s="197" t="s">
        <v>591</v>
      </c>
      <c r="G1" s="197"/>
      <c r="H1" s="33" t="s">
        <v>198</v>
      </c>
      <c r="I1" s="34"/>
    </row>
    <row r="2" spans="1:9" ht="26.25" x14ac:dyDescent="0.4">
      <c r="B2" s="44" t="s">
        <v>199</v>
      </c>
      <c r="C2" s="36"/>
      <c r="D2" s="37"/>
      <c r="E2" s="188"/>
      <c r="F2" s="188"/>
      <c r="G2" s="188"/>
      <c r="H2" s="38" t="s">
        <v>23</v>
      </c>
    </row>
    <row r="3" spans="1:9" ht="26.25" x14ac:dyDescent="0.4">
      <c r="A3" s="35" t="s">
        <v>312</v>
      </c>
      <c r="B3" s="91"/>
      <c r="C3" s="92"/>
      <c r="D3" s="92"/>
      <c r="E3" s="189"/>
      <c r="F3" s="189"/>
      <c r="G3" s="189"/>
      <c r="H3" s="198"/>
    </row>
    <row r="4" spans="1:9" s="201" customFormat="1" x14ac:dyDescent="0.25">
      <c r="A4" s="199"/>
      <c r="B4" s="200"/>
      <c r="D4" s="202"/>
      <c r="E4" s="203"/>
      <c r="F4" s="204"/>
      <c r="G4" s="204"/>
      <c r="H4" s="205"/>
    </row>
    <row r="5" spans="1:9" s="201" customFormat="1" x14ac:dyDescent="0.25">
      <c r="A5" s="205"/>
      <c r="B5" s="200"/>
      <c r="D5" s="202"/>
      <c r="E5" s="203"/>
      <c r="F5" s="204"/>
      <c r="G5" s="204"/>
    </row>
    <row r="6" spans="1:9" s="201" customFormat="1" x14ac:dyDescent="0.25">
      <c r="A6" s="205"/>
      <c r="B6" s="200"/>
      <c r="D6" s="202"/>
      <c r="E6" s="203"/>
      <c r="F6" s="204"/>
      <c r="G6" s="204"/>
    </row>
    <row r="7" spans="1:9" s="201" customFormat="1" x14ac:dyDescent="0.25">
      <c r="A7" s="205"/>
      <c r="B7" s="200"/>
      <c r="D7" s="202"/>
      <c r="E7" s="203"/>
      <c r="F7" s="204"/>
      <c r="G7" s="204"/>
    </row>
    <row r="8" spans="1:9" s="201" customFormat="1" x14ac:dyDescent="0.25">
      <c r="A8" s="205"/>
      <c r="B8" s="200"/>
      <c r="D8" s="202"/>
      <c r="E8" s="203"/>
      <c r="F8" s="204"/>
      <c r="G8" s="204"/>
    </row>
    <row r="9" spans="1:9" s="201" customFormat="1" x14ac:dyDescent="0.25">
      <c r="A9" s="205"/>
      <c r="B9" s="200"/>
      <c r="D9" s="202"/>
      <c r="E9" s="203"/>
      <c r="F9" s="204"/>
      <c r="G9" s="204"/>
    </row>
    <row r="10" spans="1:9" s="201" customFormat="1" x14ac:dyDescent="0.25">
      <c r="A10" s="205"/>
      <c r="B10" s="200"/>
      <c r="D10" s="202"/>
      <c r="E10" s="203"/>
      <c r="F10" s="204"/>
      <c r="G10" s="204"/>
    </row>
    <row r="11" spans="1:9" s="201" customFormat="1" x14ac:dyDescent="0.25">
      <c r="A11" s="205"/>
      <c r="B11" s="200"/>
      <c r="D11" s="202"/>
      <c r="E11" s="203"/>
      <c r="F11" s="204"/>
      <c r="G11" s="204"/>
    </row>
    <row r="12" spans="1:9" s="201" customFormat="1" x14ac:dyDescent="0.25">
      <c r="A12" s="205"/>
      <c r="B12" s="200"/>
      <c r="D12" s="202"/>
      <c r="E12" s="203"/>
      <c r="F12" s="204"/>
      <c r="G12" s="204"/>
    </row>
    <row r="13" spans="1:9" s="201" customFormat="1" x14ac:dyDescent="0.25">
      <c r="A13" s="205"/>
      <c r="B13" s="200"/>
      <c r="C13" s="93"/>
      <c r="D13" s="202"/>
      <c r="E13" s="203"/>
      <c r="F13" s="204"/>
      <c r="G13" s="204"/>
    </row>
    <row r="14" spans="1:9" s="201" customFormat="1" x14ac:dyDescent="0.25">
      <c r="A14" s="205"/>
      <c r="B14" s="200"/>
      <c r="D14" s="202"/>
      <c r="E14" s="204"/>
      <c r="F14" s="204"/>
      <c r="G14" s="204"/>
    </row>
    <row r="15" spans="1:9" s="201" customFormat="1" x14ac:dyDescent="0.25">
      <c r="A15" s="205"/>
      <c r="B15" s="200"/>
      <c r="D15" s="202"/>
      <c r="E15" s="203"/>
      <c r="F15" s="204"/>
      <c r="G15" s="204"/>
    </row>
    <row r="16" spans="1:9" hidden="1" x14ac:dyDescent="0.25">
      <c r="A16" s="40" t="s">
        <v>311</v>
      </c>
      <c r="B16" s="89" t="s">
        <v>291</v>
      </c>
      <c r="C16" s="39"/>
      <c r="D16" s="90"/>
      <c r="E16" s="90"/>
      <c r="F16" s="90"/>
      <c r="G16" s="90"/>
      <c r="H16" s="39"/>
    </row>
    <row r="17" spans="1:8" s="201" customFormat="1" x14ac:dyDescent="0.25">
      <c r="A17" s="205"/>
      <c r="B17" s="200"/>
      <c r="D17" s="202"/>
      <c r="E17" s="204"/>
      <c r="F17" s="204"/>
      <c r="G17" s="204"/>
    </row>
    <row r="18" spans="1:8" hidden="1" x14ac:dyDescent="0.25">
      <c r="A18" s="40" t="s">
        <v>311</v>
      </c>
      <c r="B18" s="89" t="s">
        <v>292</v>
      </c>
      <c r="C18" s="39"/>
      <c r="D18" s="90"/>
      <c r="E18" s="90"/>
      <c r="F18" s="90"/>
      <c r="G18" s="90"/>
      <c r="H18" s="39"/>
    </row>
    <row r="19" spans="1:8" s="201" customFormat="1" x14ac:dyDescent="0.25">
      <c r="A19" s="205"/>
      <c r="B19" s="200"/>
      <c r="D19" s="202"/>
      <c r="E19" s="204"/>
      <c r="F19" s="204"/>
      <c r="G19" s="204"/>
    </row>
    <row r="20" spans="1:8" hidden="1" x14ac:dyDescent="0.25">
      <c r="A20" s="40" t="s">
        <v>311</v>
      </c>
      <c r="B20" s="89" t="s">
        <v>293</v>
      </c>
      <c r="C20" s="39"/>
      <c r="D20" s="90"/>
      <c r="E20" s="90"/>
      <c r="F20" s="90"/>
      <c r="G20" s="90"/>
      <c r="H20" s="39"/>
    </row>
    <row r="21" spans="1:8" s="201" customFormat="1" x14ac:dyDescent="0.25">
      <c r="A21" s="205"/>
      <c r="D21" s="202"/>
      <c r="E21" s="203"/>
      <c r="F21" s="204"/>
      <c r="G21" s="204"/>
    </row>
    <row r="22" spans="1:8" hidden="1" x14ac:dyDescent="0.25">
      <c r="A22" s="40" t="s">
        <v>311</v>
      </c>
      <c r="B22" s="89" t="s">
        <v>294</v>
      </c>
      <c r="C22" s="39"/>
      <c r="D22" s="90"/>
      <c r="E22" s="90"/>
      <c r="F22" s="90"/>
      <c r="G22" s="90"/>
      <c r="H22" s="39"/>
    </row>
    <row r="23" spans="1:8" hidden="1" x14ac:dyDescent="0.25">
      <c r="A23" s="40" t="s">
        <v>311</v>
      </c>
      <c r="B23" s="89" t="s">
        <v>295</v>
      </c>
      <c r="C23" s="39"/>
      <c r="D23" s="90"/>
      <c r="E23" s="90"/>
      <c r="F23" s="90"/>
      <c r="G23" s="90"/>
      <c r="H23" s="39"/>
    </row>
    <row r="24" spans="1:8" hidden="1" x14ac:dyDescent="0.25">
      <c r="A24" s="40" t="s">
        <v>311</v>
      </c>
      <c r="B24" s="89" t="s">
        <v>296</v>
      </c>
      <c r="C24" s="39"/>
      <c r="D24" s="90"/>
      <c r="E24" s="90"/>
      <c r="F24" s="90"/>
      <c r="G24" s="90"/>
      <c r="H24" s="39"/>
    </row>
    <row r="25" spans="1:8" hidden="1" x14ac:dyDescent="0.25">
      <c r="A25" s="40" t="s">
        <v>311</v>
      </c>
      <c r="B25" s="89" t="s">
        <v>297</v>
      </c>
      <c r="C25" s="39"/>
      <c r="D25" s="90"/>
      <c r="E25" s="90"/>
      <c r="F25" s="90"/>
      <c r="G25" s="90"/>
      <c r="H25" s="39"/>
    </row>
    <row r="26" spans="1:8" hidden="1" x14ac:dyDescent="0.25">
      <c r="A26" s="40" t="s">
        <v>311</v>
      </c>
      <c r="B26" s="89" t="s">
        <v>298</v>
      </c>
      <c r="C26" s="39"/>
      <c r="D26" s="90"/>
      <c r="E26" s="90"/>
      <c r="F26" s="90"/>
      <c r="G26" s="90"/>
      <c r="H26" s="39"/>
    </row>
    <row r="27" spans="1:8" hidden="1" x14ac:dyDescent="0.25">
      <c r="A27" s="40" t="s">
        <v>311</v>
      </c>
      <c r="B27" s="89" t="s">
        <v>299</v>
      </c>
      <c r="C27" s="39"/>
      <c r="D27" s="90"/>
      <c r="E27" s="90"/>
      <c r="F27" s="90"/>
      <c r="G27" s="90"/>
      <c r="H27" s="39"/>
    </row>
    <row r="28" spans="1:8" hidden="1" x14ac:dyDescent="0.25">
      <c r="A28" s="40" t="s">
        <v>311</v>
      </c>
      <c r="B28" s="89" t="s">
        <v>300</v>
      </c>
      <c r="C28" s="39"/>
      <c r="D28" s="90"/>
      <c r="E28" s="90"/>
      <c r="F28" s="90"/>
      <c r="G28" s="90"/>
      <c r="H28" s="39"/>
    </row>
    <row r="29" spans="1:8" s="201" customFormat="1" x14ac:dyDescent="0.25">
      <c r="A29" s="205"/>
      <c r="B29" s="200"/>
      <c r="D29" s="202"/>
      <c r="E29" s="203"/>
      <c r="F29" s="204"/>
      <c r="G29" s="204"/>
    </row>
    <row r="30" spans="1:8" s="201" customFormat="1" x14ac:dyDescent="0.25">
      <c r="A30" s="205"/>
      <c r="B30" s="200"/>
      <c r="D30" s="202"/>
      <c r="E30" s="203"/>
      <c r="F30" s="204"/>
      <c r="G30" s="204"/>
    </row>
    <row r="31" spans="1:8" hidden="1" x14ac:dyDescent="0.25">
      <c r="A31" s="40" t="s">
        <v>311</v>
      </c>
      <c r="B31" s="89" t="s">
        <v>301</v>
      </c>
      <c r="C31" s="39"/>
      <c r="D31" s="90"/>
      <c r="E31" s="90"/>
      <c r="F31" s="90"/>
      <c r="G31" s="90"/>
      <c r="H31" s="39"/>
    </row>
    <row r="32" spans="1:8" hidden="1" x14ac:dyDescent="0.25">
      <c r="A32" s="40" t="s">
        <v>311</v>
      </c>
      <c r="B32" s="89" t="s">
        <v>302</v>
      </c>
      <c r="C32" s="39"/>
      <c r="D32" s="90"/>
      <c r="E32" s="90"/>
      <c r="F32" s="90"/>
      <c r="G32" s="90"/>
      <c r="H32" s="39"/>
    </row>
    <row r="33" spans="1:8" hidden="1" x14ac:dyDescent="0.25">
      <c r="A33" s="40" t="s">
        <v>311</v>
      </c>
      <c r="B33" s="89" t="s">
        <v>303</v>
      </c>
      <c r="C33" s="39"/>
      <c r="D33" s="90"/>
      <c r="E33" s="90"/>
      <c r="F33" s="90"/>
      <c r="G33" s="90"/>
      <c r="H33" s="39"/>
    </row>
    <row r="34" spans="1:8" hidden="1" x14ac:dyDescent="0.25">
      <c r="A34" s="40" t="s">
        <v>311</v>
      </c>
      <c r="B34" s="89" t="s">
        <v>304</v>
      </c>
      <c r="C34" s="39"/>
      <c r="D34" s="90"/>
      <c r="E34" s="90"/>
      <c r="F34" s="90"/>
      <c r="G34" s="90"/>
      <c r="H34" s="39"/>
    </row>
    <row r="35" spans="1:8" hidden="1" x14ac:dyDescent="0.25">
      <c r="A35" s="40" t="s">
        <v>311</v>
      </c>
      <c r="B35" s="89" t="s">
        <v>305</v>
      </c>
      <c r="C35" s="39"/>
      <c r="D35" s="90"/>
      <c r="E35" s="90"/>
      <c r="F35" s="90"/>
      <c r="G35" s="90"/>
      <c r="H35" s="39"/>
    </row>
    <row r="36" spans="1:8" hidden="1" x14ac:dyDescent="0.25">
      <c r="A36" s="40" t="s">
        <v>311</v>
      </c>
      <c r="B36" s="89" t="s">
        <v>306</v>
      </c>
      <c r="C36" s="39"/>
      <c r="D36" s="90"/>
      <c r="E36" s="90"/>
      <c r="F36" s="90"/>
      <c r="G36" s="90"/>
      <c r="H36" s="39"/>
    </row>
    <row r="37" spans="1:8" hidden="1" x14ac:dyDescent="0.25">
      <c r="A37" s="40" t="s">
        <v>311</v>
      </c>
      <c r="B37" s="89" t="s">
        <v>307</v>
      </c>
      <c r="C37" s="39"/>
      <c r="D37" s="90"/>
      <c r="E37" s="90"/>
      <c r="F37" s="90"/>
      <c r="G37" s="90"/>
      <c r="H37" s="39"/>
    </row>
    <row r="38" spans="1:8" hidden="1" x14ac:dyDescent="0.25">
      <c r="A38" s="40" t="s">
        <v>311</v>
      </c>
      <c r="B38" s="89" t="s">
        <v>308</v>
      </c>
      <c r="C38" s="39"/>
      <c r="D38" s="90"/>
      <c r="E38" s="90"/>
      <c r="F38" s="90"/>
      <c r="G38" s="90"/>
      <c r="H38" s="39"/>
    </row>
    <row r="39" spans="1:8" hidden="1" x14ac:dyDescent="0.25">
      <c r="A39" s="40" t="s">
        <v>311</v>
      </c>
      <c r="B39" s="89" t="s">
        <v>309</v>
      </c>
      <c r="C39" s="39"/>
      <c r="D39" s="90"/>
      <c r="E39" s="90"/>
      <c r="F39" s="90"/>
      <c r="G39" s="90"/>
      <c r="H39" s="39"/>
    </row>
    <row r="40" spans="1:8" hidden="1" x14ac:dyDescent="0.25">
      <c r="A40" s="40" t="s">
        <v>311</v>
      </c>
      <c r="B40" s="89" t="s">
        <v>310</v>
      </c>
      <c r="C40" s="39"/>
      <c r="D40" s="90"/>
      <c r="E40" s="90"/>
      <c r="F40" s="90"/>
      <c r="G40" s="90"/>
      <c r="H40" s="39"/>
    </row>
    <row r="41" spans="1:8" s="201" customFormat="1" x14ac:dyDescent="0.25">
      <c r="A41" s="205"/>
      <c r="B41" s="200"/>
      <c r="D41" s="202"/>
      <c r="E41" s="203"/>
      <c r="F41" s="204"/>
      <c r="G41" s="204"/>
    </row>
    <row r="42" spans="1:8" s="201" customFormat="1" x14ac:dyDescent="0.25">
      <c r="A42" s="205"/>
      <c r="B42" s="200"/>
      <c r="D42" s="202"/>
      <c r="E42" s="203"/>
      <c r="F42" s="204"/>
      <c r="G42" s="204"/>
    </row>
    <row r="43" spans="1:8" s="201" customFormat="1" x14ac:dyDescent="0.25">
      <c r="A43" s="205"/>
      <c r="B43" s="200"/>
      <c r="D43" s="202"/>
      <c r="E43" s="203"/>
      <c r="F43" s="204"/>
      <c r="G43" s="204"/>
    </row>
    <row r="44" spans="1:8" s="201" customFormat="1" x14ac:dyDescent="0.25">
      <c r="B44" s="200"/>
      <c r="C44" s="206"/>
      <c r="D44" s="202"/>
      <c r="E44" s="203"/>
      <c r="F44" s="207"/>
      <c r="G44" s="207"/>
      <c r="H44" s="205"/>
    </row>
    <row r="45" spans="1:8" s="201" customFormat="1" x14ac:dyDescent="0.25">
      <c r="B45" s="200"/>
      <c r="C45" s="206"/>
      <c r="D45" s="202"/>
      <c r="E45" s="203"/>
      <c r="F45" s="207"/>
      <c r="G45" s="207"/>
      <c r="H45" s="205"/>
    </row>
    <row r="46" spans="1:8" s="201" customFormat="1" x14ac:dyDescent="0.25">
      <c r="B46" s="200"/>
      <c r="C46" s="206"/>
      <c r="D46" s="202"/>
      <c r="E46" s="203"/>
      <c r="F46" s="207"/>
      <c r="G46" s="207"/>
      <c r="H46" s="205"/>
    </row>
    <row r="47" spans="1:8" s="201" customFormat="1" x14ac:dyDescent="0.25">
      <c r="B47" s="200"/>
      <c r="C47" s="206"/>
      <c r="D47" s="202"/>
      <c r="E47" s="203"/>
      <c r="F47" s="207"/>
      <c r="G47" s="207"/>
      <c r="H47" s="205"/>
    </row>
    <row r="48" spans="1:8" s="201" customFormat="1" x14ac:dyDescent="0.25">
      <c r="B48" s="200"/>
      <c r="C48" s="206"/>
      <c r="D48" s="202"/>
      <c r="E48" s="203"/>
      <c r="F48" s="207"/>
      <c r="G48" s="207"/>
      <c r="H48" s="205"/>
    </row>
    <row r="49" spans="1:8" s="201" customFormat="1" x14ac:dyDescent="0.25">
      <c r="B49" s="200"/>
      <c r="C49" s="206"/>
      <c r="D49" s="202"/>
      <c r="E49" s="203"/>
      <c r="F49" s="207"/>
      <c r="G49" s="207"/>
      <c r="H49" s="205"/>
    </row>
    <row r="50" spans="1:8" s="201" customFormat="1" x14ac:dyDescent="0.25">
      <c r="B50" s="200"/>
      <c r="C50" s="206"/>
      <c r="D50" s="202"/>
      <c r="E50" s="203"/>
      <c r="F50" s="207"/>
      <c r="G50" s="207"/>
      <c r="H50" s="205"/>
    </row>
    <row r="51" spans="1:8" s="201" customFormat="1" x14ac:dyDescent="0.25">
      <c r="B51" s="200"/>
      <c r="C51" s="206"/>
      <c r="D51" s="202"/>
      <c r="E51" s="203"/>
      <c r="F51" s="207"/>
      <c r="G51" s="207"/>
      <c r="H51" s="205"/>
    </row>
    <row r="52" spans="1:8" s="201" customFormat="1" x14ac:dyDescent="0.25">
      <c r="B52" s="200"/>
      <c r="C52" s="206"/>
      <c r="D52" s="202"/>
      <c r="E52" s="203"/>
      <c r="F52" s="207"/>
      <c r="G52" s="207"/>
      <c r="H52" s="205"/>
    </row>
    <row r="53" spans="1:8" s="201" customFormat="1" x14ac:dyDescent="0.25">
      <c r="B53" s="200"/>
      <c r="C53" s="206"/>
      <c r="D53" s="202"/>
      <c r="E53" s="203"/>
      <c r="F53" s="207"/>
      <c r="G53" s="207"/>
      <c r="H53" s="205"/>
    </row>
    <row r="54" spans="1:8" s="201" customFormat="1" x14ac:dyDescent="0.25">
      <c r="B54" s="200"/>
      <c r="C54" s="206"/>
      <c r="D54" s="202"/>
      <c r="E54" s="203"/>
      <c r="F54" s="207"/>
      <c r="G54" s="207"/>
      <c r="H54" s="205"/>
    </row>
    <row r="55" spans="1:8" s="201" customFormat="1" x14ac:dyDescent="0.25">
      <c r="B55" s="200"/>
      <c r="C55" s="206"/>
      <c r="D55" s="202"/>
      <c r="E55" s="203"/>
      <c r="F55" s="207"/>
      <c r="G55" s="207"/>
      <c r="H55" s="205"/>
    </row>
    <row r="56" spans="1:8" s="201" customFormat="1" x14ac:dyDescent="0.25">
      <c r="B56" s="200"/>
      <c r="C56" s="206"/>
      <c r="D56" s="202"/>
      <c r="E56" s="203"/>
      <c r="F56" s="207"/>
      <c r="G56" s="207"/>
      <c r="H56" s="205"/>
    </row>
    <row r="57" spans="1:8" s="201" customFormat="1" x14ac:dyDescent="0.25">
      <c r="B57" s="200"/>
      <c r="C57" s="206"/>
      <c r="D57" s="202"/>
      <c r="E57" s="203"/>
      <c r="F57" s="207"/>
      <c r="G57" s="207"/>
      <c r="H57" s="205"/>
    </row>
    <row r="58" spans="1:8" s="201" customFormat="1" x14ac:dyDescent="0.25">
      <c r="B58" s="200"/>
      <c r="C58" s="206"/>
      <c r="D58" s="202"/>
      <c r="E58" s="203"/>
      <c r="F58" s="207"/>
      <c r="G58" s="207"/>
      <c r="H58" s="205"/>
    </row>
    <row r="59" spans="1:8" s="201" customFormat="1" x14ac:dyDescent="0.25">
      <c r="B59" s="200"/>
      <c r="C59" s="206"/>
      <c r="D59" s="202"/>
      <c r="E59" s="204"/>
      <c r="F59" s="204"/>
      <c r="G59" s="204"/>
      <c r="H59" s="205"/>
    </row>
    <row r="60" spans="1:8" s="201" customFormat="1" x14ac:dyDescent="0.25">
      <c r="B60" s="200"/>
      <c r="C60" s="93"/>
      <c r="D60" s="202"/>
      <c r="E60" s="204"/>
      <c r="F60" s="204"/>
      <c r="G60" s="204"/>
      <c r="H60" s="205"/>
    </row>
    <row r="61" spans="1:8" s="201" customFormat="1" x14ac:dyDescent="0.25">
      <c r="B61" s="200"/>
      <c r="D61" s="202"/>
      <c r="E61" s="204"/>
      <c r="F61" s="207"/>
      <c r="G61" s="207"/>
      <c r="H61" s="205"/>
    </row>
    <row r="62" spans="1:8" s="201" customFormat="1" x14ac:dyDescent="0.25">
      <c r="B62" s="200"/>
      <c r="C62" s="93"/>
      <c r="D62" s="202"/>
      <c r="E62" s="204"/>
      <c r="F62" s="204"/>
      <c r="G62" s="204"/>
      <c r="H62" s="205"/>
    </row>
    <row r="64" spans="1:8" x14ac:dyDescent="0.25">
      <c r="A64" s="40"/>
      <c r="B64" s="187"/>
      <c r="C64" s="39"/>
      <c r="D64" s="186"/>
      <c r="E64" s="190"/>
      <c r="F64" s="190"/>
      <c r="G64" s="190"/>
      <c r="H64" s="39"/>
    </row>
  </sheetData>
  <autoFilter ref="A1:A556">
    <filterColumn colId="0">
      <filters blank="1">
        <filter val="AIR_GHG"/>
        <filter val="Source"/>
      </filters>
    </filterColumn>
  </autoFilter>
  <hyperlinks>
    <hyperlink ref="A1" location="'Indicator-Concept Matrix'!A1" display="Update Concept Scheme Concepts"/>
    <hyperlink ref="E1" location="CL_UNIT_MULT!A1" display="UNIT_MULT"/>
    <hyperlink ref="F1" location="CL_TRANSFORMATION!A1" display="TRANSFORMATION"/>
    <hyperlink ref="D1" location="CL_MEASURE!A1" display="MEASURE"/>
    <hyperlink ref="C1" location="CL_UNIT_MEASURE!A1" display="UNIT_MEASURE"/>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46"/>
  <sheetViews>
    <sheetView zoomScale="85" zoomScaleNormal="85" workbookViewId="0">
      <pane xSplit="2" ySplit="2" topLeftCell="E3" activePane="bottomRight" state="frozen"/>
      <selection activeCell="D4" sqref="D4:XFD4"/>
      <selection pane="topRight" activeCell="D4" sqref="D4:XFD4"/>
      <selection pane="bottomLeft" activeCell="D4" sqref="D4:XFD4"/>
      <selection pane="bottomRight" activeCell="B20" sqref="B20"/>
    </sheetView>
  </sheetViews>
  <sheetFormatPr defaultRowHeight="12.75" x14ac:dyDescent="0.2"/>
  <cols>
    <col min="1" max="1" width="23.33203125" style="24" customWidth="1"/>
    <col min="2" max="2" width="32.33203125" style="24" customWidth="1"/>
    <col min="3" max="3" width="30.6640625" style="29" customWidth="1"/>
    <col min="4" max="4" width="30.5" style="24" bestFit="1" customWidth="1"/>
    <col min="5" max="5" width="41.1640625" style="24" bestFit="1" customWidth="1"/>
    <col min="6" max="6" width="39.33203125" style="29" customWidth="1"/>
    <col min="7" max="7" width="32.1640625" style="68" bestFit="1" customWidth="1"/>
    <col min="8" max="8" width="25" style="24" customWidth="1"/>
    <col min="9" max="9" width="14.5" style="27" customWidth="1"/>
    <col min="10" max="10" width="22" style="246" customWidth="1"/>
    <col min="11" max="11" width="11.1640625" style="29" customWidth="1"/>
    <col min="12" max="12" width="11" style="24" customWidth="1"/>
    <col min="13" max="13" width="38.5" style="24" customWidth="1"/>
    <col min="14" max="16384" width="9.33203125" style="24"/>
  </cols>
  <sheetData>
    <row r="1" spans="1:13" s="171" customFormat="1" ht="18.75" x14ac:dyDescent="0.3">
      <c r="A1" s="170" t="s">
        <v>48</v>
      </c>
      <c r="B1" s="171" t="s">
        <v>247</v>
      </c>
      <c r="C1" s="172" t="s">
        <v>49</v>
      </c>
      <c r="D1" s="173" t="s">
        <v>147</v>
      </c>
      <c r="E1" s="170" t="s">
        <v>227</v>
      </c>
      <c r="F1" s="171" t="s">
        <v>230</v>
      </c>
      <c r="G1" s="174" t="s">
        <v>226</v>
      </c>
      <c r="H1" s="171" t="s">
        <v>231</v>
      </c>
      <c r="I1" s="170" t="s">
        <v>9</v>
      </c>
      <c r="J1" s="244" t="s">
        <v>232</v>
      </c>
      <c r="K1" s="175" t="s">
        <v>327</v>
      </c>
      <c r="L1" s="176" t="b">
        <v>0</v>
      </c>
      <c r="M1" s="241" t="s">
        <v>622</v>
      </c>
    </row>
    <row r="2" spans="1:13" s="153" customFormat="1" ht="38.25" x14ac:dyDescent="0.2">
      <c r="A2" s="255" t="s">
        <v>54</v>
      </c>
      <c r="B2" s="255" t="s">
        <v>124</v>
      </c>
      <c r="C2" s="256" t="s">
        <v>4</v>
      </c>
      <c r="D2" s="255" t="s">
        <v>125</v>
      </c>
      <c r="E2" s="257" t="s">
        <v>57</v>
      </c>
      <c r="F2" s="257" t="s">
        <v>56</v>
      </c>
      <c r="G2" s="258" t="s">
        <v>49</v>
      </c>
      <c r="H2" s="259" t="s">
        <v>51</v>
      </c>
      <c r="I2" s="259" t="s">
        <v>485</v>
      </c>
      <c r="J2" s="259" t="s">
        <v>486</v>
      </c>
      <c r="K2" s="260" t="s">
        <v>557</v>
      </c>
    </row>
    <row r="3" spans="1:13" s="165" customFormat="1" ht="63.75" x14ac:dyDescent="0.2">
      <c r="A3" s="261" t="s">
        <v>3</v>
      </c>
      <c r="B3" s="262" t="s">
        <v>212</v>
      </c>
      <c r="C3" s="262" t="s">
        <v>213</v>
      </c>
      <c r="D3" s="156" t="s">
        <v>241</v>
      </c>
      <c r="E3" s="263" t="s">
        <v>245</v>
      </c>
      <c r="F3" s="157" t="s">
        <v>247</v>
      </c>
      <c r="G3" s="158" t="s">
        <v>147</v>
      </c>
      <c r="H3" s="157" t="s">
        <v>52</v>
      </c>
      <c r="I3" s="165">
        <v>1</v>
      </c>
      <c r="J3" s="165">
        <v>10</v>
      </c>
      <c r="K3" s="166" t="s">
        <v>571</v>
      </c>
    </row>
    <row r="4" spans="1:13" s="165" customFormat="1" ht="12.75" customHeight="1" x14ac:dyDescent="0.2">
      <c r="A4" s="261" t="s">
        <v>3</v>
      </c>
      <c r="B4" s="262" t="s">
        <v>20</v>
      </c>
      <c r="C4" s="262" t="s">
        <v>214</v>
      </c>
      <c r="D4" s="167" t="s">
        <v>242</v>
      </c>
      <c r="E4" s="264" t="s">
        <v>246</v>
      </c>
      <c r="F4" s="157" t="s">
        <v>247</v>
      </c>
      <c r="G4" s="158" t="s">
        <v>147</v>
      </c>
      <c r="H4" s="157" t="s">
        <v>52</v>
      </c>
      <c r="I4" s="165">
        <v>1</v>
      </c>
      <c r="J4" s="165">
        <v>20</v>
      </c>
      <c r="K4" s="166"/>
    </row>
    <row r="5" spans="1:13" s="165" customFormat="1" ht="38.25" x14ac:dyDescent="0.2">
      <c r="A5" s="159" t="s">
        <v>21</v>
      </c>
      <c r="B5" s="157" t="s">
        <v>18</v>
      </c>
      <c r="C5" s="157" t="s">
        <v>5</v>
      </c>
      <c r="D5" s="156" t="s">
        <v>115</v>
      </c>
      <c r="E5" s="263" t="s">
        <v>19</v>
      </c>
      <c r="F5" s="157" t="s">
        <v>15</v>
      </c>
      <c r="G5" s="158" t="s">
        <v>126</v>
      </c>
      <c r="H5" s="157" t="s">
        <v>52</v>
      </c>
      <c r="I5" s="165">
        <v>1</v>
      </c>
      <c r="J5" s="165">
        <v>1</v>
      </c>
      <c r="K5" s="166" t="s">
        <v>18</v>
      </c>
    </row>
    <row r="6" spans="1:13" s="165" customFormat="1" ht="12.75" customHeight="1" x14ac:dyDescent="0.2">
      <c r="A6" s="160" t="s">
        <v>22</v>
      </c>
      <c r="B6" s="157" t="s">
        <v>46</v>
      </c>
      <c r="C6" s="157" t="s">
        <v>55</v>
      </c>
      <c r="D6" s="161" t="s">
        <v>116</v>
      </c>
      <c r="E6" s="157" t="s">
        <v>58</v>
      </c>
      <c r="F6" s="157" t="s">
        <v>15</v>
      </c>
      <c r="G6" s="158" t="s">
        <v>147</v>
      </c>
      <c r="H6" s="157" t="s">
        <v>47</v>
      </c>
      <c r="K6" s="166"/>
    </row>
    <row r="7" spans="1:13" s="165" customFormat="1" ht="38.25" x14ac:dyDescent="0.2">
      <c r="A7" s="49" t="s">
        <v>3</v>
      </c>
      <c r="B7" s="50" t="s">
        <v>16</v>
      </c>
      <c r="C7" s="50" t="s">
        <v>17</v>
      </c>
      <c r="D7" s="161" t="s">
        <v>243</v>
      </c>
      <c r="E7" s="263" t="s">
        <v>244</v>
      </c>
      <c r="F7" s="157" t="s">
        <v>247</v>
      </c>
      <c r="G7" s="158" t="s">
        <v>147</v>
      </c>
      <c r="H7" s="157" t="s">
        <v>52</v>
      </c>
      <c r="I7" s="165">
        <v>1</v>
      </c>
      <c r="J7" s="165">
        <v>20</v>
      </c>
      <c r="K7" s="168" t="s">
        <v>574</v>
      </c>
    </row>
    <row r="8" spans="1:13" x14ac:dyDescent="0.2">
      <c r="A8" s="31" t="s">
        <v>3</v>
      </c>
      <c r="B8" s="25" t="s">
        <v>591</v>
      </c>
      <c r="C8" s="25" t="s">
        <v>624</v>
      </c>
      <c r="D8" s="26"/>
      <c r="E8" s="265" t="s">
        <v>623</v>
      </c>
      <c r="F8" s="30" t="s">
        <v>15</v>
      </c>
      <c r="G8" s="67" t="s">
        <v>147</v>
      </c>
      <c r="H8" s="25" t="s">
        <v>52</v>
      </c>
      <c r="I8" s="24"/>
      <c r="J8" s="245">
        <v>20</v>
      </c>
      <c r="K8" s="152"/>
    </row>
    <row r="9" spans="1:13" s="165" customFormat="1" ht="38.25" customHeight="1" x14ac:dyDescent="0.2">
      <c r="A9" s="160" t="s">
        <v>1</v>
      </c>
      <c r="B9" s="157" t="s">
        <v>43</v>
      </c>
      <c r="C9" s="157" t="s">
        <v>44</v>
      </c>
      <c r="D9" s="161" t="s">
        <v>117</v>
      </c>
      <c r="E9" s="157" t="s">
        <v>58</v>
      </c>
      <c r="F9" s="157" t="s">
        <v>15</v>
      </c>
      <c r="G9" s="158" t="s">
        <v>147</v>
      </c>
      <c r="H9" s="157" t="s">
        <v>118</v>
      </c>
      <c r="J9" s="169">
        <v>15</v>
      </c>
      <c r="K9" s="168"/>
    </row>
    <row r="10" spans="1:13" s="165" customFormat="1" ht="51" x14ac:dyDescent="0.2">
      <c r="A10" s="266" t="s">
        <v>240</v>
      </c>
      <c r="B10" s="157" t="s">
        <v>28</v>
      </c>
      <c r="C10" s="157" t="s">
        <v>38</v>
      </c>
      <c r="D10" s="156" t="s">
        <v>119</v>
      </c>
      <c r="E10" s="265" t="s">
        <v>33</v>
      </c>
      <c r="F10" s="162" t="s">
        <v>15</v>
      </c>
      <c r="G10" s="163">
        <v>1.2</v>
      </c>
      <c r="H10" s="157" t="s">
        <v>52</v>
      </c>
      <c r="I10" s="165">
        <v>1</v>
      </c>
      <c r="J10" s="165">
        <v>1</v>
      </c>
      <c r="K10" s="168" t="s">
        <v>572</v>
      </c>
    </row>
    <row r="11" spans="1:13" s="165" customFormat="1" ht="38.25" customHeight="1" x14ac:dyDescent="0.2">
      <c r="A11" s="266" t="s">
        <v>27</v>
      </c>
      <c r="B11" s="157" t="s">
        <v>29</v>
      </c>
      <c r="C11" s="157" t="s">
        <v>39</v>
      </c>
      <c r="D11" s="156" t="s">
        <v>120</v>
      </c>
      <c r="E11" s="267" t="s">
        <v>34</v>
      </c>
      <c r="F11" s="162" t="s">
        <v>15</v>
      </c>
      <c r="G11" s="158" t="s">
        <v>147</v>
      </c>
      <c r="H11" s="157" t="s">
        <v>53</v>
      </c>
      <c r="J11" s="169"/>
      <c r="K11" s="168"/>
    </row>
    <row r="12" spans="1:13" s="165" customFormat="1" ht="38.25" x14ac:dyDescent="0.2">
      <c r="A12" s="266" t="s">
        <v>240</v>
      </c>
      <c r="B12" s="157" t="s">
        <v>30</v>
      </c>
      <c r="C12" s="157" t="s">
        <v>40</v>
      </c>
      <c r="D12" s="156" t="s">
        <v>121</v>
      </c>
      <c r="E12" s="267" t="s">
        <v>35</v>
      </c>
      <c r="F12" s="162" t="s">
        <v>15</v>
      </c>
      <c r="G12" s="164">
        <v>2.1</v>
      </c>
      <c r="H12" s="157" t="s">
        <v>52</v>
      </c>
      <c r="I12" s="165">
        <v>1</v>
      </c>
      <c r="J12" s="165">
        <v>1</v>
      </c>
      <c r="K12" s="168" t="s">
        <v>572</v>
      </c>
    </row>
    <row r="13" spans="1:13" s="165" customFormat="1" ht="25.5" x14ac:dyDescent="0.2">
      <c r="A13" s="266" t="s">
        <v>27</v>
      </c>
      <c r="B13" s="157" t="s">
        <v>31</v>
      </c>
      <c r="C13" s="157" t="s">
        <v>41</v>
      </c>
      <c r="D13" s="156" t="s">
        <v>122</v>
      </c>
      <c r="E13" s="263" t="s">
        <v>36</v>
      </c>
      <c r="F13" s="162" t="s">
        <v>15</v>
      </c>
      <c r="G13" s="158" t="s">
        <v>147</v>
      </c>
      <c r="H13" s="157" t="s">
        <v>52</v>
      </c>
      <c r="J13" s="165">
        <v>20</v>
      </c>
      <c r="K13" s="168"/>
    </row>
    <row r="14" spans="1:13" s="165" customFormat="1" ht="76.5" x14ac:dyDescent="0.2">
      <c r="A14" s="266" t="s">
        <v>45</v>
      </c>
      <c r="B14" s="157" t="s">
        <v>32</v>
      </c>
      <c r="C14" s="157" t="s">
        <v>42</v>
      </c>
      <c r="D14" s="156" t="s">
        <v>123</v>
      </c>
      <c r="E14" s="263" t="s">
        <v>37</v>
      </c>
      <c r="F14" s="162" t="s">
        <v>15</v>
      </c>
      <c r="G14" s="163">
        <v>1.1000000000000001</v>
      </c>
      <c r="H14" s="157" t="s">
        <v>53</v>
      </c>
      <c r="J14" s="169"/>
      <c r="K14" s="168"/>
    </row>
    <row r="15" spans="1:13" x14ac:dyDescent="0.2">
      <c r="A15" s="29"/>
      <c r="C15" s="24"/>
      <c r="D15" s="28"/>
      <c r="F15" s="24"/>
      <c r="I15" s="24"/>
      <c r="J15" s="245"/>
      <c r="K15" s="152"/>
    </row>
    <row r="16" spans="1:13" x14ac:dyDescent="0.2">
      <c r="A16" s="29"/>
      <c r="C16" s="24"/>
      <c r="D16" s="29"/>
      <c r="F16" s="24"/>
      <c r="I16" s="24"/>
      <c r="J16" s="245"/>
      <c r="K16" s="152"/>
    </row>
    <row r="17" spans="1:9" x14ac:dyDescent="0.2">
      <c r="A17" s="29"/>
      <c r="C17" s="24"/>
      <c r="D17" s="29"/>
      <c r="F17" s="24"/>
      <c r="I17" s="24"/>
    </row>
    <row r="18" spans="1:9" x14ac:dyDescent="0.2">
      <c r="A18" s="29"/>
      <c r="C18" s="24"/>
      <c r="D18" s="29"/>
      <c r="F18" s="24"/>
      <c r="I18" s="24"/>
    </row>
    <row r="19" spans="1:9" x14ac:dyDescent="0.2">
      <c r="A19" s="29"/>
      <c r="C19" s="24"/>
      <c r="D19" s="29"/>
      <c r="F19" s="24"/>
      <c r="I19" s="24"/>
    </row>
    <row r="20" spans="1:9" ht="12.75" customHeight="1" x14ac:dyDescent="0.2">
      <c r="A20" s="29"/>
      <c r="C20" s="24"/>
      <c r="D20" s="29"/>
      <c r="F20" s="24"/>
      <c r="I20" s="24"/>
    </row>
    <row r="21" spans="1:9" x14ac:dyDescent="0.2">
      <c r="A21" s="29"/>
      <c r="C21" s="24"/>
      <c r="D21" s="29"/>
      <c r="F21" s="24"/>
      <c r="I21" s="24"/>
    </row>
    <row r="22" spans="1:9" x14ac:dyDescent="0.2">
      <c r="A22" s="29"/>
      <c r="C22" s="24"/>
      <c r="D22" s="29"/>
      <c r="F22" s="24"/>
      <c r="I22" s="24"/>
    </row>
    <row r="23" spans="1:9" x14ac:dyDescent="0.2">
      <c r="A23" s="29"/>
      <c r="C23" s="24"/>
      <c r="D23" s="29"/>
      <c r="F23" s="24"/>
      <c r="I23" s="24"/>
    </row>
    <row r="24" spans="1:9" x14ac:dyDescent="0.2">
      <c r="A24" s="29"/>
      <c r="C24" s="24"/>
      <c r="D24" s="29"/>
      <c r="F24" s="24"/>
      <c r="I24" s="24"/>
    </row>
    <row r="25" spans="1:9" x14ac:dyDescent="0.2">
      <c r="A25" s="29"/>
      <c r="C25" s="24"/>
      <c r="D25" s="29"/>
      <c r="F25" s="24"/>
      <c r="I25" s="24"/>
    </row>
    <row r="26" spans="1:9" x14ac:dyDescent="0.2">
      <c r="A26" s="29"/>
      <c r="C26" s="24"/>
      <c r="D26" s="29"/>
      <c r="F26" s="24"/>
      <c r="I26" s="24"/>
    </row>
    <row r="27" spans="1:9" x14ac:dyDescent="0.2">
      <c r="A27" s="29"/>
      <c r="C27" s="24"/>
      <c r="D27" s="29"/>
      <c r="F27" s="24"/>
      <c r="I27" s="24"/>
    </row>
    <row r="28" spans="1:9" x14ac:dyDescent="0.2">
      <c r="A28" s="29"/>
      <c r="C28" s="24"/>
      <c r="D28" s="29"/>
      <c r="F28" s="24"/>
      <c r="I28" s="24"/>
    </row>
    <row r="29" spans="1:9" x14ac:dyDescent="0.2">
      <c r="A29" s="29"/>
      <c r="C29" s="24"/>
      <c r="D29" s="29"/>
      <c r="F29" s="24"/>
      <c r="I29" s="24"/>
    </row>
    <row r="30" spans="1:9" ht="12.75" customHeight="1" x14ac:dyDescent="0.2">
      <c r="A30" s="29"/>
      <c r="C30" s="24"/>
      <c r="D30" s="29"/>
      <c r="F30" s="24"/>
      <c r="I30" s="24"/>
    </row>
    <row r="31" spans="1:9" ht="12.75" customHeight="1" x14ac:dyDescent="0.2">
      <c r="A31" s="29"/>
      <c r="C31" s="24"/>
      <c r="D31" s="29"/>
      <c r="F31" s="24"/>
      <c r="I31" s="24"/>
    </row>
    <row r="32" spans="1:9" x14ac:dyDescent="0.2">
      <c r="A32" s="29"/>
      <c r="C32" s="24"/>
      <c r="D32" s="29"/>
      <c r="F32" s="24"/>
      <c r="I32" s="24"/>
    </row>
    <row r="33" spans="1:9" x14ac:dyDescent="0.2">
      <c r="A33" s="29"/>
      <c r="C33" s="24"/>
      <c r="D33" s="29"/>
      <c r="F33" s="24"/>
      <c r="I33" s="24"/>
    </row>
    <row r="34" spans="1:9" x14ac:dyDescent="0.2">
      <c r="A34" s="29"/>
      <c r="C34" s="24"/>
      <c r="D34" s="29"/>
      <c r="F34" s="24"/>
      <c r="I34" s="24"/>
    </row>
    <row r="35" spans="1:9" x14ac:dyDescent="0.2">
      <c r="A35" s="29"/>
      <c r="C35" s="24"/>
      <c r="D35" s="29"/>
      <c r="F35" s="24"/>
      <c r="I35" s="24"/>
    </row>
    <row r="36" spans="1:9" x14ac:dyDescent="0.2">
      <c r="A36" s="29"/>
      <c r="C36" s="24"/>
      <c r="D36" s="29"/>
      <c r="F36" s="24"/>
      <c r="I36" s="24"/>
    </row>
    <row r="37" spans="1:9" x14ac:dyDescent="0.2">
      <c r="A37" s="29"/>
      <c r="C37" s="24"/>
      <c r="D37" s="29"/>
      <c r="F37" s="24"/>
      <c r="I37" s="24"/>
    </row>
    <row r="38" spans="1:9" x14ac:dyDescent="0.2">
      <c r="A38" s="29"/>
      <c r="C38" s="24"/>
      <c r="D38" s="29"/>
      <c r="F38" s="24"/>
      <c r="I38" s="24"/>
    </row>
    <row r="39" spans="1:9" x14ac:dyDescent="0.2">
      <c r="A39" s="29"/>
      <c r="C39" s="24"/>
      <c r="D39" s="29"/>
      <c r="F39" s="24"/>
      <c r="I39" s="24"/>
    </row>
    <row r="40" spans="1:9" x14ac:dyDescent="0.2">
      <c r="A40" s="29"/>
      <c r="C40" s="24"/>
      <c r="D40" s="29"/>
      <c r="F40" s="24"/>
      <c r="I40" s="24"/>
    </row>
    <row r="41" spans="1:9" x14ac:dyDescent="0.2">
      <c r="A41" s="29"/>
      <c r="C41" s="24"/>
      <c r="D41" s="29"/>
      <c r="F41" s="24"/>
      <c r="I41" s="24"/>
    </row>
    <row r="42" spans="1:9" x14ac:dyDescent="0.2">
      <c r="A42" s="29"/>
      <c r="C42" s="24"/>
      <c r="D42" s="29"/>
      <c r="F42" s="24"/>
      <c r="I42" s="24"/>
    </row>
    <row r="43" spans="1:9" x14ac:dyDescent="0.2">
      <c r="A43" s="29"/>
      <c r="C43" s="24"/>
      <c r="D43" s="29"/>
      <c r="F43" s="24"/>
      <c r="I43" s="24"/>
    </row>
    <row r="44" spans="1:9" x14ac:dyDescent="0.2">
      <c r="A44" s="29"/>
      <c r="C44" s="24"/>
      <c r="D44" s="29"/>
      <c r="F44" s="24"/>
      <c r="I44" s="24"/>
    </row>
    <row r="45" spans="1:9" x14ac:dyDescent="0.2">
      <c r="A45" s="29"/>
      <c r="C45" s="24"/>
      <c r="D45" s="29"/>
      <c r="F45" s="24"/>
      <c r="I45" s="24"/>
    </row>
    <row r="46" spans="1:9" x14ac:dyDescent="0.2">
      <c r="A46" s="29"/>
      <c r="C46" s="24"/>
      <c r="D46" s="29"/>
      <c r="F46" s="24"/>
      <c r="I46" s="24"/>
    </row>
  </sheetData>
  <conditionalFormatting sqref="H2:J2">
    <cfRule type="duplicateValues" dxfId="0" priority="1"/>
  </conditionalFormatting>
  <dataValidations count="5">
    <dataValidation type="list" allowBlank="1" showInputMessage="1" showErrorMessage="1" sqref="L1">
      <formula1>drpBoolean</formula1>
    </dataValidation>
    <dataValidation type="list" allowBlank="1" showInputMessage="1" showErrorMessage="1" sqref="A3:A7 A9:A14">
      <formula1>drpDimAttrMeas</formula1>
    </dataValidation>
    <dataValidation type="list" allowBlank="1" showInputMessage="1" showErrorMessage="1" sqref="H3:H7 H9:H14">
      <formula1>drpTypes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E3" location="CL_MEASURE!A1" display="CL_MEASURE"/>
    <hyperlink ref="E4" location="CL_UNIT_MEASURE!A1" display="CL_UNIT_MEASURE"/>
    <hyperlink ref="E5" location="CL_FREQ!A1" display="CL_FREQ"/>
    <hyperlink ref="E7" location="CL_AREA!A1" display="CL_AREA"/>
    <hyperlink ref="E11" location="CL_DECIMALS!A1" display="CL_DECIMALS"/>
    <hyperlink ref="E12" location="CL_OBS_STATUS!A1" display="CL_OBS_STATUS"/>
    <hyperlink ref="E13" location="CL_TIME_FORMAT!A1" display="CL_TIME_FORMAT"/>
    <hyperlink ref="E14" location="CL_UNIT_MULT!A1" display="CL_UNIT_MULT"/>
    <hyperlink ref="M1" location="'Concept Scheme'!M1" display="Update DSD Matrix Concepts and CLs"/>
    <hyperlink ref="E8" location="CL_TRANSFORMATION!A1" display="CL_TRANSFORMATION"/>
    <hyperlink ref="E10" location="CL_CONF_STATUS!A1" display="CL_CONF_STATU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5"/>
  <sheetViews>
    <sheetView zoomScaleNormal="100" workbookViewId="0">
      <pane ySplit="1" topLeftCell="A2" activePane="bottomLeft" state="frozen"/>
      <selection activeCell="D4" sqref="D4:XFD4"/>
      <selection pane="bottomLeft" activeCell="D4" sqref="D4:XFD4"/>
    </sheetView>
  </sheetViews>
  <sheetFormatPr defaultRowHeight="11.25" x14ac:dyDescent="0.2"/>
  <cols>
    <col min="2" max="2" width="10" customWidth="1"/>
    <col min="3" max="3" width="10" style="66" customWidth="1"/>
    <col min="4" max="4" width="14.6640625" bestFit="1" customWidth="1"/>
    <col min="5" max="5" width="34.83203125" customWidth="1"/>
    <col min="6" max="6" width="14.5" bestFit="1" customWidth="1"/>
    <col min="7" max="7" width="19" bestFit="1" customWidth="1"/>
  </cols>
  <sheetData>
    <row r="1" spans="1:8" x14ac:dyDescent="0.2">
      <c r="A1" s="4" t="s">
        <v>263</v>
      </c>
      <c r="B1" t="s">
        <v>48</v>
      </c>
      <c r="C1" s="66" t="s">
        <v>49</v>
      </c>
      <c r="D1" t="s">
        <v>226</v>
      </c>
      <c r="E1" t="s">
        <v>9</v>
      </c>
      <c r="F1" s="4" t="s">
        <v>327</v>
      </c>
      <c r="H1" s="4"/>
    </row>
    <row r="2" spans="1:8" x14ac:dyDescent="0.2">
      <c r="A2" t="s">
        <v>248</v>
      </c>
      <c r="B2" t="s">
        <v>247</v>
      </c>
      <c r="C2" s="66" t="s">
        <v>147</v>
      </c>
      <c r="D2" t="s">
        <v>264</v>
      </c>
      <c r="E2" t="s">
        <v>265</v>
      </c>
      <c r="F2" t="b">
        <v>1</v>
      </c>
    </row>
    <row r="3" spans="1:8" x14ac:dyDescent="0.2">
      <c r="B3" s="4"/>
      <c r="C3" s="73"/>
      <c r="D3" s="4"/>
      <c r="E3" s="4"/>
    </row>
    <row r="45" spans="3:3" x14ac:dyDescent="0.2">
      <c r="C45" s="66">
        <f>+C49</f>
        <v>0</v>
      </c>
    </row>
  </sheetData>
  <protectedRanges>
    <protectedRange algorithmName="SHA-512" hashValue="qTcaU7p6hnrcV3QGwQgrp2MI4WU29Lws/lA1J6AzrgWq0XJDLSt1Xlmzwxsk2QvAMj1vfi/H8qOxj6AU1x4rhg==" saltValue="YGeSSPmDG66YJOhj5E5XPA==" spinCount="100000" sqref="A1:F1" name="Range1"/>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L44"/>
  <sheetViews>
    <sheetView zoomScaleNormal="100" workbookViewId="0">
      <pane ySplit="1" topLeftCell="A2" activePane="bottomLeft" state="frozen"/>
      <selection activeCell="D4" sqref="D4:XFD4"/>
      <selection pane="bottomLeft" activeCell="A2" sqref="A2:F2"/>
    </sheetView>
  </sheetViews>
  <sheetFormatPr defaultRowHeight="11.25" x14ac:dyDescent="0.2"/>
  <cols>
    <col min="2" max="2" width="10" customWidth="1"/>
    <col min="3" max="3" width="10" style="66" customWidth="1"/>
    <col min="4" max="4" width="14.6640625" bestFit="1" customWidth="1"/>
    <col min="5" max="5" width="27" customWidth="1"/>
    <col min="6" max="6" width="13.5" customWidth="1"/>
    <col min="7" max="7" width="18" customWidth="1"/>
    <col min="8" max="8" width="17.1640625" customWidth="1"/>
    <col min="9" max="9" width="17" style="66" customWidth="1"/>
    <col min="10" max="10" width="14.5" customWidth="1"/>
  </cols>
  <sheetData>
    <row r="1" spans="1:12" x14ac:dyDescent="0.2">
      <c r="A1" t="s">
        <v>263</v>
      </c>
      <c r="B1" t="s">
        <v>48</v>
      </c>
      <c r="C1" s="66" t="s">
        <v>49</v>
      </c>
      <c r="D1" t="s">
        <v>226</v>
      </c>
      <c r="E1" t="s">
        <v>9</v>
      </c>
      <c r="F1" s="4" t="s">
        <v>327</v>
      </c>
      <c r="G1" s="4" t="s">
        <v>492</v>
      </c>
      <c r="H1" s="4" t="s">
        <v>491</v>
      </c>
      <c r="I1" s="73" t="s">
        <v>493</v>
      </c>
      <c r="J1" s="3" t="s">
        <v>476</v>
      </c>
      <c r="K1" s="4"/>
      <c r="L1" s="3"/>
    </row>
    <row r="2" spans="1:12" x14ac:dyDescent="0.2">
      <c r="A2" s="103" t="s">
        <v>481</v>
      </c>
      <c r="B2" s="4" t="s">
        <v>247</v>
      </c>
      <c r="C2" s="73" t="s">
        <v>147</v>
      </c>
      <c r="D2" s="4" t="s">
        <v>281</v>
      </c>
      <c r="E2" s="4" t="s">
        <v>282</v>
      </c>
      <c r="F2" t="b">
        <v>0</v>
      </c>
      <c r="G2" s="4" t="s">
        <v>247</v>
      </c>
      <c r="H2" s="4" t="s">
        <v>494</v>
      </c>
      <c r="I2" s="73" t="s">
        <v>147</v>
      </c>
      <c r="J2" s="4" t="s">
        <v>478</v>
      </c>
    </row>
    <row r="3" spans="1:12" x14ac:dyDescent="0.2">
      <c r="G3" s="54"/>
      <c r="H3" s="54"/>
      <c r="J3" s="54"/>
    </row>
    <row r="4" spans="1:12" x14ac:dyDescent="0.2">
      <c r="G4" s="54"/>
      <c r="H4" s="54"/>
      <c r="J4" s="54"/>
    </row>
    <row r="5" spans="1:12" x14ac:dyDescent="0.2">
      <c r="G5" s="54"/>
      <c r="H5" s="54"/>
      <c r="J5" s="54"/>
    </row>
    <row r="6" spans="1:12" x14ac:dyDescent="0.2">
      <c r="G6" s="54"/>
      <c r="H6" s="54"/>
      <c r="J6" s="54"/>
    </row>
    <row r="7" spans="1:12" x14ac:dyDescent="0.2">
      <c r="G7" s="54"/>
      <c r="H7" s="54"/>
      <c r="J7" s="54"/>
    </row>
    <row r="44" spans="3:3" x14ac:dyDescent="0.2">
      <c r="C44" s="66">
        <f>+C48</f>
        <v>0</v>
      </c>
    </row>
  </sheetData>
  <dataConsolidate/>
  <hyperlinks>
    <hyperlink ref="A2" r:id="rId1"/>
  </hyperlinks>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BV89"/>
  <sheetViews>
    <sheetView zoomScaleNormal="100" workbookViewId="0">
      <pane xSplit="5" ySplit="5" topLeftCell="F6" activePane="bottomRight" state="frozen"/>
      <selection activeCell="D4" sqref="D4:XFD4"/>
      <selection pane="topRight" activeCell="D4" sqref="D4:XFD4"/>
      <selection pane="bottomLeft" activeCell="D4" sqref="D4:XFD4"/>
      <selection pane="bottomRight" activeCell="F12" sqref="F12"/>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83" bestFit="1" customWidth="1"/>
    <col min="7" max="7" width="6.6640625" style="185" bestFit="1" customWidth="1"/>
    <col min="8" max="15" width="3.83203125" style="183" customWidth="1"/>
    <col min="16" max="16" width="3.5" style="226" customWidth="1"/>
    <col min="17" max="20" width="9.33203125" style="183"/>
  </cols>
  <sheetData>
    <row r="1" spans="1:74" s="3" customFormat="1" ht="18" x14ac:dyDescent="0.25">
      <c r="B1" s="2"/>
      <c r="C1" s="2"/>
      <c r="D1" s="2"/>
      <c r="F1" s="180"/>
      <c r="G1" s="180"/>
      <c r="H1" s="180"/>
      <c r="I1" s="181"/>
      <c r="J1" s="181"/>
      <c r="K1" s="180"/>
      <c r="L1" s="180"/>
      <c r="M1" s="180"/>
      <c r="N1" s="180"/>
      <c r="O1" s="180"/>
      <c r="P1" s="224"/>
      <c r="Q1" s="180"/>
      <c r="R1" s="180"/>
      <c r="S1" s="180"/>
      <c r="T1" s="180"/>
    </row>
    <row r="2" spans="1:74" s="3" customFormat="1" ht="12.75" x14ac:dyDescent="0.2">
      <c r="A2" s="2"/>
      <c r="B2" s="2"/>
      <c r="F2" s="182" t="s">
        <v>590</v>
      </c>
      <c r="G2" s="182" t="s">
        <v>589</v>
      </c>
      <c r="H2" s="277" t="s">
        <v>211</v>
      </c>
      <c r="I2" s="277"/>
      <c r="J2" s="277"/>
      <c r="K2" s="277"/>
      <c r="L2" s="274"/>
      <c r="M2" s="274"/>
      <c r="N2" s="274"/>
      <c r="O2" s="179"/>
      <c r="P2" s="224"/>
      <c r="Q2" s="180"/>
      <c r="R2" s="180"/>
      <c r="S2" s="180"/>
      <c r="T2" s="180"/>
    </row>
    <row r="3" spans="1:74" s="242" customFormat="1" ht="21.75" customHeight="1" x14ac:dyDescent="0.2">
      <c r="A3" s="286" t="s">
        <v>208</v>
      </c>
      <c r="B3" s="287"/>
      <c r="C3" s="289" t="s">
        <v>621</v>
      </c>
      <c r="D3" s="290"/>
      <c r="E3" s="288" t="s">
        <v>209</v>
      </c>
      <c r="F3" s="275" t="s">
        <v>43</v>
      </c>
      <c r="G3" s="275" t="s">
        <v>46</v>
      </c>
      <c r="H3" s="278" t="s">
        <v>18</v>
      </c>
      <c r="I3" s="278" t="s">
        <v>16</v>
      </c>
      <c r="J3" s="278" t="s">
        <v>212</v>
      </c>
      <c r="K3" s="280" t="s">
        <v>20</v>
      </c>
      <c r="L3" s="282" t="s">
        <v>28</v>
      </c>
      <c r="M3" s="282" t="s">
        <v>29</v>
      </c>
      <c r="N3" s="282" t="s">
        <v>30</v>
      </c>
      <c r="O3" s="282" t="s">
        <v>31</v>
      </c>
      <c r="P3" s="282" t="s">
        <v>32</v>
      </c>
      <c r="Q3" s="282" t="s">
        <v>591</v>
      </c>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291"/>
      <c r="AV3" s="291"/>
      <c r="AW3" s="291"/>
      <c r="AX3" s="291"/>
      <c r="AY3" s="291"/>
      <c r="AZ3" s="291"/>
      <c r="BA3" s="291"/>
      <c r="BB3" s="291"/>
      <c r="BC3" s="291"/>
      <c r="BD3" s="291"/>
      <c r="BE3" s="291"/>
      <c r="BF3" s="291"/>
      <c r="BG3" s="291"/>
      <c r="BH3" s="291"/>
      <c r="BI3" s="291"/>
      <c r="BJ3" s="291"/>
      <c r="BK3" s="291"/>
      <c r="BL3" s="291"/>
      <c r="BM3" s="291"/>
      <c r="BN3" s="291"/>
      <c r="BO3" s="291"/>
      <c r="BP3" s="291"/>
      <c r="BQ3" s="291"/>
      <c r="BR3" s="291"/>
      <c r="BS3" s="291"/>
      <c r="BT3" s="291"/>
      <c r="BU3" s="291"/>
      <c r="BV3" s="291"/>
    </row>
    <row r="4" spans="1:74" s="243" customFormat="1" ht="107.25" customHeight="1" x14ac:dyDescent="0.2">
      <c r="A4" s="287"/>
      <c r="B4" s="287"/>
      <c r="C4" s="247" t="s">
        <v>625</v>
      </c>
      <c r="D4" s="248" t="s">
        <v>626</v>
      </c>
      <c r="E4" s="288"/>
      <c r="F4" s="276"/>
      <c r="G4" s="276"/>
      <c r="H4" s="279"/>
      <c r="I4" s="279"/>
      <c r="J4" s="279"/>
      <c r="K4" s="281"/>
      <c r="L4" s="283"/>
      <c r="M4" s="283"/>
      <c r="N4" s="283"/>
      <c r="O4" s="283"/>
      <c r="P4" s="284"/>
      <c r="Q4" s="285"/>
      <c r="R4" s="291"/>
      <c r="S4" s="291"/>
      <c r="T4" s="291"/>
      <c r="U4" s="291"/>
      <c r="V4" s="291"/>
      <c r="W4" s="291"/>
      <c r="X4" s="291"/>
      <c r="Y4" s="291"/>
      <c r="Z4" s="291"/>
      <c r="AA4" s="291"/>
      <c r="AB4" s="291"/>
      <c r="AC4" s="291"/>
      <c r="AD4" s="291"/>
      <c r="AE4" s="291"/>
      <c r="AF4" s="291"/>
      <c r="AG4" s="291"/>
      <c r="AH4" s="291"/>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H4" s="291"/>
      <c r="BI4" s="291"/>
      <c r="BJ4" s="291"/>
      <c r="BK4" s="291"/>
      <c r="BL4" s="291"/>
      <c r="BM4" s="291"/>
      <c r="BN4" s="291"/>
      <c r="BO4" s="291"/>
      <c r="BP4" s="291"/>
      <c r="BQ4" s="291"/>
      <c r="BR4" s="291"/>
      <c r="BS4" s="291"/>
      <c r="BT4" s="291"/>
      <c r="BU4" s="291"/>
      <c r="BV4" s="291"/>
    </row>
    <row r="5" spans="1:74" ht="35.25" x14ac:dyDescent="0.25">
      <c r="A5" s="216" t="s">
        <v>247</v>
      </c>
      <c r="B5" s="216" t="s">
        <v>251</v>
      </c>
      <c r="C5" s="56" t="str">
        <f t="array" ref="C5">"DSDs: "&amp;SUM(IF(FREQUENCY(IF(LEN(DSDs)&gt;0,MATCH(DSDs,DSDs,0),""), IF(LEN(DSDs)&gt;0,MATCH(DSDs,DSDs,0),""))&gt;0,1))</f>
        <v>DSDs: 1</v>
      </c>
      <c r="D5" s="56" t="str">
        <f ca="1">"DSD Concept count. Max: "&amp;MAX(DSDDimCount)</f>
        <v>DSD Concept count. Max: 7</v>
      </c>
      <c r="E5" s="220" t="s">
        <v>210</v>
      </c>
      <c r="F5" s="220"/>
      <c r="G5" s="220"/>
      <c r="H5" s="221"/>
      <c r="I5" s="221"/>
      <c r="J5" s="221"/>
      <c r="K5" s="221"/>
      <c r="L5" s="221"/>
      <c r="M5" s="221"/>
      <c r="N5" s="227"/>
      <c r="O5" s="227"/>
      <c r="P5" s="249"/>
    </row>
    <row r="6" spans="1:74" s="1" customFormat="1" ht="12" x14ac:dyDescent="0.2">
      <c r="A6" s="228" t="s">
        <v>2</v>
      </c>
      <c r="B6" s="228" t="s">
        <v>252</v>
      </c>
      <c r="C6" s="229" t="s">
        <v>248</v>
      </c>
      <c r="D6" s="223">
        <f ca="1">INDEX( CountConsforDSDs, MATCH(C6,CountUniqueDSDs,0),0)</f>
        <v>7</v>
      </c>
      <c r="E6" s="230" t="s">
        <v>481</v>
      </c>
      <c r="F6" s="231" t="s">
        <v>219</v>
      </c>
      <c r="G6" s="232" t="s">
        <v>219</v>
      </c>
      <c r="H6" s="231" t="s">
        <v>220</v>
      </c>
      <c r="I6" s="231" t="s">
        <v>219</v>
      </c>
      <c r="J6" s="231"/>
      <c r="K6" s="231"/>
      <c r="L6" s="231" t="s">
        <v>219</v>
      </c>
      <c r="M6" s="231" t="s">
        <v>219</v>
      </c>
      <c r="N6" s="231" t="s">
        <v>219</v>
      </c>
      <c r="O6" s="231"/>
      <c r="P6" s="250"/>
      <c r="Q6" s="184"/>
      <c r="R6" s="184"/>
      <c r="S6" s="184"/>
      <c r="T6" s="184"/>
    </row>
    <row r="7" spans="1:74" s="1" customFormat="1" ht="12" x14ac:dyDescent="0.2">
      <c r="A7" s="228"/>
      <c r="B7" s="228"/>
      <c r="C7" s="229"/>
      <c r="D7" s="223"/>
      <c r="E7" s="230"/>
      <c r="F7" s="231"/>
      <c r="G7" s="233"/>
      <c r="H7" s="231"/>
      <c r="I7" s="231"/>
      <c r="J7" s="231"/>
      <c r="K7" s="231"/>
      <c r="L7" s="231"/>
      <c r="M7" s="231"/>
      <c r="N7" s="231"/>
      <c r="O7" s="231"/>
      <c r="P7" s="250"/>
      <c r="Q7" s="184"/>
      <c r="R7" s="184"/>
      <c r="S7" s="184"/>
      <c r="T7" s="184"/>
    </row>
    <row r="8" spans="1:74" s="1" customFormat="1" ht="12" x14ac:dyDescent="0.2">
      <c r="A8" s="228"/>
      <c r="B8" s="228"/>
      <c r="C8" s="229"/>
      <c r="D8" s="223"/>
      <c r="E8" s="230"/>
      <c r="F8" s="231"/>
      <c r="G8" s="233"/>
      <c r="H8" s="231"/>
      <c r="I8" s="231"/>
      <c r="J8" s="231"/>
      <c r="K8" s="231"/>
      <c r="L8" s="231"/>
      <c r="M8" s="231"/>
      <c r="N8" s="234"/>
      <c r="O8" s="234"/>
      <c r="P8" s="250"/>
      <c r="Q8" s="184"/>
      <c r="R8" s="184"/>
      <c r="S8" s="184"/>
      <c r="T8" s="184"/>
    </row>
    <row r="9" spans="1:74" s="1" customFormat="1" ht="12" x14ac:dyDescent="0.2">
      <c r="A9" s="228"/>
      <c r="B9" s="228"/>
      <c r="C9" s="229"/>
      <c r="D9" s="223"/>
      <c r="E9" s="230"/>
      <c r="F9" s="231"/>
      <c r="G9" s="233"/>
      <c r="H9" s="231"/>
      <c r="I9" s="231"/>
      <c r="J9" s="231"/>
      <c r="K9" s="231"/>
      <c r="L9" s="231"/>
      <c r="M9" s="231"/>
      <c r="N9" s="231"/>
      <c r="O9" s="231"/>
      <c r="P9" s="250"/>
      <c r="Q9" s="184"/>
      <c r="R9" s="184"/>
      <c r="S9" s="184"/>
      <c r="T9" s="184"/>
    </row>
    <row r="10" spans="1:74" s="1" customFormat="1" ht="12" x14ac:dyDescent="0.2">
      <c r="A10" s="228"/>
      <c r="B10" s="228"/>
      <c r="C10" s="229"/>
      <c r="D10" s="223"/>
      <c r="E10" s="230"/>
      <c r="F10" s="231"/>
      <c r="G10" s="233"/>
      <c r="H10" s="231"/>
      <c r="I10" s="231"/>
      <c r="J10" s="231"/>
      <c r="K10" s="231"/>
      <c r="L10" s="231"/>
      <c r="M10" s="231"/>
      <c r="N10" s="231"/>
      <c r="O10" s="231"/>
      <c r="P10" s="235"/>
      <c r="Q10" s="184"/>
      <c r="R10" s="184"/>
      <c r="S10" s="184"/>
      <c r="T10" s="184"/>
    </row>
    <row r="11" spans="1:74" s="1" customFormat="1" ht="12" x14ac:dyDescent="0.2">
      <c r="A11" s="228"/>
      <c r="B11" s="228"/>
      <c r="C11" s="229"/>
      <c r="D11" s="223"/>
      <c r="E11" s="230"/>
      <c r="F11" s="231"/>
      <c r="G11" s="233"/>
      <c r="H11" s="231"/>
      <c r="I11" s="231"/>
      <c r="J11" s="231"/>
      <c r="K11" s="231"/>
      <c r="L11" s="231"/>
      <c r="M11" s="231"/>
      <c r="N11" s="231"/>
      <c r="O11" s="231"/>
      <c r="P11" s="235"/>
      <c r="Q11" s="184"/>
      <c r="R11" s="184"/>
      <c r="S11" s="184"/>
      <c r="T11" s="184"/>
    </row>
    <row r="12" spans="1:74" s="1" customFormat="1" ht="12" x14ac:dyDescent="0.2">
      <c r="A12" s="228"/>
      <c r="B12" s="228"/>
      <c r="C12" s="229"/>
      <c r="D12" s="223"/>
      <c r="E12" s="236"/>
      <c r="F12" s="236"/>
      <c r="G12" s="237"/>
      <c r="H12" s="231"/>
      <c r="I12" s="231"/>
      <c r="J12" s="231"/>
      <c r="K12" s="231"/>
      <c r="L12" s="231"/>
      <c r="M12" s="231"/>
      <c r="N12" s="231"/>
      <c r="O12" s="231"/>
      <c r="P12" s="235"/>
      <c r="Q12" s="184"/>
      <c r="R12" s="184"/>
      <c r="S12" s="184"/>
      <c r="T12" s="184"/>
    </row>
    <row r="13" spans="1:74" s="1" customFormat="1" ht="12" x14ac:dyDescent="0.2">
      <c r="A13" s="228"/>
      <c r="B13" s="228"/>
      <c r="C13" s="229"/>
      <c r="D13" s="223"/>
      <c r="E13" s="238"/>
      <c r="F13" s="239"/>
      <c r="G13" s="233"/>
      <c r="H13" s="231"/>
      <c r="I13" s="231"/>
      <c r="J13" s="231"/>
      <c r="K13" s="231"/>
      <c r="L13" s="231"/>
      <c r="M13" s="231"/>
      <c r="N13" s="231"/>
      <c r="O13" s="231"/>
      <c r="P13" s="235"/>
      <c r="Q13" s="184"/>
      <c r="R13" s="184"/>
      <c r="S13" s="184"/>
      <c r="T13" s="184"/>
    </row>
    <row r="14" spans="1:74" s="1" customFormat="1" ht="12" x14ac:dyDescent="0.2">
      <c r="A14" s="228"/>
      <c r="B14" s="228"/>
      <c r="C14" s="229"/>
      <c r="D14" s="223"/>
      <c r="E14" s="238"/>
      <c r="F14" s="239"/>
      <c r="G14" s="233"/>
      <c r="H14" s="231"/>
      <c r="I14" s="231"/>
      <c r="J14" s="231"/>
      <c r="K14" s="231"/>
      <c r="L14" s="231"/>
      <c r="M14" s="231"/>
      <c r="N14" s="231"/>
      <c r="O14" s="231"/>
      <c r="P14" s="250"/>
      <c r="Q14" s="12"/>
      <c r="R14" s="12"/>
      <c r="S14" s="12"/>
      <c r="T14" s="12"/>
      <c r="U14" s="9"/>
      <c r="V14" s="9"/>
    </row>
    <row r="15" spans="1:74" s="1" customFormat="1" ht="12" x14ac:dyDescent="0.2">
      <c r="A15" s="228"/>
      <c r="B15" s="228"/>
      <c r="C15" s="229"/>
      <c r="D15" s="223"/>
      <c r="E15" s="238"/>
      <c r="F15" s="236"/>
      <c r="G15" s="237"/>
      <c r="H15" s="231"/>
      <c r="I15" s="231"/>
      <c r="J15" s="231"/>
      <c r="K15" s="231"/>
      <c r="L15" s="231"/>
      <c r="M15" s="231"/>
      <c r="N15" s="231"/>
      <c r="O15" s="231"/>
      <c r="P15" s="252"/>
      <c r="Q15" s="252"/>
      <c r="R15" s="252"/>
      <c r="S15" s="252"/>
      <c r="T15" s="252"/>
      <c r="U15" s="251"/>
      <c r="V15" s="9"/>
    </row>
    <row r="16" spans="1:74" s="1" customFormat="1" ht="12" x14ac:dyDescent="0.2">
      <c r="A16" s="228"/>
      <c r="B16" s="228"/>
      <c r="C16" s="229"/>
      <c r="D16" s="223"/>
      <c r="E16" s="238"/>
      <c r="F16" s="239"/>
      <c r="G16" s="233"/>
      <c r="H16" s="231"/>
      <c r="I16" s="231"/>
      <c r="J16" s="231"/>
      <c r="K16" s="231"/>
      <c r="L16" s="231"/>
      <c r="M16" s="231"/>
      <c r="N16" s="231"/>
      <c r="O16" s="231"/>
      <c r="P16" s="252"/>
      <c r="Q16" s="252"/>
      <c r="R16" s="252"/>
      <c r="S16" s="252"/>
      <c r="T16" s="252"/>
      <c r="U16" s="251"/>
      <c r="V16" s="9"/>
    </row>
    <row r="17" spans="1:22" s="1" customFormat="1" ht="12" x14ac:dyDescent="0.2">
      <c r="A17" s="228"/>
      <c r="B17" s="228"/>
      <c r="C17" s="229"/>
      <c r="D17" s="223"/>
      <c r="E17" s="238"/>
      <c r="F17" s="239"/>
      <c r="G17" s="233"/>
      <c r="H17" s="231"/>
      <c r="I17" s="231"/>
      <c r="J17" s="231"/>
      <c r="K17" s="231"/>
      <c r="L17" s="231"/>
      <c r="M17" s="231"/>
      <c r="N17" s="231"/>
      <c r="O17" s="231"/>
      <c r="P17" s="250"/>
      <c r="Q17" s="12"/>
      <c r="R17" s="12"/>
      <c r="S17" s="12"/>
      <c r="T17" s="12"/>
      <c r="U17" s="9"/>
      <c r="V17" s="9"/>
    </row>
    <row r="18" spans="1:22" s="1" customFormat="1" ht="12" x14ac:dyDescent="0.2">
      <c r="A18" s="228"/>
      <c r="B18" s="228"/>
      <c r="C18" s="229"/>
      <c r="D18" s="223"/>
      <c r="E18" s="238"/>
      <c r="F18" s="239"/>
      <c r="G18" s="233"/>
      <c r="H18" s="231"/>
      <c r="I18" s="231"/>
      <c r="J18" s="231"/>
      <c r="K18" s="231"/>
      <c r="L18" s="231"/>
      <c r="M18" s="231"/>
      <c r="N18" s="231"/>
      <c r="O18" s="231"/>
      <c r="P18" s="235"/>
      <c r="Q18" s="184"/>
      <c r="R18" s="184"/>
      <c r="S18" s="184"/>
      <c r="T18" s="184"/>
    </row>
    <row r="19" spans="1:22" s="1" customFormat="1" ht="12" x14ac:dyDescent="0.2">
      <c r="A19" s="228"/>
      <c r="B19" s="228"/>
      <c r="C19" s="229"/>
      <c r="D19" s="223"/>
      <c r="E19" s="239"/>
      <c r="F19" s="239"/>
      <c r="G19" s="233"/>
      <c r="H19" s="231"/>
      <c r="I19" s="231"/>
      <c r="J19" s="231"/>
      <c r="K19" s="231"/>
      <c r="L19" s="231"/>
      <c r="M19" s="231"/>
      <c r="N19" s="231"/>
      <c r="O19" s="231"/>
      <c r="P19" s="235"/>
      <c r="Q19" s="184"/>
      <c r="R19" s="184"/>
      <c r="S19" s="184"/>
      <c r="T19" s="184"/>
    </row>
    <row r="20" spans="1:22" s="1" customFormat="1" ht="12" x14ac:dyDescent="0.2">
      <c r="A20" s="228"/>
      <c r="B20" s="228"/>
      <c r="C20" s="229"/>
      <c r="D20" s="223"/>
      <c r="E20" s="239"/>
      <c r="F20" s="239"/>
      <c r="G20" s="233"/>
      <c r="H20" s="231"/>
      <c r="I20" s="231"/>
      <c r="J20" s="231"/>
      <c r="K20" s="231"/>
      <c r="L20" s="231"/>
      <c r="M20" s="231"/>
      <c r="N20" s="231"/>
      <c r="O20" s="231"/>
      <c r="P20" s="235"/>
      <c r="Q20" s="184"/>
      <c r="R20" s="184"/>
      <c r="S20" s="184"/>
      <c r="T20" s="184"/>
    </row>
    <row r="21" spans="1:22" s="1" customFormat="1" ht="12" x14ac:dyDescent="0.2">
      <c r="A21" s="228"/>
      <c r="B21" s="228"/>
      <c r="C21" s="229"/>
      <c r="D21" s="223"/>
      <c r="E21" s="236"/>
      <c r="F21" s="236"/>
      <c r="G21" s="237"/>
      <c r="H21" s="231"/>
      <c r="I21" s="231"/>
      <c r="J21" s="231"/>
      <c r="K21" s="231"/>
      <c r="L21" s="231"/>
      <c r="M21" s="231"/>
      <c r="N21" s="231"/>
      <c r="O21" s="231"/>
      <c r="P21" s="235"/>
      <c r="Q21" s="184"/>
      <c r="R21" s="184"/>
      <c r="S21" s="184"/>
      <c r="T21" s="184"/>
    </row>
    <row r="22" spans="1:22" s="1" customFormat="1" ht="12" x14ac:dyDescent="0.2">
      <c r="A22" s="228"/>
      <c r="B22" s="228"/>
      <c r="C22" s="229"/>
      <c r="D22" s="223"/>
      <c r="E22" s="236"/>
      <c r="F22" s="236"/>
      <c r="G22" s="237"/>
      <c r="H22" s="231"/>
      <c r="I22" s="231"/>
      <c r="J22" s="231"/>
      <c r="K22" s="231"/>
      <c r="L22" s="231"/>
      <c r="M22" s="231"/>
      <c r="N22" s="231"/>
      <c r="O22" s="231"/>
      <c r="P22" s="235"/>
      <c r="Q22" s="184"/>
      <c r="R22" s="184"/>
      <c r="S22" s="184"/>
      <c r="T22" s="184"/>
    </row>
    <row r="23" spans="1:22" s="1" customFormat="1" ht="12" x14ac:dyDescent="0.2">
      <c r="A23" s="228"/>
      <c r="B23" s="228"/>
      <c r="C23" s="229"/>
      <c r="D23" s="223"/>
      <c r="E23" s="236"/>
      <c r="F23" s="236"/>
      <c r="G23" s="237"/>
      <c r="H23" s="231"/>
      <c r="I23" s="231"/>
      <c r="J23" s="231"/>
      <c r="K23" s="231"/>
      <c r="L23" s="231"/>
      <c r="M23" s="231"/>
      <c r="N23" s="231"/>
      <c r="O23" s="231"/>
      <c r="P23" s="235"/>
      <c r="Q23" s="184"/>
      <c r="R23" s="184"/>
      <c r="S23" s="184"/>
      <c r="T23" s="184"/>
    </row>
    <row r="24" spans="1:22" s="1" customFormat="1" ht="12" x14ac:dyDescent="0.2">
      <c r="A24" s="228"/>
      <c r="B24" s="228"/>
      <c r="C24" s="229"/>
      <c r="D24" s="223"/>
      <c r="E24" s="236"/>
      <c r="F24" s="236"/>
      <c r="G24" s="237"/>
      <c r="H24" s="231"/>
      <c r="I24" s="231"/>
      <c r="J24" s="231"/>
      <c r="K24" s="231"/>
      <c r="L24" s="231"/>
      <c r="M24" s="231"/>
      <c r="N24" s="231"/>
      <c r="O24" s="231"/>
      <c r="P24" s="235"/>
      <c r="Q24" s="184"/>
      <c r="R24" s="184"/>
      <c r="S24" s="184"/>
      <c r="T24" s="184"/>
    </row>
    <row r="25" spans="1:22" s="1" customFormat="1" ht="12" x14ac:dyDescent="0.2">
      <c r="A25" s="228"/>
      <c r="B25" s="228"/>
      <c r="C25" s="229"/>
      <c r="D25" s="223"/>
      <c r="E25" s="236"/>
      <c r="F25" s="236"/>
      <c r="G25" s="237"/>
      <c r="H25" s="231"/>
      <c r="I25" s="231"/>
      <c r="J25" s="231"/>
      <c r="K25" s="231"/>
      <c r="L25" s="231"/>
      <c r="M25" s="231"/>
      <c r="N25" s="231"/>
      <c r="O25" s="231"/>
      <c r="P25" s="235"/>
      <c r="Q25" s="184"/>
      <c r="R25" s="184"/>
      <c r="S25" s="184"/>
      <c r="T25" s="184"/>
    </row>
    <row r="26" spans="1:22" s="1" customFormat="1" ht="12" x14ac:dyDescent="0.2">
      <c r="A26" s="228"/>
      <c r="B26" s="228"/>
      <c r="C26" s="229"/>
      <c r="D26" s="223"/>
      <c r="E26" s="236"/>
      <c r="F26" s="236"/>
      <c r="G26" s="237"/>
      <c r="H26" s="231"/>
      <c r="I26" s="231"/>
      <c r="J26" s="231"/>
      <c r="K26" s="231"/>
      <c r="L26" s="231"/>
      <c r="M26" s="231"/>
      <c r="N26" s="231"/>
      <c r="O26" s="231"/>
      <c r="P26" s="235"/>
      <c r="Q26" s="184"/>
      <c r="R26" s="184"/>
      <c r="S26" s="184"/>
      <c r="T26" s="184"/>
    </row>
    <row r="27" spans="1:22" s="1" customFormat="1" ht="12" x14ac:dyDescent="0.2">
      <c r="A27" s="228"/>
      <c r="B27" s="228"/>
      <c r="C27" s="229"/>
      <c r="D27" s="223"/>
      <c r="E27" s="236"/>
      <c r="F27" s="236"/>
      <c r="G27" s="237"/>
      <c r="H27" s="231"/>
      <c r="I27" s="231"/>
      <c r="J27" s="231"/>
      <c r="K27" s="231"/>
      <c r="L27" s="231"/>
      <c r="M27" s="231"/>
      <c r="N27" s="231"/>
      <c r="O27" s="231"/>
      <c r="P27" s="235"/>
      <c r="Q27" s="184"/>
      <c r="R27" s="184"/>
      <c r="S27" s="184"/>
      <c r="T27" s="184"/>
    </row>
    <row r="28" spans="1:22" s="1" customFormat="1" ht="12" x14ac:dyDescent="0.2">
      <c r="A28" s="228"/>
      <c r="B28" s="228"/>
      <c r="C28" s="229"/>
      <c r="D28" s="223"/>
      <c r="E28" s="236"/>
      <c r="F28" s="236"/>
      <c r="G28" s="237"/>
      <c r="H28" s="231"/>
      <c r="I28" s="231"/>
      <c r="J28" s="231"/>
      <c r="K28" s="231"/>
      <c r="L28" s="231"/>
      <c r="M28" s="231"/>
      <c r="N28" s="231"/>
      <c r="O28" s="231"/>
      <c r="P28" s="235"/>
      <c r="Q28" s="184"/>
      <c r="R28" s="184"/>
      <c r="S28" s="184"/>
      <c r="T28" s="184"/>
    </row>
    <row r="29" spans="1:22" s="1" customFormat="1" ht="12" x14ac:dyDescent="0.2">
      <c r="A29" s="228"/>
      <c r="B29" s="228"/>
      <c r="C29" s="229"/>
      <c r="D29" s="223"/>
      <c r="E29" s="236"/>
      <c r="F29" s="236"/>
      <c r="G29" s="237"/>
      <c r="H29" s="231"/>
      <c r="I29" s="231"/>
      <c r="J29" s="231"/>
      <c r="K29" s="231"/>
      <c r="L29" s="231"/>
      <c r="M29" s="231"/>
      <c r="N29" s="231"/>
      <c r="O29" s="231"/>
      <c r="P29" s="235"/>
      <c r="Q29" s="184"/>
      <c r="R29" s="184"/>
      <c r="S29" s="184"/>
      <c r="T29" s="184"/>
    </row>
    <row r="30" spans="1:22" s="1" customFormat="1" ht="12" x14ac:dyDescent="0.2">
      <c r="A30" s="228"/>
      <c r="B30" s="228"/>
      <c r="C30" s="229"/>
      <c r="D30" s="223"/>
      <c r="E30" s="236"/>
      <c r="F30" s="236"/>
      <c r="G30" s="237"/>
      <c r="H30" s="231"/>
      <c r="I30" s="231"/>
      <c r="J30" s="231"/>
      <c r="K30" s="231"/>
      <c r="L30" s="231"/>
      <c r="M30" s="231"/>
      <c r="N30" s="231"/>
      <c r="O30" s="231"/>
      <c r="P30" s="235"/>
      <c r="Q30" s="184"/>
      <c r="R30" s="184"/>
      <c r="S30" s="184"/>
      <c r="T30" s="184"/>
    </row>
    <row r="31" spans="1:22" s="1" customFormat="1" ht="12" x14ac:dyDescent="0.2">
      <c r="A31" s="228"/>
      <c r="B31" s="228"/>
      <c r="C31" s="229"/>
      <c r="D31" s="223"/>
      <c r="E31" s="236"/>
      <c r="F31" s="236"/>
      <c r="G31" s="237"/>
      <c r="H31" s="231"/>
      <c r="I31" s="231"/>
      <c r="J31" s="231"/>
      <c r="K31" s="231"/>
      <c r="L31" s="231"/>
      <c r="M31" s="231"/>
      <c r="N31" s="231"/>
      <c r="O31" s="231"/>
      <c r="P31" s="235"/>
      <c r="Q31" s="184"/>
      <c r="R31" s="184"/>
      <c r="S31" s="184"/>
      <c r="T31" s="184"/>
    </row>
    <row r="32" spans="1:22" s="1" customFormat="1" ht="12" x14ac:dyDescent="0.2">
      <c r="A32" s="228"/>
      <c r="B32" s="228"/>
      <c r="C32" s="229"/>
      <c r="D32" s="223"/>
      <c r="E32" s="236"/>
      <c r="F32" s="236"/>
      <c r="G32" s="237"/>
      <c r="H32" s="231"/>
      <c r="I32" s="231"/>
      <c r="J32" s="231"/>
      <c r="K32" s="231"/>
      <c r="L32" s="231"/>
      <c r="M32" s="231"/>
      <c r="N32" s="231"/>
      <c r="O32" s="231"/>
      <c r="P32" s="235"/>
      <c r="Q32" s="184"/>
      <c r="R32" s="184"/>
      <c r="S32" s="184"/>
      <c r="T32" s="184"/>
    </row>
    <row r="33" spans="1:20" s="1" customFormat="1" ht="12" x14ac:dyDescent="0.2">
      <c r="A33" s="228"/>
      <c r="B33" s="228"/>
      <c r="C33" s="229"/>
      <c r="D33" s="223"/>
      <c r="E33" s="236"/>
      <c r="F33" s="236"/>
      <c r="G33" s="237"/>
      <c r="H33" s="231"/>
      <c r="I33" s="231"/>
      <c r="J33" s="231"/>
      <c r="K33" s="231"/>
      <c r="L33" s="231"/>
      <c r="M33" s="231"/>
      <c r="N33" s="231"/>
      <c r="O33" s="231"/>
      <c r="P33" s="235"/>
      <c r="Q33" s="184"/>
      <c r="R33" s="184"/>
      <c r="S33" s="184"/>
      <c r="T33" s="184"/>
    </row>
    <row r="34" spans="1:20" s="1" customFormat="1" ht="12" x14ac:dyDescent="0.2">
      <c r="A34" s="240"/>
      <c r="B34" s="228"/>
      <c r="C34" s="229"/>
      <c r="D34" s="223"/>
      <c r="E34" s="236"/>
      <c r="F34" s="236"/>
      <c r="G34" s="237"/>
      <c r="H34" s="231"/>
      <c r="I34" s="231"/>
      <c r="J34" s="231"/>
      <c r="K34" s="231"/>
      <c r="L34" s="231"/>
      <c r="M34" s="231"/>
      <c r="N34" s="231"/>
      <c r="O34" s="231"/>
      <c r="P34" s="235"/>
      <c r="Q34" s="184"/>
      <c r="R34" s="184"/>
      <c r="S34" s="184"/>
      <c r="T34" s="184"/>
    </row>
    <row r="35" spans="1:20" s="1" customFormat="1" ht="12" x14ac:dyDescent="0.2">
      <c r="A35" s="228"/>
      <c r="B35" s="228"/>
      <c r="C35" s="229"/>
      <c r="D35" s="223"/>
      <c r="E35" s="236"/>
      <c r="F35" s="236"/>
      <c r="G35" s="237"/>
      <c r="H35" s="231"/>
      <c r="I35" s="231"/>
      <c r="J35" s="231"/>
      <c r="K35" s="231"/>
      <c r="L35" s="231"/>
      <c r="M35" s="231"/>
      <c r="N35" s="231"/>
      <c r="O35" s="231"/>
      <c r="P35" s="235"/>
      <c r="Q35" s="184"/>
      <c r="R35" s="184"/>
      <c r="S35" s="184"/>
      <c r="T35" s="184"/>
    </row>
    <row r="36" spans="1:20" s="1" customFormat="1" ht="12" x14ac:dyDescent="0.2">
      <c r="A36" s="228"/>
      <c r="B36" s="228"/>
      <c r="C36" s="229"/>
      <c r="D36" s="223"/>
      <c r="E36" s="236"/>
      <c r="F36" s="236"/>
      <c r="G36" s="237"/>
      <c r="H36" s="231"/>
      <c r="I36" s="231"/>
      <c r="J36" s="231"/>
      <c r="K36" s="231"/>
      <c r="L36" s="231"/>
      <c r="M36" s="231"/>
      <c r="N36" s="231"/>
      <c r="O36" s="231"/>
      <c r="P36" s="235"/>
      <c r="Q36" s="184"/>
      <c r="R36" s="184"/>
      <c r="S36" s="184"/>
      <c r="T36" s="184"/>
    </row>
    <row r="37" spans="1:20" s="1" customFormat="1" ht="12" x14ac:dyDescent="0.2">
      <c r="A37" s="240"/>
      <c r="B37" s="228"/>
      <c r="C37" s="229"/>
      <c r="D37" s="223"/>
      <c r="E37" s="236"/>
      <c r="F37" s="236"/>
      <c r="G37" s="237"/>
      <c r="H37" s="231"/>
      <c r="I37" s="231"/>
      <c r="J37" s="231"/>
      <c r="K37" s="231"/>
      <c r="L37" s="231"/>
      <c r="M37" s="231"/>
      <c r="N37" s="231"/>
      <c r="O37" s="231"/>
      <c r="P37" s="235"/>
      <c r="Q37" s="184"/>
      <c r="R37" s="184"/>
      <c r="S37" s="184"/>
      <c r="T37" s="184"/>
    </row>
    <row r="38" spans="1:20" s="1" customFormat="1" ht="12" x14ac:dyDescent="0.2">
      <c r="A38" s="228"/>
      <c r="B38" s="228"/>
      <c r="C38" s="229"/>
      <c r="D38" s="223"/>
      <c r="E38" s="236"/>
      <c r="F38" s="236"/>
      <c r="G38" s="237"/>
      <c r="H38" s="231"/>
      <c r="I38" s="231"/>
      <c r="J38" s="231"/>
      <c r="K38" s="231"/>
      <c r="L38" s="231"/>
      <c r="M38" s="231"/>
      <c r="N38" s="231"/>
      <c r="O38" s="231"/>
      <c r="P38" s="235"/>
      <c r="Q38" s="184"/>
      <c r="R38" s="184"/>
      <c r="S38" s="184"/>
      <c r="T38" s="184"/>
    </row>
    <row r="39" spans="1:20" s="1" customFormat="1" ht="12" x14ac:dyDescent="0.2">
      <c r="A39" s="217"/>
      <c r="B39" s="217"/>
      <c r="C39" s="219"/>
      <c r="D39" s="223"/>
      <c r="E39" s="214"/>
      <c r="F39" s="214"/>
      <c r="G39" s="222"/>
      <c r="H39" s="12"/>
      <c r="I39" s="12"/>
      <c r="J39" s="12"/>
      <c r="K39" s="12"/>
      <c r="L39" s="12"/>
      <c r="M39" s="12"/>
      <c r="N39" s="12"/>
      <c r="O39" s="12"/>
      <c r="P39" s="225"/>
      <c r="Q39" s="184"/>
      <c r="R39" s="184"/>
      <c r="S39" s="184"/>
      <c r="T39" s="184"/>
    </row>
    <row r="40" spans="1:20" s="1" customFormat="1" ht="12" x14ac:dyDescent="0.2">
      <c r="A40" s="217"/>
      <c r="B40" s="217"/>
      <c r="C40" s="219"/>
      <c r="D40" s="223"/>
      <c r="E40" s="214"/>
      <c r="F40" s="214"/>
      <c r="G40" s="222"/>
      <c r="H40" s="12"/>
      <c r="I40" s="12"/>
      <c r="J40" s="12"/>
      <c r="K40" s="12"/>
      <c r="L40" s="12"/>
      <c r="M40" s="12"/>
      <c r="N40" s="12"/>
      <c r="O40" s="12"/>
      <c r="P40" s="225"/>
      <c r="Q40" s="184"/>
      <c r="R40" s="184"/>
      <c r="S40" s="184"/>
      <c r="T40" s="184"/>
    </row>
    <row r="41" spans="1:20" s="1" customFormat="1" ht="12" x14ac:dyDescent="0.2">
      <c r="A41" s="217"/>
      <c r="B41" s="217"/>
      <c r="C41" s="219"/>
      <c r="D41" s="223"/>
      <c r="E41" s="214"/>
      <c r="F41" s="214"/>
      <c r="G41" s="222"/>
      <c r="H41" s="12"/>
      <c r="I41" s="12"/>
      <c r="J41" s="12"/>
      <c r="K41" s="12"/>
      <c r="L41" s="12"/>
      <c r="M41" s="12"/>
      <c r="N41" s="12"/>
      <c r="O41" s="12"/>
      <c r="P41" s="225"/>
      <c r="Q41" s="184"/>
      <c r="R41" s="184"/>
      <c r="S41" s="184"/>
      <c r="T41" s="184"/>
    </row>
    <row r="42" spans="1:20" s="1" customFormat="1" ht="12" x14ac:dyDescent="0.2">
      <c r="A42" s="217"/>
      <c r="B42" s="217"/>
      <c r="C42" s="219"/>
      <c r="D42" s="223"/>
      <c r="E42" s="214"/>
      <c r="F42" s="214"/>
      <c r="G42" s="222"/>
      <c r="H42" s="12"/>
      <c r="I42" s="12"/>
      <c r="J42" s="12"/>
      <c r="K42" s="12"/>
      <c r="L42" s="12"/>
      <c r="M42" s="12"/>
      <c r="N42" s="12"/>
      <c r="O42" s="12"/>
      <c r="P42" s="225"/>
      <c r="Q42" s="184"/>
      <c r="R42" s="184"/>
      <c r="S42" s="184"/>
      <c r="T42" s="184"/>
    </row>
    <row r="43" spans="1:20" s="1" customFormat="1" ht="12" x14ac:dyDescent="0.2">
      <c r="A43" s="217"/>
      <c r="B43" s="217"/>
      <c r="C43" s="219"/>
      <c r="D43" s="223"/>
      <c r="E43" s="214"/>
      <c r="F43" s="214"/>
      <c r="G43" s="222"/>
      <c r="H43" s="12"/>
      <c r="I43" s="12"/>
      <c r="J43" s="12"/>
      <c r="K43" s="12"/>
      <c r="L43" s="12"/>
      <c r="M43" s="12"/>
      <c r="N43" s="12"/>
      <c r="O43" s="12"/>
      <c r="P43" s="225"/>
      <c r="Q43" s="184"/>
      <c r="R43" s="184"/>
      <c r="S43" s="184"/>
      <c r="T43" s="184"/>
    </row>
    <row r="44" spans="1:20" s="1" customFormat="1" ht="12" x14ac:dyDescent="0.2">
      <c r="A44" s="217"/>
      <c r="B44" s="217"/>
      <c r="C44" s="219"/>
      <c r="D44" s="223"/>
      <c r="E44" s="214"/>
      <c r="F44" s="214"/>
      <c r="G44" s="222"/>
      <c r="H44" s="12"/>
      <c r="I44" s="12"/>
      <c r="J44" s="12"/>
      <c r="K44" s="12"/>
      <c r="L44" s="12"/>
      <c r="M44" s="12"/>
      <c r="N44" s="12"/>
      <c r="O44" s="12"/>
      <c r="P44" s="225"/>
      <c r="Q44" s="184"/>
      <c r="R44" s="184"/>
      <c r="S44" s="184"/>
      <c r="T44" s="184"/>
    </row>
    <row r="45" spans="1:20" s="1" customFormat="1" ht="12" x14ac:dyDescent="0.2">
      <c r="A45" s="217"/>
      <c r="B45" s="217"/>
      <c r="C45" s="219"/>
      <c r="D45" s="223"/>
      <c r="E45" s="214"/>
      <c r="F45" s="214"/>
      <c r="G45" s="222"/>
      <c r="H45" s="12"/>
      <c r="I45" s="12"/>
      <c r="J45" s="12"/>
      <c r="K45" s="12"/>
      <c r="L45" s="12"/>
      <c r="M45" s="12"/>
      <c r="N45" s="12"/>
      <c r="O45" s="12"/>
      <c r="P45" s="225"/>
      <c r="Q45" s="184"/>
      <c r="R45" s="184"/>
      <c r="S45" s="184"/>
      <c r="T45" s="184"/>
    </row>
    <row r="46" spans="1:20" s="1" customFormat="1" ht="12" x14ac:dyDescent="0.2">
      <c r="A46" s="217"/>
      <c r="B46" s="217"/>
      <c r="C46" s="219"/>
      <c r="D46" s="223"/>
      <c r="E46" s="214"/>
      <c r="F46" s="214"/>
      <c r="G46" s="222"/>
      <c r="H46" s="12"/>
      <c r="I46" s="12"/>
      <c r="J46" s="12"/>
      <c r="K46" s="12"/>
      <c r="L46" s="12"/>
      <c r="M46" s="12"/>
      <c r="N46" s="12"/>
      <c r="O46" s="12"/>
      <c r="P46" s="225"/>
      <c r="Q46" s="184"/>
      <c r="R46" s="184"/>
      <c r="S46" s="184"/>
      <c r="T46" s="184"/>
    </row>
    <row r="47" spans="1:20" s="1" customFormat="1" ht="12" x14ac:dyDescent="0.2">
      <c r="A47" s="217"/>
      <c r="B47" s="217"/>
      <c r="C47" s="219"/>
      <c r="D47" s="223"/>
      <c r="E47" s="214"/>
      <c r="F47" s="214"/>
      <c r="G47" s="222"/>
      <c r="H47" s="12"/>
      <c r="I47" s="12"/>
      <c r="J47" s="12"/>
      <c r="K47" s="12"/>
      <c r="L47" s="12"/>
      <c r="M47" s="12"/>
      <c r="N47" s="12"/>
      <c r="O47" s="12"/>
      <c r="P47" s="225"/>
      <c r="Q47" s="184"/>
      <c r="R47" s="184"/>
      <c r="S47" s="184"/>
      <c r="T47" s="184"/>
    </row>
    <row r="48" spans="1:20" s="1" customFormat="1" ht="12" x14ac:dyDescent="0.2">
      <c r="A48" s="217"/>
      <c r="B48" s="217"/>
      <c r="C48" s="219"/>
      <c r="D48" s="223"/>
      <c r="E48" s="214"/>
      <c r="F48" s="214"/>
      <c r="G48" s="222"/>
      <c r="H48" s="12"/>
      <c r="I48" s="12"/>
      <c r="J48" s="12"/>
      <c r="K48" s="12"/>
      <c r="L48" s="12"/>
      <c r="M48" s="12"/>
      <c r="N48" s="12"/>
      <c r="O48" s="12"/>
      <c r="P48" s="225"/>
      <c r="Q48" s="184"/>
      <c r="R48" s="184"/>
      <c r="S48" s="184"/>
      <c r="T48" s="184"/>
    </row>
    <row r="49" spans="1:20" s="1" customFormat="1" ht="12" x14ac:dyDescent="0.2">
      <c r="A49" s="217"/>
      <c r="B49" s="217"/>
      <c r="C49" s="219"/>
      <c r="D49" s="223"/>
      <c r="E49" s="214"/>
      <c r="F49" s="214"/>
      <c r="G49" s="222"/>
      <c r="H49" s="12"/>
      <c r="I49" s="12"/>
      <c r="J49" s="12"/>
      <c r="K49" s="12"/>
      <c r="L49" s="12"/>
      <c r="M49" s="12"/>
      <c r="N49" s="12"/>
      <c r="O49" s="12"/>
      <c r="P49" s="225"/>
      <c r="Q49" s="184"/>
      <c r="R49" s="184"/>
      <c r="S49" s="184"/>
      <c r="T49" s="184"/>
    </row>
    <row r="50" spans="1:20" s="1" customFormat="1" ht="12" x14ac:dyDescent="0.2">
      <c r="A50" s="217"/>
      <c r="B50" s="217"/>
      <c r="C50" s="219"/>
      <c r="D50" s="223"/>
      <c r="E50" s="214"/>
      <c r="F50" s="214"/>
      <c r="G50" s="222"/>
      <c r="H50" s="12"/>
      <c r="I50" s="12"/>
      <c r="J50" s="12"/>
      <c r="K50" s="12"/>
      <c r="L50" s="12"/>
      <c r="M50" s="12"/>
      <c r="N50" s="12"/>
      <c r="O50" s="12"/>
      <c r="P50" s="225"/>
      <c r="Q50" s="184"/>
      <c r="R50" s="184"/>
      <c r="S50" s="184"/>
      <c r="T50" s="184"/>
    </row>
    <row r="51" spans="1:20" s="1" customFormat="1" ht="12" x14ac:dyDescent="0.2">
      <c r="A51" s="217"/>
      <c r="B51" s="217"/>
      <c r="C51" s="219"/>
      <c r="D51" s="223"/>
      <c r="E51" s="214"/>
      <c r="F51" s="214"/>
      <c r="G51" s="222"/>
      <c r="H51" s="12"/>
      <c r="I51" s="12"/>
      <c r="J51" s="12"/>
      <c r="K51" s="12"/>
      <c r="L51" s="12"/>
      <c r="M51" s="12"/>
      <c r="N51" s="12"/>
      <c r="O51" s="12"/>
      <c r="P51" s="225"/>
      <c r="Q51" s="184"/>
      <c r="R51" s="184"/>
      <c r="S51" s="184"/>
      <c r="T51" s="184"/>
    </row>
    <row r="52" spans="1:20" s="1" customFormat="1" ht="12" x14ac:dyDescent="0.2">
      <c r="A52" s="217"/>
      <c r="B52" s="217"/>
      <c r="C52" s="219"/>
      <c r="D52" s="223"/>
      <c r="E52" s="214"/>
      <c r="F52" s="214"/>
      <c r="G52" s="214"/>
      <c r="H52" s="12"/>
      <c r="I52" s="12"/>
      <c r="J52" s="12"/>
      <c r="K52" s="12"/>
      <c r="L52" s="12"/>
      <c r="M52" s="12"/>
      <c r="N52" s="12"/>
      <c r="O52" s="12"/>
      <c r="P52" s="225"/>
      <c r="Q52" s="184"/>
      <c r="R52" s="184"/>
      <c r="S52" s="184"/>
      <c r="T52" s="184"/>
    </row>
    <row r="53" spans="1:20" s="1" customFormat="1" ht="12" x14ac:dyDescent="0.2">
      <c r="A53" s="217"/>
      <c r="B53" s="217"/>
      <c r="C53" s="219"/>
      <c r="D53" s="223"/>
      <c r="E53" s="214"/>
      <c r="F53" s="214"/>
      <c r="G53" s="214"/>
      <c r="H53" s="12"/>
      <c r="I53" s="12"/>
      <c r="J53" s="12"/>
      <c r="K53" s="12"/>
      <c r="L53" s="12"/>
      <c r="M53" s="12"/>
      <c r="N53" s="12"/>
      <c r="O53" s="12"/>
      <c r="P53" s="225"/>
      <c r="Q53" s="184"/>
      <c r="R53" s="184"/>
      <c r="S53" s="184"/>
      <c r="T53" s="184"/>
    </row>
    <row r="54" spans="1:20" s="1" customFormat="1" ht="12" x14ac:dyDescent="0.2">
      <c r="A54" s="217"/>
      <c r="B54" s="217"/>
      <c r="C54" s="219"/>
      <c r="D54" s="223"/>
      <c r="E54" s="214"/>
      <c r="F54" s="214"/>
      <c r="G54" s="214"/>
      <c r="H54" s="12"/>
      <c r="I54" s="12"/>
      <c r="J54" s="12"/>
      <c r="K54" s="12"/>
      <c r="L54" s="12"/>
      <c r="M54" s="12"/>
      <c r="N54" s="12"/>
      <c r="O54" s="12"/>
      <c r="P54" s="225"/>
      <c r="Q54" s="184"/>
      <c r="R54" s="184"/>
      <c r="S54" s="184"/>
      <c r="T54" s="184"/>
    </row>
    <row r="55" spans="1:20" s="1" customFormat="1" ht="12" x14ac:dyDescent="0.2">
      <c r="A55" s="217"/>
      <c r="B55" s="217"/>
      <c r="C55" s="219"/>
      <c r="D55" s="223"/>
      <c r="E55" s="214"/>
      <c r="F55" s="214"/>
      <c r="G55" s="214"/>
      <c r="H55" s="12"/>
      <c r="I55" s="12"/>
      <c r="J55" s="12"/>
      <c r="K55" s="12"/>
      <c r="L55" s="12"/>
      <c r="M55" s="12"/>
      <c r="N55" s="12"/>
      <c r="O55" s="12"/>
      <c r="P55" s="225"/>
      <c r="Q55" s="184"/>
      <c r="R55" s="184"/>
      <c r="S55" s="184"/>
      <c r="T55" s="184"/>
    </row>
    <row r="56" spans="1:20" s="1" customFormat="1" ht="12" x14ac:dyDescent="0.2">
      <c r="A56" s="217"/>
      <c r="B56" s="217"/>
      <c r="C56" s="219"/>
      <c r="D56" s="223"/>
      <c r="E56" s="214"/>
      <c r="F56" s="214"/>
      <c r="G56" s="214"/>
      <c r="H56" s="12"/>
      <c r="I56" s="12"/>
      <c r="J56" s="12"/>
      <c r="K56" s="12"/>
      <c r="L56" s="12"/>
      <c r="M56" s="12"/>
      <c r="N56" s="12"/>
      <c r="O56" s="12"/>
      <c r="P56" s="225"/>
      <c r="Q56" s="184"/>
      <c r="R56" s="184"/>
      <c r="S56" s="184"/>
      <c r="T56" s="184"/>
    </row>
    <row r="57" spans="1:20" s="1" customFormat="1" ht="12" x14ac:dyDescent="0.2">
      <c r="A57" s="217"/>
      <c r="B57" s="217"/>
      <c r="C57" s="219"/>
      <c r="D57" s="223"/>
      <c r="E57" s="215"/>
      <c r="F57" s="215"/>
      <c r="G57" s="215"/>
      <c r="H57" s="12"/>
      <c r="I57" s="12"/>
      <c r="J57" s="12"/>
      <c r="K57" s="12"/>
      <c r="L57" s="12"/>
      <c r="M57" s="12"/>
      <c r="N57" s="12"/>
      <c r="O57" s="12"/>
      <c r="P57" s="225"/>
      <c r="Q57" s="184"/>
      <c r="R57" s="184"/>
      <c r="S57" s="184"/>
      <c r="T57" s="184"/>
    </row>
    <row r="58" spans="1:20" s="1" customFormat="1" ht="12" x14ac:dyDescent="0.2">
      <c r="A58" s="217"/>
      <c r="B58" s="217"/>
      <c r="C58" s="219"/>
      <c r="D58" s="223"/>
      <c r="E58" s="215"/>
      <c r="F58" s="215"/>
      <c r="G58" s="215"/>
      <c r="H58" s="12"/>
      <c r="I58" s="12"/>
      <c r="J58" s="12"/>
      <c r="K58" s="12"/>
      <c r="L58" s="12"/>
      <c r="M58" s="12"/>
      <c r="N58" s="12"/>
      <c r="O58" s="12"/>
      <c r="P58" s="225"/>
      <c r="Q58" s="184"/>
      <c r="R58" s="184"/>
      <c r="S58" s="184"/>
      <c r="T58" s="184"/>
    </row>
    <row r="59" spans="1:20" s="1" customFormat="1" ht="12" x14ac:dyDescent="0.2">
      <c r="A59" s="218"/>
      <c r="B59" s="217"/>
      <c r="C59" s="219"/>
      <c r="D59" s="223"/>
      <c r="E59" s="214"/>
      <c r="F59" s="214"/>
      <c r="G59" s="214"/>
      <c r="H59" s="12"/>
      <c r="I59" s="12"/>
      <c r="J59" s="12"/>
      <c r="K59" s="12"/>
      <c r="L59" s="12"/>
      <c r="M59" s="12"/>
      <c r="N59" s="12"/>
      <c r="O59" s="12"/>
      <c r="P59" s="225"/>
      <c r="Q59" s="184"/>
      <c r="R59" s="184"/>
      <c r="S59" s="184"/>
      <c r="T59" s="184"/>
    </row>
    <row r="60" spans="1:20" s="1" customFormat="1" ht="12" x14ac:dyDescent="0.2">
      <c r="A60" s="218"/>
      <c r="B60" s="217"/>
      <c r="C60" s="219"/>
      <c r="D60" s="223"/>
      <c r="E60" s="214"/>
      <c r="F60" s="214"/>
      <c r="G60" s="214"/>
      <c r="H60" s="12"/>
      <c r="I60" s="12"/>
      <c r="J60" s="12"/>
      <c r="K60" s="12"/>
      <c r="L60" s="12"/>
      <c r="M60" s="12"/>
      <c r="N60" s="12"/>
      <c r="O60" s="12"/>
      <c r="P60" s="225"/>
      <c r="Q60" s="184"/>
      <c r="R60" s="184"/>
      <c r="S60" s="184"/>
      <c r="T60" s="184"/>
    </row>
    <row r="61" spans="1:20" s="1" customFormat="1" ht="12" x14ac:dyDescent="0.2">
      <c r="A61" s="218"/>
      <c r="B61" s="217"/>
      <c r="C61" s="219"/>
      <c r="D61" s="223"/>
      <c r="E61" s="214"/>
      <c r="F61" s="214"/>
      <c r="G61" s="214"/>
      <c r="H61" s="12"/>
      <c r="I61" s="12"/>
      <c r="J61" s="12"/>
      <c r="K61" s="12"/>
      <c r="L61" s="12"/>
      <c r="M61" s="12"/>
      <c r="N61" s="12"/>
      <c r="O61" s="12"/>
      <c r="P61" s="225"/>
      <c r="Q61" s="184"/>
      <c r="R61" s="184"/>
      <c r="S61" s="184"/>
      <c r="T61" s="184"/>
    </row>
    <row r="62" spans="1:20" s="1" customFormat="1" ht="12" x14ac:dyDescent="0.2">
      <c r="A62" s="218"/>
      <c r="B62" s="217"/>
      <c r="C62" s="219"/>
      <c r="D62" s="223"/>
      <c r="E62" s="214"/>
      <c r="F62" s="214"/>
      <c r="G62" s="214"/>
      <c r="H62" s="12"/>
      <c r="I62" s="12"/>
      <c r="J62" s="12"/>
      <c r="K62" s="12"/>
      <c r="L62" s="12"/>
      <c r="M62" s="12"/>
      <c r="N62" s="12"/>
      <c r="O62" s="12"/>
      <c r="P62" s="225"/>
      <c r="Q62" s="184"/>
      <c r="R62" s="184"/>
      <c r="S62" s="184"/>
      <c r="T62" s="184"/>
    </row>
    <row r="63" spans="1:20" s="1" customFormat="1" ht="12" x14ac:dyDescent="0.2">
      <c r="A63" s="217"/>
      <c r="B63" s="217"/>
      <c r="C63" s="219"/>
      <c r="D63" s="223"/>
      <c r="E63" s="214"/>
      <c r="F63" s="214"/>
      <c r="G63" s="214"/>
      <c r="H63" s="12"/>
      <c r="I63" s="12"/>
      <c r="J63" s="12"/>
      <c r="K63" s="12"/>
      <c r="L63" s="12"/>
      <c r="M63" s="12"/>
      <c r="N63" s="12"/>
      <c r="O63" s="12"/>
      <c r="P63" s="225"/>
      <c r="Q63" s="184"/>
      <c r="R63" s="184"/>
      <c r="S63" s="184"/>
      <c r="T63" s="184"/>
    </row>
    <row r="64" spans="1:20" s="1" customFormat="1" ht="12" x14ac:dyDescent="0.2">
      <c r="A64" s="218"/>
      <c r="B64" s="217"/>
      <c r="C64" s="219"/>
      <c r="D64" s="223"/>
      <c r="E64" s="214"/>
      <c r="F64" s="214"/>
      <c r="G64" s="214"/>
      <c r="H64" s="12"/>
      <c r="I64" s="12"/>
      <c r="J64" s="12"/>
      <c r="K64" s="12"/>
      <c r="L64" s="12"/>
      <c r="M64" s="12"/>
      <c r="N64" s="12"/>
      <c r="O64" s="12"/>
      <c r="P64" s="225"/>
      <c r="Q64" s="184"/>
      <c r="R64" s="184"/>
      <c r="S64" s="184"/>
      <c r="T64" s="184"/>
    </row>
    <row r="65" spans="1:20" s="1" customFormat="1" ht="12" x14ac:dyDescent="0.2">
      <c r="A65" s="218"/>
      <c r="B65" s="217"/>
      <c r="C65" s="219"/>
      <c r="D65" s="223"/>
      <c r="E65" s="214"/>
      <c r="F65" s="214"/>
      <c r="G65" s="214"/>
      <c r="H65" s="12"/>
      <c r="I65" s="12"/>
      <c r="J65" s="12"/>
      <c r="K65" s="12"/>
      <c r="L65" s="12"/>
      <c r="M65" s="12"/>
      <c r="N65" s="12"/>
      <c r="O65" s="12"/>
      <c r="P65" s="225"/>
      <c r="Q65" s="184"/>
      <c r="R65" s="184"/>
      <c r="S65" s="184"/>
      <c r="T65" s="184"/>
    </row>
    <row r="66" spans="1:20" s="1" customFormat="1" ht="12" x14ac:dyDescent="0.2">
      <c r="A66" s="218"/>
      <c r="B66" s="217"/>
      <c r="C66" s="219"/>
      <c r="D66" s="223"/>
      <c r="E66" s="214"/>
      <c r="F66" s="214"/>
      <c r="G66" s="214"/>
      <c r="H66" s="12"/>
      <c r="I66" s="12"/>
      <c r="J66" s="12"/>
      <c r="K66" s="12"/>
      <c r="L66" s="12"/>
      <c r="M66" s="12"/>
      <c r="N66" s="12"/>
      <c r="O66" s="12"/>
      <c r="P66" s="225"/>
      <c r="Q66" s="184"/>
      <c r="R66" s="184"/>
      <c r="S66" s="184"/>
      <c r="T66" s="184"/>
    </row>
    <row r="67" spans="1:20" s="1" customFormat="1" ht="12" x14ac:dyDescent="0.2">
      <c r="A67" s="218"/>
      <c r="B67" s="217"/>
      <c r="C67" s="219"/>
      <c r="D67" s="223"/>
      <c r="E67" s="214"/>
      <c r="F67" s="214"/>
      <c r="G67" s="214"/>
      <c r="H67" s="12"/>
      <c r="I67" s="12"/>
      <c r="J67" s="12"/>
      <c r="K67" s="12"/>
      <c r="L67" s="12"/>
      <c r="M67" s="12"/>
      <c r="N67" s="12"/>
      <c r="O67" s="12"/>
      <c r="P67" s="225"/>
      <c r="Q67" s="184"/>
      <c r="R67" s="184"/>
      <c r="S67" s="184"/>
      <c r="T67" s="184"/>
    </row>
    <row r="68" spans="1:20" s="1" customFormat="1" ht="12" x14ac:dyDescent="0.2">
      <c r="A68" s="218"/>
      <c r="B68" s="217"/>
      <c r="C68" s="219"/>
      <c r="D68" s="223"/>
      <c r="E68" s="214"/>
      <c r="F68" s="214"/>
      <c r="G68" s="214"/>
      <c r="H68" s="12"/>
      <c r="I68" s="12"/>
      <c r="J68" s="12"/>
      <c r="K68" s="12"/>
      <c r="L68" s="12"/>
      <c r="M68" s="12"/>
      <c r="N68" s="12"/>
      <c r="O68" s="12"/>
      <c r="P68" s="225"/>
      <c r="Q68" s="184"/>
      <c r="R68" s="184"/>
      <c r="S68" s="184"/>
      <c r="T68" s="184"/>
    </row>
    <row r="69" spans="1:20" s="1" customFormat="1" ht="12" x14ac:dyDescent="0.2">
      <c r="A69" s="218"/>
      <c r="B69" s="217"/>
      <c r="C69" s="219"/>
      <c r="D69" s="223"/>
      <c r="E69" s="214"/>
      <c r="F69" s="214"/>
      <c r="G69" s="214"/>
      <c r="H69" s="12"/>
      <c r="I69" s="12"/>
      <c r="J69" s="12"/>
      <c r="K69" s="12"/>
      <c r="L69" s="12"/>
      <c r="M69" s="12"/>
      <c r="N69" s="12"/>
      <c r="O69" s="12"/>
      <c r="P69" s="225"/>
      <c r="Q69" s="184"/>
      <c r="R69" s="184"/>
      <c r="S69" s="184"/>
      <c r="T69" s="184"/>
    </row>
    <row r="70" spans="1:20" s="1" customFormat="1" ht="12" x14ac:dyDescent="0.2">
      <c r="A70" s="218"/>
      <c r="B70" s="217"/>
      <c r="C70" s="219"/>
      <c r="D70" s="223"/>
      <c r="E70" s="214"/>
      <c r="F70" s="214"/>
      <c r="G70" s="214"/>
      <c r="H70" s="12"/>
      <c r="I70" s="12"/>
      <c r="J70" s="12"/>
      <c r="K70" s="12"/>
      <c r="L70" s="12"/>
      <c r="M70" s="12"/>
      <c r="N70" s="12"/>
      <c r="O70" s="12"/>
      <c r="P70" s="225"/>
      <c r="Q70" s="184"/>
      <c r="R70" s="184"/>
      <c r="S70" s="184"/>
      <c r="T70" s="184"/>
    </row>
    <row r="71" spans="1:20" s="1" customFormat="1" ht="12" x14ac:dyDescent="0.2">
      <c r="A71" s="218"/>
      <c r="B71" s="217"/>
      <c r="C71" s="219"/>
      <c r="D71" s="223"/>
      <c r="E71" s="214"/>
      <c r="F71" s="214"/>
      <c r="G71" s="214"/>
      <c r="H71" s="12"/>
      <c r="I71" s="12"/>
      <c r="J71" s="12"/>
      <c r="K71" s="12"/>
      <c r="L71" s="12"/>
      <c r="M71" s="12"/>
      <c r="N71" s="12"/>
      <c r="O71" s="12"/>
      <c r="P71" s="225"/>
      <c r="Q71" s="184"/>
      <c r="R71" s="184"/>
      <c r="S71" s="184"/>
      <c r="T71" s="184"/>
    </row>
    <row r="72" spans="1:20" s="1" customFormat="1" ht="12" x14ac:dyDescent="0.2">
      <c r="A72" s="218"/>
      <c r="B72" s="217"/>
      <c r="C72" s="219"/>
      <c r="D72" s="223"/>
      <c r="E72" s="214"/>
      <c r="F72" s="214"/>
      <c r="G72" s="214"/>
      <c r="H72" s="12"/>
      <c r="I72" s="12"/>
      <c r="J72" s="12"/>
      <c r="K72" s="12"/>
      <c r="L72" s="12"/>
      <c r="M72" s="12"/>
      <c r="N72" s="12"/>
      <c r="O72" s="12"/>
      <c r="P72" s="225"/>
      <c r="Q72" s="184"/>
      <c r="R72" s="184"/>
      <c r="S72" s="184"/>
      <c r="T72" s="184"/>
    </row>
    <row r="73" spans="1:20" s="1" customFormat="1" ht="12" x14ac:dyDescent="0.2">
      <c r="A73" s="218"/>
      <c r="B73" s="217"/>
      <c r="C73" s="219"/>
      <c r="D73" s="223"/>
      <c r="E73" s="214"/>
      <c r="F73" s="214"/>
      <c r="G73" s="214"/>
      <c r="H73" s="12"/>
      <c r="I73" s="12"/>
      <c r="J73" s="12"/>
      <c r="K73" s="12"/>
      <c r="L73" s="12"/>
      <c r="M73" s="12"/>
      <c r="N73" s="12"/>
      <c r="O73" s="12"/>
      <c r="P73" s="225"/>
      <c r="Q73" s="184"/>
      <c r="R73" s="184"/>
      <c r="S73" s="184"/>
      <c r="T73" s="184"/>
    </row>
    <row r="74" spans="1:20" s="1" customFormat="1" ht="12" x14ac:dyDescent="0.2">
      <c r="A74" s="218"/>
      <c r="B74" s="217"/>
      <c r="C74" s="219"/>
      <c r="D74" s="223"/>
      <c r="E74" s="214"/>
      <c r="F74" s="214"/>
      <c r="G74" s="214"/>
      <c r="H74" s="12"/>
      <c r="I74" s="12"/>
      <c r="J74" s="12"/>
      <c r="K74" s="12"/>
      <c r="L74" s="12"/>
      <c r="M74" s="12"/>
      <c r="N74" s="12"/>
      <c r="O74" s="12"/>
      <c r="P74" s="225"/>
      <c r="Q74" s="184"/>
      <c r="R74" s="184"/>
      <c r="S74" s="184"/>
      <c r="T74" s="184"/>
    </row>
    <row r="75" spans="1:20" s="1" customFormat="1" ht="12" x14ac:dyDescent="0.2">
      <c r="A75" s="218"/>
      <c r="B75" s="217"/>
      <c r="C75" s="219"/>
      <c r="D75" s="223"/>
      <c r="E75" s="214"/>
      <c r="F75" s="214"/>
      <c r="G75" s="214"/>
      <c r="H75" s="12"/>
      <c r="I75" s="12"/>
      <c r="J75" s="12"/>
      <c r="K75" s="12"/>
      <c r="L75" s="12"/>
      <c r="M75" s="12"/>
      <c r="N75" s="12"/>
      <c r="O75" s="12"/>
      <c r="P75" s="225"/>
      <c r="Q75" s="184"/>
      <c r="R75" s="184"/>
      <c r="S75" s="184"/>
      <c r="T75" s="184"/>
    </row>
    <row r="76" spans="1:20" s="1" customFormat="1" ht="12" x14ac:dyDescent="0.2">
      <c r="A76" s="218"/>
      <c r="B76" s="217"/>
      <c r="C76" s="219"/>
      <c r="D76" s="223"/>
      <c r="E76" s="214"/>
      <c r="F76" s="214"/>
      <c r="G76" s="214"/>
      <c r="H76" s="12"/>
      <c r="I76" s="12"/>
      <c r="J76" s="12"/>
      <c r="K76" s="12"/>
      <c r="L76" s="12"/>
      <c r="M76" s="12"/>
      <c r="N76" s="12"/>
      <c r="O76" s="12"/>
      <c r="P76" s="225"/>
      <c r="Q76" s="184"/>
      <c r="R76" s="184"/>
      <c r="S76" s="184"/>
      <c r="T76" s="184"/>
    </row>
    <row r="77" spans="1:20" s="1" customFormat="1" ht="12" x14ac:dyDescent="0.2">
      <c r="A77" s="218"/>
      <c r="B77" s="217"/>
      <c r="C77" s="219"/>
      <c r="D77" s="223"/>
      <c r="E77" s="214"/>
      <c r="F77" s="214"/>
      <c r="G77" s="214"/>
      <c r="H77" s="12"/>
      <c r="I77" s="12"/>
      <c r="J77" s="12"/>
      <c r="K77" s="12"/>
      <c r="L77" s="12"/>
      <c r="M77" s="12"/>
      <c r="N77" s="12"/>
      <c r="O77" s="12"/>
      <c r="P77" s="225"/>
      <c r="Q77" s="184"/>
      <c r="R77" s="184"/>
      <c r="S77" s="184"/>
      <c r="T77" s="184"/>
    </row>
    <row r="78" spans="1:20" s="1" customFormat="1" ht="12" x14ac:dyDescent="0.2">
      <c r="A78" s="218"/>
      <c r="B78" s="217"/>
      <c r="C78" s="219"/>
      <c r="D78" s="223"/>
      <c r="E78" s="214"/>
      <c r="F78" s="214"/>
      <c r="G78" s="214"/>
      <c r="H78" s="12"/>
      <c r="I78" s="12"/>
      <c r="J78" s="12"/>
      <c r="K78" s="12"/>
      <c r="L78" s="12"/>
      <c r="M78" s="12"/>
      <c r="N78" s="12"/>
      <c r="O78" s="12"/>
      <c r="P78" s="225"/>
      <c r="Q78" s="184"/>
      <c r="R78" s="184"/>
      <c r="S78" s="184"/>
      <c r="T78" s="184"/>
    </row>
    <row r="79" spans="1:20" s="1" customFormat="1" ht="12" x14ac:dyDescent="0.2">
      <c r="A79" s="218"/>
      <c r="B79" s="217"/>
      <c r="C79" s="219"/>
      <c r="D79" s="223"/>
      <c r="E79" s="214"/>
      <c r="F79" s="214"/>
      <c r="G79" s="214"/>
      <c r="H79" s="12"/>
      <c r="I79" s="12"/>
      <c r="J79" s="12"/>
      <c r="K79" s="12"/>
      <c r="L79" s="12"/>
      <c r="M79" s="12"/>
      <c r="N79" s="12"/>
      <c r="O79" s="12"/>
      <c r="P79" s="225"/>
      <c r="Q79" s="184"/>
      <c r="R79" s="184"/>
      <c r="S79" s="184"/>
      <c r="T79" s="184"/>
    </row>
    <row r="80" spans="1:20" s="1" customFormat="1" ht="12" x14ac:dyDescent="0.2">
      <c r="A80" s="218"/>
      <c r="B80" s="217"/>
      <c r="C80" s="219"/>
      <c r="D80" s="223"/>
      <c r="E80" s="214"/>
      <c r="F80" s="214"/>
      <c r="G80" s="214"/>
      <c r="H80" s="12"/>
      <c r="I80" s="12"/>
      <c r="J80" s="12"/>
      <c r="K80" s="12"/>
      <c r="L80" s="12"/>
      <c r="M80" s="12"/>
      <c r="N80" s="12"/>
      <c r="O80" s="12"/>
      <c r="P80" s="225"/>
      <c r="Q80" s="184"/>
      <c r="R80" s="184"/>
      <c r="S80" s="184"/>
      <c r="T80" s="184"/>
    </row>
    <row r="81" spans="1:20" s="1" customFormat="1" ht="12" x14ac:dyDescent="0.2">
      <c r="A81" s="218"/>
      <c r="B81" s="217"/>
      <c r="C81" s="219"/>
      <c r="D81" s="223"/>
      <c r="E81" s="214"/>
      <c r="F81" s="214"/>
      <c r="G81" s="214"/>
      <c r="H81" s="12"/>
      <c r="I81" s="12"/>
      <c r="J81" s="12"/>
      <c r="K81" s="12"/>
      <c r="L81" s="12"/>
      <c r="M81" s="12"/>
      <c r="N81" s="12"/>
      <c r="O81" s="12"/>
      <c r="P81" s="225"/>
      <c r="Q81" s="184"/>
      <c r="R81" s="184"/>
      <c r="S81" s="184"/>
      <c r="T81" s="184"/>
    </row>
    <row r="82" spans="1:20" s="1" customFormat="1" ht="12" x14ac:dyDescent="0.2">
      <c r="A82" s="218"/>
      <c r="B82" s="217"/>
      <c r="C82" s="219"/>
      <c r="D82" s="223"/>
      <c r="E82" s="214"/>
      <c r="F82" s="214"/>
      <c r="G82" s="214"/>
      <c r="H82" s="12"/>
      <c r="I82" s="12"/>
      <c r="J82" s="12"/>
      <c r="K82" s="12"/>
      <c r="L82" s="12"/>
      <c r="M82" s="12"/>
      <c r="N82" s="12"/>
      <c r="O82" s="12"/>
      <c r="P82" s="225"/>
      <c r="Q82" s="184"/>
      <c r="R82" s="184"/>
      <c r="S82" s="184"/>
      <c r="T82" s="184"/>
    </row>
    <row r="83" spans="1:20" s="1" customFormat="1" ht="12" x14ac:dyDescent="0.2">
      <c r="A83" s="218"/>
      <c r="B83" s="217"/>
      <c r="C83" s="219"/>
      <c r="D83" s="223"/>
      <c r="E83" s="214"/>
      <c r="F83" s="214"/>
      <c r="G83" s="214"/>
      <c r="H83" s="12"/>
      <c r="I83" s="12"/>
      <c r="J83" s="12"/>
      <c r="K83" s="12"/>
      <c r="L83" s="12"/>
      <c r="M83" s="12"/>
      <c r="N83" s="12"/>
      <c r="O83" s="12"/>
      <c r="P83" s="225"/>
      <c r="Q83" s="184"/>
      <c r="R83" s="184"/>
      <c r="S83" s="184"/>
      <c r="T83" s="184"/>
    </row>
    <row r="84" spans="1:20" s="1" customFormat="1" ht="12" x14ac:dyDescent="0.2">
      <c r="A84" s="218"/>
      <c r="B84" s="217"/>
      <c r="C84" s="219"/>
      <c r="D84" s="223"/>
      <c r="E84" s="214"/>
      <c r="F84" s="214"/>
      <c r="G84" s="214"/>
      <c r="H84" s="12"/>
      <c r="I84" s="12"/>
      <c r="J84" s="12"/>
      <c r="K84" s="12"/>
      <c r="L84" s="12"/>
      <c r="M84" s="12"/>
      <c r="N84" s="12"/>
      <c r="O84" s="12"/>
      <c r="P84" s="225"/>
      <c r="Q84" s="184"/>
      <c r="R84" s="184"/>
      <c r="S84" s="184"/>
      <c r="T84" s="184"/>
    </row>
    <row r="85" spans="1:20" s="1" customFormat="1" ht="12" x14ac:dyDescent="0.2">
      <c r="A85" s="218"/>
      <c r="B85" s="217"/>
      <c r="C85" s="219"/>
      <c r="D85" s="223"/>
      <c r="E85" s="214"/>
      <c r="F85" s="214"/>
      <c r="G85" s="214"/>
      <c r="H85" s="12"/>
      <c r="I85" s="12"/>
      <c r="J85" s="12"/>
      <c r="K85" s="12"/>
      <c r="L85" s="12"/>
      <c r="M85" s="12"/>
      <c r="N85" s="12"/>
      <c r="O85" s="12"/>
      <c r="P85" s="225"/>
      <c r="Q85" s="184"/>
      <c r="R85" s="184"/>
      <c r="S85" s="184"/>
      <c r="T85" s="184"/>
    </row>
    <row r="86" spans="1:20" s="1" customFormat="1" ht="12" x14ac:dyDescent="0.2">
      <c r="A86" s="218"/>
      <c r="B86" s="217"/>
      <c r="C86" s="219"/>
      <c r="D86" s="223"/>
      <c r="E86" s="214"/>
      <c r="F86" s="214"/>
      <c r="G86" s="214"/>
      <c r="H86" s="12"/>
      <c r="I86" s="12"/>
      <c r="J86" s="12"/>
      <c r="K86" s="12"/>
      <c r="L86" s="12"/>
      <c r="M86" s="12"/>
      <c r="N86" s="12"/>
      <c r="O86" s="12"/>
      <c r="P86" s="225"/>
      <c r="Q86" s="184"/>
      <c r="R86" s="184"/>
      <c r="S86" s="184"/>
      <c r="T86" s="184"/>
    </row>
    <row r="87" spans="1:20" s="1" customFormat="1" ht="12" x14ac:dyDescent="0.2">
      <c r="A87" s="218"/>
      <c r="B87" s="217"/>
      <c r="C87" s="219"/>
      <c r="D87" s="223"/>
      <c r="E87" s="214"/>
      <c r="F87" s="214"/>
      <c r="G87" s="214"/>
      <c r="H87" s="12"/>
      <c r="I87" s="12"/>
      <c r="J87" s="12"/>
      <c r="K87" s="12"/>
      <c r="L87" s="12"/>
      <c r="M87" s="12"/>
      <c r="N87" s="12"/>
      <c r="O87" s="12"/>
      <c r="P87" s="225"/>
      <c r="Q87" s="184"/>
      <c r="R87" s="184"/>
      <c r="S87" s="184"/>
      <c r="T87" s="184"/>
    </row>
    <row r="88" spans="1:20" s="1" customFormat="1" ht="12" x14ac:dyDescent="0.2">
      <c r="A88" s="218"/>
      <c r="B88" s="217"/>
      <c r="C88" s="219"/>
      <c r="D88" s="223"/>
      <c r="E88" s="214"/>
      <c r="F88" s="214"/>
      <c r="G88" s="214"/>
      <c r="H88" s="12"/>
      <c r="I88" s="12"/>
      <c r="J88" s="12"/>
      <c r="K88" s="12"/>
      <c r="L88" s="12"/>
      <c r="M88" s="12"/>
      <c r="N88" s="12"/>
      <c r="O88" s="12"/>
      <c r="P88" s="225"/>
      <c r="Q88" s="184"/>
      <c r="R88" s="184"/>
      <c r="S88" s="184"/>
      <c r="T88" s="184"/>
    </row>
    <row r="89" spans="1:20" s="1" customFormat="1" ht="12" x14ac:dyDescent="0.2">
      <c r="A89" s="218"/>
      <c r="B89" s="217"/>
      <c r="C89" s="219"/>
      <c r="D89" s="223"/>
      <c r="E89" s="214"/>
      <c r="F89" s="214"/>
      <c r="G89" s="214"/>
      <c r="H89" s="12"/>
      <c r="I89" s="12"/>
      <c r="J89" s="12"/>
      <c r="K89" s="12"/>
      <c r="L89" s="12"/>
      <c r="M89" s="12"/>
      <c r="N89" s="12"/>
      <c r="O89" s="12"/>
      <c r="P89" s="225"/>
      <c r="Q89" s="184"/>
      <c r="R89" s="184"/>
      <c r="S89" s="184"/>
      <c r="T89" s="184"/>
    </row>
  </sheetData>
  <autoFilter ref="H5:N5"/>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74">
    <mergeCell ref="BU3:BU4"/>
    <mergeCell ref="BV3:BV4"/>
    <mergeCell ref="BO3:BO4"/>
    <mergeCell ref="BP3:BP4"/>
    <mergeCell ref="BQ3:BQ4"/>
    <mergeCell ref="BR3:BR4"/>
    <mergeCell ref="BS3:BS4"/>
    <mergeCell ref="BK3:BK4"/>
    <mergeCell ref="BL3:BL4"/>
    <mergeCell ref="BM3:BM4"/>
    <mergeCell ref="BN3:BN4"/>
    <mergeCell ref="BT3:BT4"/>
    <mergeCell ref="BF3:BF4"/>
    <mergeCell ref="BG3:BG4"/>
    <mergeCell ref="BH3:BH4"/>
    <mergeCell ref="BI3:BI4"/>
    <mergeCell ref="BJ3:BJ4"/>
    <mergeCell ref="BA3:BA4"/>
    <mergeCell ref="BB3:BB4"/>
    <mergeCell ref="BC3:BC4"/>
    <mergeCell ref="BD3:BD4"/>
    <mergeCell ref="BE3:BE4"/>
    <mergeCell ref="AV3:AV4"/>
    <mergeCell ref="AW3:AW4"/>
    <mergeCell ref="AX3:AX4"/>
    <mergeCell ref="AY3:AY4"/>
    <mergeCell ref="AZ3:AZ4"/>
    <mergeCell ref="AQ3:AQ4"/>
    <mergeCell ref="AR3:AR4"/>
    <mergeCell ref="AS3:AS4"/>
    <mergeCell ref="AT3:AT4"/>
    <mergeCell ref="AU3:AU4"/>
    <mergeCell ref="AL3:AL4"/>
    <mergeCell ref="AM3:AM4"/>
    <mergeCell ref="AN3:AN4"/>
    <mergeCell ref="AO3:AO4"/>
    <mergeCell ref="AP3:AP4"/>
    <mergeCell ref="AG3:AG4"/>
    <mergeCell ref="AH3:AH4"/>
    <mergeCell ref="AI3:AI4"/>
    <mergeCell ref="AJ3:AJ4"/>
    <mergeCell ref="AK3:AK4"/>
    <mergeCell ref="AB3:AB4"/>
    <mergeCell ref="AC3:AC4"/>
    <mergeCell ref="AD3:AD4"/>
    <mergeCell ref="AE3:AE4"/>
    <mergeCell ref="AF3:AF4"/>
    <mergeCell ref="W3:W4"/>
    <mergeCell ref="X3:X4"/>
    <mergeCell ref="Y3:Y4"/>
    <mergeCell ref="Z3:Z4"/>
    <mergeCell ref="AA3:AA4"/>
    <mergeCell ref="R3:R4"/>
    <mergeCell ref="S3:S4"/>
    <mergeCell ref="T3:T4"/>
    <mergeCell ref="U3:U4"/>
    <mergeCell ref="V3:V4"/>
    <mergeCell ref="O3:O4"/>
    <mergeCell ref="P3:P4"/>
    <mergeCell ref="Q3:Q4"/>
    <mergeCell ref="A3:B4"/>
    <mergeCell ref="E3:E4"/>
    <mergeCell ref="H3:H4"/>
    <mergeCell ref="I3:I4"/>
    <mergeCell ref="F3:F4"/>
    <mergeCell ref="C3:D3"/>
    <mergeCell ref="L2:N2"/>
    <mergeCell ref="G3:G4"/>
    <mergeCell ref="H2:K2"/>
    <mergeCell ref="J3:J4"/>
    <mergeCell ref="K3:K4"/>
    <mergeCell ref="L3:L4"/>
    <mergeCell ref="M3:M4"/>
    <mergeCell ref="N3:N4"/>
  </mergeCells>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H3" location="CL_FREQ!A1" display="FREQ"/>
    <hyperlink ref="E6" r:id="rId8"/>
    <hyperlink ref="H3:H4" location="CL_FREQ!A1" display="FREQ"/>
    <hyperlink ref="I3:I4" location="CL_AREA!A1" display="REF_AREA"/>
    <hyperlink ref="J3:J4" location="CL_MEASURE!A1" display="MEASURE"/>
    <hyperlink ref="K3" location="CL_UNIT_MEASURE!A1" display="UNIT_MEASURE"/>
    <hyperlink ref="Q3" location="CL_TRANSFORMATION!A1" display="TRANSFORMATION"/>
    <hyperlink ref="L3" location="CL_CONF_STATUS!A1" display="CONF_STATUS"/>
    <hyperlink ref="M3" location="CL_DECIMALS!A1" display="DECIMALS"/>
    <hyperlink ref="N3" location="CL_OBS_STATUS!A1" display="OBS_STATUS"/>
    <hyperlink ref="O3" location="CL_TIME_FORMAT!A1" display="TIME_FORMAT"/>
    <hyperlink ref="P3" location="CL_UNIT_MULT!A1" display="UNIT_MULT"/>
  </hyperlinks>
  <pageMargins left="0.70866141732283472" right="0.70866141732283472" top="0.74803149606299213" bottom="0.74803149606299213" header="0.31496062992125984" footer="0.31496062992125984"/>
  <pageSetup paperSize="9" scale="62" fitToHeight="0" orientation="landscape" r:id="rId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46"/>
    <col min="2" max="2" width="22.83203125" style="46" customWidth="1"/>
    <col min="3" max="5" width="14.83203125" style="46"/>
    <col min="6" max="6" width="20.83203125" style="46" bestFit="1" customWidth="1"/>
    <col min="7" max="16384" width="14.83203125" style="46"/>
  </cols>
  <sheetData>
    <row r="1" spans="1:6" x14ac:dyDescent="0.25">
      <c r="A1" s="46" t="s">
        <v>316</v>
      </c>
      <c r="B1" s="46" t="s">
        <v>315</v>
      </c>
      <c r="C1" s="46" t="s">
        <v>6</v>
      </c>
      <c r="D1" s="46" t="s">
        <v>327</v>
      </c>
      <c r="F1" s="45"/>
    </row>
    <row r="2" spans="1:6" x14ac:dyDescent="0.25">
      <c r="A2" s="104" t="s">
        <v>479</v>
      </c>
      <c r="B2" s="46" t="s">
        <v>18</v>
      </c>
      <c r="C2" s="46" t="s">
        <v>11</v>
      </c>
      <c r="D2" s="46" t="b">
        <v>1</v>
      </c>
    </row>
    <row r="3" spans="1:6" x14ac:dyDescent="0.25">
      <c r="A3" s="104" t="s">
        <v>480</v>
      </c>
      <c r="B3" s="46" t="s">
        <v>18</v>
      </c>
      <c r="C3" s="46" t="s">
        <v>1</v>
      </c>
      <c r="D3" s="46" t="b">
        <v>0</v>
      </c>
    </row>
    <row r="4" spans="1:6" x14ac:dyDescent="0.25">
      <c r="A4" s="104" t="s">
        <v>481</v>
      </c>
      <c r="B4" s="46" t="s">
        <v>18</v>
      </c>
      <c r="C4" s="46" t="s">
        <v>11</v>
      </c>
      <c r="D4" s="46" t="b">
        <v>1</v>
      </c>
    </row>
    <row r="5" spans="1:6" x14ac:dyDescent="0.25">
      <c r="A5" s="104" t="s">
        <v>481</v>
      </c>
      <c r="B5" s="46" t="s">
        <v>18</v>
      </c>
      <c r="C5" s="46" t="s">
        <v>7</v>
      </c>
    </row>
    <row r="6" spans="1:6" x14ac:dyDescent="0.25">
      <c r="A6" s="104" t="s">
        <v>481</v>
      </c>
      <c r="B6" s="93" t="s">
        <v>16</v>
      </c>
      <c r="C6" s="93" t="s">
        <v>317</v>
      </c>
    </row>
    <row r="7" spans="1:6" x14ac:dyDescent="0.25">
      <c r="A7" s="104" t="s">
        <v>482</v>
      </c>
      <c r="B7" s="46" t="s">
        <v>18</v>
      </c>
      <c r="C7" s="46" t="s">
        <v>1</v>
      </c>
      <c r="D7" s="46" t="b">
        <v>0</v>
      </c>
    </row>
    <row r="8" spans="1:6" x14ac:dyDescent="0.25">
      <c r="A8" s="104" t="s">
        <v>482</v>
      </c>
      <c r="B8" s="46" t="s">
        <v>30</v>
      </c>
      <c r="C8" s="46" t="s">
        <v>12</v>
      </c>
    </row>
    <row r="9" spans="1:6" x14ac:dyDescent="0.25">
      <c r="A9" s="105" t="s">
        <v>483</v>
      </c>
      <c r="B9" s="46" t="s">
        <v>18</v>
      </c>
      <c r="C9" s="46" t="s">
        <v>7</v>
      </c>
      <c r="D9" s="46" t="b">
        <v>0</v>
      </c>
    </row>
    <row r="10" spans="1:6" x14ac:dyDescent="0.25">
      <c r="A10" s="94"/>
    </row>
    <row r="11" spans="1:6" x14ac:dyDescent="0.25">
      <c r="A11" s="104"/>
    </row>
    <row r="12" spans="1:6" x14ac:dyDescent="0.25">
      <c r="A12" s="104"/>
    </row>
    <row r="13" spans="1:6" x14ac:dyDescent="0.25">
      <c r="A13" s="104"/>
    </row>
    <row r="14" spans="1:6" x14ac:dyDescent="0.25">
      <c r="A14" s="104"/>
    </row>
    <row r="15" spans="1:6" x14ac:dyDescent="0.25">
      <c r="A15" s="104"/>
    </row>
    <row r="16" spans="1:6" x14ac:dyDescent="0.25">
      <c r="A16" s="105"/>
      <c r="B16" s="93"/>
      <c r="C16" s="93"/>
      <c r="D16" s="93"/>
    </row>
  </sheetData>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54"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51" t="s">
        <v>215</v>
      </c>
      <c r="B1" s="51" t="s">
        <v>216</v>
      </c>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5" t="s">
        <v>218</v>
      </c>
      <c r="AN1" s="51"/>
      <c r="AO1" s="51"/>
      <c r="AP1" s="51"/>
      <c r="AQ1" s="51" t="s">
        <v>217</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0</v>
      </c>
      <c r="G2">
        <f t="shared" si="1"/>
        <v>0</v>
      </c>
      <c r="H2">
        <f t="shared" si="1"/>
        <v>1</v>
      </c>
      <c r="I2">
        <f t="shared" si="1"/>
        <v>1</v>
      </c>
      <c r="J2">
        <f t="shared" si="1"/>
        <v>1</v>
      </c>
      <c r="K2">
        <f t="shared" si="1"/>
        <v>0</v>
      </c>
      <c r="L2">
        <f t="shared" ref="L2:U11" si="2">IFERROR(IF(INDEX(ConDimVals,ROW(K1),COLUMN(K1))="",0,1),"")</f>
        <v>0</v>
      </c>
      <c r="M2">
        <f t="shared" si="2"/>
        <v>0</v>
      </c>
      <c r="N2">
        <f t="shared" si="2"/>
        <v>0</v>
      </c>
      <c r="O2">
        <f t="shared" si="2"/>
        <v>0</v>
      </c>
      <c r="P2">
        <f t="shared" si="2"/>
        <v>0</v>
      </c>
      <c r="Q2">
        <f t="shared" si="2"/>
        <v>0</v>
      </c>
      <c r="R2">
        <f t="shared" si="2"/>
        <v>0</v>
      </c>
      <c r="S2">
        <f t="shared" si="2"/>
        <v>0</v>
      </c>
      <c r="T2">
        <f t="shared" si="2"/>
        <v>0</v>
      </c>
      <c r="U2">
        <f t="shared" si="2"/>
        <v>0</v>
      </c>
      <c r="V2">
        <f t="shared" ref="V2:AE11" si="3">IFERROR(IF(INDEX(ConDimVals,ROW(U1),COLUMN(U1))="",0,1),"")</f>
        <v>0</v>
      </c>
      <c r="W2">
        <f t="shared" si="3"/>
        <v>0</v>
      </c>
      <c r="X2">
        <f t="shared" si="3"/>
        <v>0</v>
      </c>
      <c r="Y2">
        <f t="shared" si="3"/>
        <v>0</v>
      </c>
      <c r="Z2">
        <f t="shared" si="3"/>
        <v>0</v>
      </c>
      <c r="AA2">
        <f t="shared" si="3"/>
        <v>0</v>
      </c>
      <c r="AB2">
        <f t="shared" si="3"/>
        <v>0</v>
      </c>
      <c r="AC2">
        <f t="shared" si="3"/>
        <v>0</v>
      </c>
      <c r="AD2">
        <f t="shared" si="3"/>
        <v>0</v>
      </c>
      <c r="AE2">
        <f t="shared" si="3"/>
        <v>0</v>
      </c>
      <c r="AF2">
        <f t="shared" ref="AF2:AK11" si="4">IFERROR(IF(INDEX(ConDimVals,ROW(AE1),COLUMN(AE1))="",0,1),"")</f>
        <v>0</v>
      </c>
      <c r="AG2">
        <f t="shared" si="4"/>
        <v>0</v>
      </c>
      <c r="AH2">
        <f t="shared" si="4"/>
        <v>0</v>
      </c>
      <c r="AI2">
        <f t="shared" si="4"/>
        <v>0</v>
      </c>
      <c r="AJ2">
        <f t="shared" si="4"/>
        <v>0</v>
      </c>
      <c r="AK2">
        <f t="shared" si="4"/>
        <v>0</v>
      </c>
      <c r="AM2" s="22">
        <f>COUNTIF(B2:AL2,1)</f>
        <v>7</v>
      </c>
      <c r="AN2" s="52"/>
      <c r="AP2">
        <v>0</v>
      </c>
      <c r="AQ2" s="53">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f t="shared" si="1"/>
        <v>0</v>
      </c>
      <c r="I3">
        <f t="shared" si="1"/>
        <v>0</v>
      </c>
      <c r="J3">
        <f t="shared" si="1"/>
        <v>0</v>
      </c>
      <c r="K3">
        <f t="shared" si="1"/>
        <v>0</v>
      </c>
      <c r="L3">
        <f t="shared" si="2"/>
        <v>0</v>
      </c>
      <c r="M3">
        <f t="shared" si="2"/>
        <v>0</v>
      </c>
      <c r="N3">
        <f t="shared" si="2"/>
        <v>0</v>
      </c>
      <c r="O3">
        <f t="shared" si="2"/>
        <v>0</v>
      </c>
      <c r="P3">
        <f t="shared" si="2"/>
        <v>0</v>
      </c>
      <c r="Q3">
        <f t="shared" si="2"/>
        <v>0</v>
      </c>
      <c r="R3">
        <f t="shared" si="2"/>
        <v>0</v>
      </c>
      <c r="S3">
        <f t="shared" si="2"/>
        <v>0</v>
      </c>
      <c r="T3">
        <f t="shared" si="2"/>
        <v>0</v>
      </c>
      <c r="U3">
        <f t="shared" si="2"/>
        <v>0</v>
      </c>
      <c r="V3">
        <f t="shared" si="3"/>
        <v>0</v>
      </c>
      <c r="W3">
        <f t="shared" si="3"/>
        <v>0</v>
      </c>
      <c r="X3">
        <f t="shared" si="3"/>
        <v>0</v>
      </c>
      <c r="Y3">
        <f t="shared" si="3"/>
        <v>0</v>
      </c>
      <c r="Z3">
        <f t="shared" si="3"/>
        <v>0</v>
      </c>
      <c r="AA3">
        <f t="shared" si="3"/>
        <v>0</v>
      </c>
      <c r="AB3">
        <f t="shared" si="3"/>
        <v>0</v>
      </c>
      <c r="AC3">
        <f t="shared" si="3"/>
        <v>0</v>
      </c>
      <c r="AD3">
        <f t="shared" si="3"/>
        <v>0</v>
      </c>
      <c r="AE3">
        <f t="shared" si="3"/>
        <v>0</v>
      </c>
      <c r="AF3">
        <f t="shared" si="4"/>
        <v>0</v>
      </c>
      <c r="AG3">
        <f t="shared" si="4"/>
        <v>0</v>
      </c>
      <c r="AH3">
        <f t="shared" si="4"/>
        <v>0</v>
      </c>
      <c r="AI3">
        <f t="shared" si="4"/>
        <v>0</v>
      </c>
      <c r="AJ3">
        <f t="shared" si="4"/>
        <v>0</v>
      </c>
      <c r="AK3">
        <f t="shared" si="4"/>
        <v>0</v>
      </c>
      <c r="AM3" s="22">
        <f t="shared" ref="AM3:AM48" si="43">COUNTIF(B3:AL3,1)</f>
        <v>0</v>
      </c>
      <c r="AP3">
        <v>1</v>
      </c>
      <c r="AQ3" s="53" t="str">
        <f>IFERROR(LOOKUP(2,1/(COUNTIF($AQ$1:AQ2,CountDSDs)=0),CountDSDs),"")</f>
        <v>MAIN</v>
      </c>
      <c r="AR3">
        <f t="shared" si="5"/>
        <v>1</v>
      </c>
      <c r="AS3">
        <f t="shared" si="6"/>
        <v>1</v>
      </c>
      <c r="AT3">
        <f t="shared" si="7"/>
        <v>1</v>
      </c>
      <c r="AU3">
        <f t="shared" si="8"/>
        <v>1</v>
      </c>
      <c r="AV3">
        <f t="shared" si="9"/>
        <v>0</v>
      </c>
      <c r="AW3">
        <f t="shared" si="10"/>
        <v>0</v>
      </c>
      <c r="AX3">
        <f t="shared" si="11"/>
        <v>1</v>
      </c>
      <c r="AY3">
        <f t="shared" si="12"/>
        <v>1</v>
      </c>
      <c r="AZ3">
        <f t="shared" si="13"/>
        <v>1</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7</v>
      </c>
    </row>
    <row r="4" spans="1:81" ht="18.75" x14ac:dyDescent="0.2">
      <c r="A4">
        <f t="shared" si="0"/>
        <v>0</v>
      </c>
      <c r="B4">
        <f t="shared" si="1"/>
        <v>0</v>
      </c>
      <c r="C4">
        <f t="shared" si="1"/>
        <v>0</v>
      </c>
      <c r="D4">
        <f t="shared" si="1"/>
        <v>0</v>
      </c>
      <c r="E4">
        <f t="shared" si="1"/>
        <v>0</v>
      </c>
      <c r="F4">
        <f t="shared" si="1"/>
        <v>0</v>
      </c>
      <c r="G4">
        <f t="shared" si="1"/>
        <v>0</v>
      </c>
      <c r="H4">
        <f t="shared" si="1"/>
        <v>0</v>
      </c>
      <c r="I4">
        <f t="shared" si="1"/>
        <v>0</v>
      </c>
      <c r="J4">
        <f t="shared" si="1"/>
        <v>0</v>
      </c>
      <c r="K4">
        <f t="shared" si="1"/>
        <v>0</v>
      </c>
      <c r="L4">
        <f t="shared" si="2"/>
        <v>0</v>
      </c>
      <c r="M4">
        <f t="shared" si="2"/>
        <v>0</v>
      </c>
      <c r="N4">
        <f t="shared" si="2"/>
        <v>0</v>
      </c>
      <c r="O4">
        <f t="shared" si="2"/>
        <v>0</v>
      </c>
      <c r="P4">
        <f t="shared" si="2"/>
        <v>0</v>
      </c>
      <c r="Q4">
        <f t="shared" si="2"/>
        <v>0</v>
      </c>
      <c r="R4">
        <f t="shared" si="2"/>
        <v>0</v>
      </c>
      <c r="S4">
        <f t="shared" si="2"/>
        <v>0</v>
      </c>
      <c r="T4">
        <f t="shared" si="2"/>
        <v>0</v>
      </c>
      <c r="U4">
        <f t="shared" si="2"/>
        <v>0</v>
      </c>
      <c r="V4">
        <f t="shared" si="3"/>
        <v>0</v>
      </c>
      <c r="W4">
        <f t="shared" si="3"/>
        <v>0</v>
      </c>
      <c r="X4">
        <f t="shared" si="3"/>
        <v>0</v>
      </c>
      <c r="Y4">
        <f t="shared" si="3"/>
        <v>0</v>
      </c>
      <c r="Z4">
        <f t="shared" si="3"/>
        <v>0</v>
      </c>
      <c r="AA4">
        <f t="shared" si="3"/>
        <v>0</v>
      </c>
      <c r="AB4">
        <f t="shared" si="3"/>
        <v>0</v>
      </c>
      <c r="AC4">
        <f t="shared" si="3"/>
        <v>0</v>
      </c>
      <c r="AD4">
        <f t="shared" si="3"/>
        <v>0</v>
      </c>
      <c r="AE4">
        <f t="shared" si="3"/>
        <v>0</v>
      </c>
      <c r="AF4">
        <f t="shared" si="4"/>
        <v>0</v>
      </c>
      <c r="AG4">
        <f t="shared" si="4"/>
        <v>0</v>
      </c>
      <c r="AH4">
        <f t="shared" si="4"/>
        <v>0</v>
      </c>
      <c r="AI4">
        <f t="shared" si="4"/>
        <v>0</v>
      </c>
      <c r="AJ4">
        <f t="shared" si="4"/>
        <v>0</v>
      </c>
      <c r="AK4">
        <f t="shared" si="4"/>
        <v>0</v>
      </c>
      <c r="AM4" s="22">
        <f t="shared" si="43"/>
        <v>0</v>
      </c>
      <c r="AP4">
        <v>2</v>
      </c>
      <c r="AQ4" s="53"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f t="shared" si="1"/>
        <v>0</v>
      </c>
      <c r="I5">
        <f t="shared" si="1"/>
        <v>0</v>
      </c>
      <c r="J5">
        <f t="shared" si="1"/>
        <v>0</v>
      </c>
      <c r="K5">
        <f t="shared" si="1"/>
        <v>0</v>
      </c>
      <c r="L5">
        <f t="shared" si="2"/>
        <v>0</v>
      </c>
      <c r="M5">
        <f t="shared" si="2"/>
        <v>0</v>
      </c>
      <c r="N5">
        <f t="shared" si="2"/>
        <v>0</v>
      </c>
      <c r="O5">
        <f t="shared" si="2"/>
        <v>0</v>
      </c>
      <c r="P5">
        <f t="shared" si="2"/>
        <v>0</v>
      </c>
      <c r="Q5">
        <f t="shared" si="2"/>
        <v>0</v>
      </c>
      <c r="R5">
        <f t="shared" si="2"/>
        <v>0</v>
      </c>
      <c r="S5">
        <f t="shared" si="2"/>
        <v>0</v>
      </c>
      <c r="T5">
        <f t="shared" si="2"/>
        <v>0</v>
      </c>
      <c r="U5">
        <f t="shared" si="2"/>
        <v>0</v>
      </c>
      <c r="V5">
        <f t="shared" si="3"/>
        <v>0</v>
      </c>
      <c r="W5">
        <f t="shared" si="3"/>
        <v>0</v>
      </c>
      <c r="X5">
        <f t="shared" si="3"/>
        <v>0</v>
      </c>
      <c r="Y5">
        <f t="shared" si="3"/>
        <v>0</v>
      </c>
      <c r="Z5">
        <f t="shared" si="3"/>
        <v>0</v>
      </c>
      <c r="AA5">
        <f t="shared" si="3"/>
        <v>0</v>
      </c>
      <c r="AB5">
        <f t="shared" si="3"/>
        <v>0</v>
      </c>
      <c r="AC5">
        <f t="shared" si="3"/>
        <v>0</v>
      </c>
      <c r="AD5">
        <f t="shared" si="3"/>
        <v>0</v>
      </c>
      <c r="AE5">
        <f t="shared" si="3"/>
        <v>0</v>
      </c>
      <c r="AF5">
        <f t="shared" si="4"/>
        <v>0</v>
      </c>
      <c r="AG5">
        <f t="shared" si="4"/>
        <v>0</v>
      </c>
      <c r="AH5">
        <f t="shared" si="4"/>
        <v>0</v>
      </c>
      <c r="AI5">
        <f t="shared" si="4"/>
        <v>0</v>
      </c>
      <c r="AJ5">
        <f t="shared" si="4"/>
        <v>0</v>
      </c>
      <c r="AK5">
        <f t="shared" si="4"/>
        <v>0</v>
      </c>
      <c r="AM5" s="22">
        <f t="shared" si="43"/>
        <v>0</v>
      </c>
      <c r="AP5">
        <v>3</v>
      </c>
      <c r="AQ5" s="53"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f t="shared" si="1"/>
        <v>0</v>
      </c>
      <c r="I6">
        <f t="shared" si="1"/>
        <v>0</v>
      </c>
      <c r="J6">
        <f t="shared" si="1"/>
        <v>0</v>
      </c>
      <c r="K6">
        <f t="shared" si="1"/>
        <v>0</v>
      </c>
      <c r="L6">
        <f t="shared" si="2"/>
        <v>0</v>
      </c>
      <c r="M6">
        <f t="shared" si="2"/>
        <v>0</v>
      </c>
      <c r="N6">
        <f t="shared" si="2"/>
        <v>0</v>
      </c>
      <c r="O6">
        <f t="shared" si="2"/>
        <v>0</v>
      </c>
      <c r="P6">
        <f t="shared" si="2"/>
        <v>0</v>
      </c>
      <c r="Q6">
        <f t="shared" si="2"/>
        <v>0</v>
      </c>
      <c r="R6">
        <f t="shared" si="2"/>
        <v>0</v>
      </c>
      <c r="S6">
        <f t="shared" si="2"/>
        <v>0</v>
      </c>
      <c r="T6">
        <f t="shared" si="2"/>
        <v>0</v>
      </c>
      <c r="U6">
        <f t="shared" si="2"/>
        <v>0</v>
      </c>
      <c r="V6">
        <f t="shared" si="3"/>
        <v>0</v>
      </c>
      <c r="W6">
        <f t="shared" si="3"/>
        <v>0</v>
      </c>
      <c r="X6">
        <f t="shared" si="3"/>
        <v>0</v>
      </c>
      <c r="Y6">
        <f t="shared" si="3"/>
        <v>0</v>
      </c>
      <c r="Z6">
        <f t="shared" si="3"/>
        <v>0</v>
      </c>
      <c r="AA6">
        <f t="shared" si="3"/>
        <v>0</v>
      </c>
      <c r="AB6">
        <f t="shared" si="3"/>
        <v>0</v>
      </c>
      <c r="AC6">
        <f t="shared" si="3"/>
        <v>0</v>
      </c>
      <c r="AD6">
        <f t="shared" si="3"/>
        <v>0</v>
      </c>
      <c r="AE6">
        <f t="shared" si="3"/>
        <v>0</v>
      </c>
      <c r="AF6">
        <f t="shared" si="4"/>
        <v>0</v>
      </c>
      <c r="AG6">
        <f t="shared" si="4"/>
        <v>0</v>
      </c>
      <c r="AH6">
        <f t="shared" si="4"/>
        <v>0</v>
      </c>
      <c r="AI6">
        <f t="shared" si="4"/>
        <v>0</v>
      </c>
      <c r="AJ6">
        <f t="shared" si="4"/>
        <v>0</v>
      </c>
      <c r="AK6">
        <f t="shared" si="4"/>
        <v>0</v>
      </c>
      <c r="AM6" s="22">
        <f t="shared" si="43"/>
        <v>0</v>
      </c>
      <c r="AP6">
        <v>4</v>
      </c>
      <c r="AQ6" s="53"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f t="shared" si="1"/>
        <v>0</v>
      </c>
      <c r="I7">
        <f t="shared" si="1"/>
        <v>0</v>
      </c>
      <c r="J7">
        <f t="shared" si="1"/>
        <v>0</v>
      </c>
      <c r="K7">
        <f t="shared" si="1"/>
        <v>0</v>
      </c>
      <c r="L7">
        <f t="shared" si="2"/>
        <v>0</v>
      </c>
      <c r="M7">
        <f t="shared" si="2"/>
        <v>0</v>
      </c>
      <c r="N7">
        <f t="shared" si="2"/>
        <v>0</v>
      </c>
      <c r="O7">
        <f t="shared" si="2"/>
        <v>0</v>
      </c>
      <c r="P7">
        <f t="shared" si="2"/>
        <v>0</v>
      </c>
      <c r="Q7">
        <f t="shared" si="2"/>
        <v>0</v>
      </c>
      <c r="R7">
        <f t="shared" si="2"/>
        <v>0</v>
      </c>
      <c r="S7">
        <f t="shared" si="2"/>
        <v>0</v>
      </c>
      <c r="T7">
        <f t="shared" si="2"/>
        <v>0</v>
      </c>
      <c r="U7">
        <f t="shared" si="2"/>
        <v>0</v>
      </c>
      <c r="V7">
        <f t="shared" si="3"/>
        <v>0</v>
      </c>
      <c r="W7">
        <f t="shared" si="3"/>
        <v>0</v>
      </c>
      <c r="X7">
        <f t="shared" si="3"/>
        <v>0</v>
      </c>
      <c r="Y7">
        <f t="shared" si="3"/>
        <v>0</v>
      </c>
      <c r="Z7">
        <f t="shared" si="3"/>
        <v>0</v>
      </c>
      <c r="AA7">
        <f t="shared" si="3"/>
        <v>0</v>
      </c>
      <c r="AB7">
        <f t="shared" si="3"/>
        <v>0</v>
      </c>
      <c r="AC7">
        <f t="shared" si="3"/>
        <v>0</v>
      </c>
      <c r="AD7">
        <f t="shared" si="3"/>
        <v>0</v>
      </c>
      <c r="AE7">
        <f t="shared" si="3"/>
        <v>0</v>
      </c>
      <c r="AF7">
        <f t="shared" si="4"/>
        <v>0</v>
      </c>
      <c r="AG7">
        <f t="shared" si="4"/>
        <v>0</v>
      </c>
      <c r="AH7">
        <f t="shared" si="4"/>
        <v>0</v>
      </c>
      <c r="AI7">
        <f t="shared" si="4"/>
        <v>0</v>
      </c>
      <c r="AJ7">
        <f t="shared" si="4"/>
        <v>0</v>
      </c>
      <c r="AK7">
        <f t="shared" si="4"/>
        <v>0</v>
      </c>
      <c r="AM7" s="22">
        <f t="shared" si="43"/>
        <v>0</v>
      </c>
      <c r="AP7">
        <v>5</v>
      </c>
      <c r="AQ7" s="53"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f t="shared" si="1"/>
        <v>0</v>
      </c>
      <c r="I8">
        <f t="shared" si="1"/>
        <v>0</v>
      </c>
      <c r="J8">
        <f t="shared" si="1"/>
        <v>0</v>
      </c>
      <c r="K8">
        <f t="shared" si="1"/>
        <v>0</v>
      </c>
      <c r="L8">
        <f t="shared" si="2"/>
        <v>0</v>
      </c>
      <c r="M8">
        <f t="shared" si="2"/>
        <v>0</v>
      </c>
      <c r="N8">
        <f t="shared" si="2"/>
        <v>0</v>
      </c>
      <c r="O8">
        <f t="shared" si="2"/>
        <v>0</v>
      </c>
      <c r="P8">
        <f t="shared" si="2"/>
        <v>0</v>
      </c>
      <c r="Q8">
        <f t="shared" si="2"/>
        <v>0</v>
      </c>
      <c r="R8">
        <f t="shared" si="2"/>
        <v>0</v>
      </c>
      <c r="S8">
        <f t="shared" si="2"/>
        <v>0</v>
      </c>
      <c r="T8">
        <f t="shared" si="2"/>
        <v>0</v>
      </c>
      <c r="U8">
        <f t="shared" si="2"/>
        <v>0</v>
      </c>
      <c r="V8">
        <f t="shared" si="3"/>
        <v>0</v>
      </c>
      <c r="W8">
        <f t="shared" si="3"/>
        <v>0</v>
      </c>
      <c r="X8">
        <f t="shared" si="3"/>
        <v>0</v>
      </c>
      <c r="Y8">
        <f t="shared" si="3"/>
        <v>0</v>
      </c>
      <c r="Z8">
        <f t="shared" si="3"/>
        <v>0</v>
      </c>
      <c r="AA8">
        <f t="shared" si="3"/>
        <v>0</v>
      </c>
      <c r="AB8">
        <f t="shared" si="3"/>
        <v>0</v>
      </c>
      <c r="AC8">
        <f t="shared" si="3"/>
        <v>0</v>
      </c>
      <c r="AD8">
        <f t="shared" si="3"/>
        <v>0</v>
      </c>
      <c r="AE8">
        <f t="shared" si="3"/>
        <v>0</v>
      </c>
      <c r="AF8">
        <f t="shared" si="4"/>
        <v>0</v>
      </c>
      <c r="AG8">
        <f t="shared" si="4"/>
        <v>0</v>
      </c>
      <c r="AH8">
        <f t="shared" si="4"/>
        <v>0</v>
      </c>
      <c r="AI8">
        <f t="shared" si="4"/>
        <v>0</v>
      </c>
      <c r="AJ8">
        <f t="shared" si="4"/>
        <v>0</v>
      </c>
      <c r="AK8">
        <f t="shared" si="4"/>
        <v>0</v>
      </c>
      <c r="AM8" s="22">
        <f t="shared" si="43"/>
        <v>0</v>
      </c>
      <c r="AP8">
        <v>6</v>
      </c>
      <c r="AQ8" s="53"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f t="shared" si="1"/>
        <v>0</v>
      </c>
      <c r="I9">
        <f t="shared" si="1"/>
        <v>0</v>
      </c>
      <c r="J9">
        <f t="shared" si="1"/>
        <v>0</v>
      </c>
      <c r="K9">
        <f t="shared" si="1"/>
        <v>0</v>
      </c>
      <c r="L9">
        <f t="shared" si="2"/>
        <v>0</v>
      </c>
      <c r="M9">
        <f t="shared" si="2"/>
        <v>0</v>
      </c>
      <c r="N9">
        <f t="shared" si="2"/>
        <v>0</v>
      </c>
      <c r="O9">
        <f t="shared" si="2"/>
        <v>0</v>
      </c>
      <c r="P9">
        <f t="shared" si="2"/>
        <v>0</v>
      </c>
      <c r="Q9">
        <f t="shared" si="2"/>
        <v>0</v>
      </c>
      <c r="R9">
        <f t="shared" si="2"/>
        <v>0</v>
      </c>
      <c r="S9">
        <f t="shared" si="2"/>
        <v>0</v>
      </c>
      <c r="T9">
        <f t="shared" si="2"/>
        <v>0</v>
      </c>
      <c r="U9">
        <f t="shared" si="2"/>
        <v>0</v>
      </c>
      <c r="V9">
        <f t="shared" si="3"/>
        <v>0</v>
      </c>
      <c r="W9">
        <f t="shared" si="3"/>
        <v>0</v>
      </c>
      <c r="X9">
        <f t="shared" si="3"/>
        <v>0</v>
      </c>
      <c r="Y9">
        <f t="shared" si="3"/>
        <v>0</v>
      </c>
      <c r="Z9">
        <f t="shared" si="3"/>
        <v>0</v>
      </c>
      <c r="AA9">
        <f t="shared" si="3"/>
        <v>0</v>
      </c>
      <c r="AB9">
        <f t="shared" si="3"/>
        <v>0</v>
      </c>
      <c r="AC9">
        <f t="shared" si="3"/>
        <v>0</v>
      </c>
      <c r="AD9">
        <f t="shared" si="3"/>
        <v>0</v>
      </c>
      <c r="AE9">
        <f t="shared" si="3"/>
        <v>0</v>
      </c>
      <c r="AF9">
        <f t="shared" si="4"/>
        <v>0</v>
      </c>
      <c r="AG9">
        <f t="shared" si="4"/>
        <v>0</v>
      </c>
      <c r="AH9">
        <f t="shared" si="4"/>
        <v>0</v>
      </c>
      <c r="AI9">
        <f t="shared" si="4"/>
        <v>0</v>
      </c>
      <c r="AJ9">
        <f t="shared" si="4"/>
        <v>0</v>
      </c>
      <c r="AK9">
        <f t="shared" si="4"/>
        <v>0</v>
      </c>
      <c r="AM9" s="22">
        <f t="shared" si="43"/>
        <v>0</v>
      </c>
      <c r="AP9">
        <v>7</v>
      </c>
      <c r="AQ9" s="53"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f t="shared" si="1"/>
        <v>0</v>
      </c>
      <c r="I10">
        <f t="shared" si="1"/>
        <v>0</v>
      </c>
      <c r="J10">
        <f t="shared" si="1"/>
        <v>0</v>
      </c>
      <c r="K10">
        <f t="shared" si="1"/>
        <v>0</v>
      </c>
      <c r="L10">
        <f t="shared" si="2"/>
        <v>0</v>
      </c>
      <c r="M10">
        <f t="shared" si="2"/>
        <v>0</v>
      </c>
      <c r="N10">
        <f t="shared" si="2"/>
        <v>0</v>
      </c>
      <c r="O10">
        <f t="shared" si="2"/>
        <v>0</v>
      </c>
      <c r="P10">
        <f t="shared" si="2"/>
        <v>0</v>
      </c>
      <c r="Q10">
        <f t="shared" si="2"/>
        <v>0</v>
      </c>
      <c r="R10">
        <f t="shared" si="2"/>
        <v>0</v>
      </c>
      <c r="S10">
        <f t="shared" si="2"/>
        <v>0</v>
      </c>
      <c r="T10">
        <f t="shared" si="2"/>
        <v>0</v>
      </c>
      <c r="U10">
        <f t="shared" si="2"/>
        <v>0</v>
      </c>
      <c r="V10">
        <f t="shared" si="3"/>
        <v>0</v>
      </c>
      <c r="W10">
        <f t="shared" si="3"/>
        <v>0</v>
      </c>
      <c r="X10">
        <f t="shared" si="3"/>
        <v>0</v>
      </c>
      <c r="Y10">
        <f t="shared" si="3"/>
        <v>0</v>
      </c>
      <c r="Z10">
        <f t="shared" si="3"/>
        <v>0</v>
      </c>
      <c r="AA10">
        <f t="shared" si="3"/>
        <v>0</v>
      </c>
      <c r="AB10">
        <f t="shared" si="3"/>
        <v>0</v>
      </c>
      <c r="AC10">
        <f t="shared" si="3"/>
        <v>0</v>
      </c>
      <c r="AD10">
        <f t="shared" si="3"/>
        <v>0</v>
      </c>
      <c r="AE10">
        <f t="shared" si="3"/>
        <v>0</v>
      </c>
      <c r="AF10">
        <f t="shared" si="4"/>
        <v>0</v>
      </c>
      <c r="AG10">
        <f t="shared" si="4"/>
        <v>0</v>
      </c>
      <c r="AH10">
        <f t="shared" si="4"/>
        <v>0</v>
      </c>
      <c r="AI10">
        <f t="shared" si="4"/>
        <v>0</v>
      </c>
      <c r="AJ10">
        <f t="shared" si="4"/>
        <v>0</v>
      </c>
      <c r="AK10">
        <f t="shared" si="4"/>
        <v>0</v>
      </c>
      <c r="AM10" s="22">
        <f t="shared" si="43"/>
        <v>0</v>
      </c>
      <c r="AP10">
        <v>8</v>
      </c>
      <c r="AQ10" s="53"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f t="shared" si="1"/>
        <v>0</v>
      </c>
      <c r="I11">
        <f t="shared" si="1"/>
        <v>0</v>
      </c>
      <c r="J11">
        <f t="shared" si="1"/>
        <v>0</v>
      </c>
      <c r="K11">
        <f t="shared" si="1"/>
        <v>0</v>
      </c>
      <c r="L11">
        <f t="shared" si="2"/>
        <v>0</v>
      </c>
      <c r="M11">
        <f t="shared" si="2"/>
        <v>0</v>
      </c>
      <c r="N11">
        <f t="shared" si="2"/>
        <v>0</v>
      </c>
      <c r="O11">
        <f t="shared" si="2"/>
        <v>0</v>
      </c>
      <c r="P11">
        <f t="shared" si="2"/>
        <v>0</v>
      </c>
      <c r="Q11">
        <f t="shared" si="2"/>
        <v>0</v>
      </c>
      <c r="R11">
        <f t="shared" si="2"/>
        <v>0</v>
      </c>
      <c r="S11">
        <f t="shared" si="2"/>
        <v>0</v>
      </c>
      <c r="T11">
        <f t="shared" si="2"/>
        <v>0</v>
      </c>
      <c r="U11">
        <f t="shared" si="2"/>
        <v>0</v>
      </c>
      <c r="V11">
        <f t="shared" si="3"/>
        <v>0</v>
      </c>
      <c r="W11">
        <f t="shared" si="3"/>
        <v>0</v>
      </c>
      <c r="X11">
        <f t="shared" si="3"/>
        <v>0</v>
      </c>
      <c r="Y11">
        <f t="shared" si="3"/>
        <v>0</v>
      </c>
      <c r="Z11">
        <f t="shared" si="3"/>
        <v>0</v>
      </c>
      <c r="AA11">
        <f t="shared" si="3"/>
        <v>0</v>
      </c>
      <c r="AB11">
        <f t="shared" si="3"/>
        <v>0</v>
      </c>
      <c r="AC11">
        <f t="shared" si="3"/>
        <v>0</v>
      </c>
      <c r="AD11">
        <f t="shared" si="3"/>
        <v>0</v>
      </c>
      <c r="AE11">
        <f t="shared" si="3"/>
        <v>0</v>
      </c>
      <c r="AF11">
        <f t="shared" si="4"/>
        <v>0</v>
      </c>
      <c r="AG11">
        <f t="shared" si="4"/>
        <v>0</v>
      </c>
      <c r="AH11">
        <f t="shared" si="4"/>
        <v>0</v>
      </c>
      <c r="AI11">
        <f t="shared" si="4"/>
        <v>0</v>
      </c>
      <c r="AJ11">
        <f t="shared" si="4"/>
        <v>0</v>
      </c>
      <c r="AK11">
        <f t="shared" si="4"/>
        <v>0</v>
      </c>
      <c r="AM11" s="22">
        <f t="shared" si="43"/>
        <v>0</v>
      </c>
      <c r="AP11">
        <v>9</v>
      </c>
      <c r="AQ11" s="53"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f t="shared" si="44"/>
        <v>0</v>
      </c>
      <c r="I12">
        <f t="shared" si="44"/>
        <v>0</v>
      </c>
      <c r="J12">
        <f t="shared" si="44"/>
        <v>0</v>
      </c>
      <c r="K12">
        <f t="shared" si="44"/>
        <v>0</v>
      </c>
      <c r="L12">
        <f t="shared" ref="L12:U21" si="45">IFERROR(IF(INDEX(ConDimVals,ROW(K11),COLUMN(K11))="",0,1),"")</f>
        <v>0</v>
      </c>
      <c r="M12">
        <f t="shared" si="45"/>
        <v>0</v>
      </c>
      <c r="N12">
        <f t="shared" si="45"/>
        <v>0</v>
      </c>
      <c r="O12">
        <f t="shared" si="45"/>
        <v>0</v>
      </c>
      <c r="P12">
        <f t="shared" si="45"/>
        <v>0</v>
      </c>
      <c r="Q12">
        <f t="shared" si="45"/>
        <v>0</v>
      </c>
      <c r="R12">
        <f t="shared" si="45"/>
        <v>0</v>
      </c>
      <c r="S12">
        <f t="shared" si="45"/>
        <v>0</v>
      </c>
      <c r="T12">
        <f t="shared" si="45"/>
        <v>0</v>
      </c>
      <c r="U12">
        <f t="shared" si="45"/>
        <v>0</v>
      </c>
      <c r="V12">
        <f t="shared" ref="V12:AE21" si="46">IFERROR(IF(INDEX(ConDimVals,ROW(U11),COLUMN(U11))="",0,1),"")</f>
        <v>0</v>
      </c>
      <c r="W12">
        <f t="shared" si="46"/>
        <v>0</v>
      </c>
      <c r="X12">
        <f t="shared" si="46"/>
        <v>0</v>
      </c>
      <c r="Y12">
        <f t="shared" si="46"/>
        <v>0</v>
      </c>
      <c r="Z12">
        <f t="shared" si="46"/>
        <v>0</v>
      </c>
      <c r="AA12">
        <f t="shared" si="46"/>
        <v>0</v>
      </c>
      <c r="AB12">
        <f t="shared" si="46"/>
        <v>0</v>
      </c>
      <c r="AC12">
        <f t="shared" si="46"/>
        <v>0</v>
      </c>
      <c r="AD12">
        <f t="shared" si="46"/>
        <v>0</v>
      </c>
      <c r="AE12">
        <f t="shared" si="46"/>
        <v>0</v>
      </c>
      <c r="AF12">
        <f t="shared" ref="AF12:AK21" si="47">IFERROR(IF(INDEX(ConDimVals,ROW(AE11),COLUMN(AE11))="",0,1),"")</f>
        <v>0</v>
      </c>
      <c r="AG12">
        <f t="shared" si="47"/>
        <v>0</v>
      </c>
      <c r="AH12">
        <f t="shared" si="47"/>
        <v>0</v>
      </c>
      <c r="AI12">
        <f t="shared" si="47"/>
        <v>0</v>
      </c>
      <c r="AJ12">
        <f t="shared" si="47"/>
        <v>0</v>
      </c>
      <c r="AK12">
        <f t="shared" si="47"/>
        <v>0</v>
      </c>
      <c r="AM12" s="22">
        <f t="shared" si="43"/>
        <v>0</v>
      </c>
      <c r="AP12">
        <v>10</v>
      </c>
      <c r="AQ12" s="53"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f t="shared" si="44"/>
        <v>0</v>
      </c>
      <c r="I13">
        <f t="shared" si="44"/>
        <v>0</v>
      </c>
      <c r="J13">
        <f t="shared" si="44"/>
        <v>0</v>
      </c>
      <c r="K13">
        <f t="shared" si="44"/>
        <v>0</v>
      </c>
      <c r="L13">
        <f t="shared" si="45"/>
        <v>0</v>
      </c>
      <c r="M13">
        <f t="shared" si="45"/>
        <v>0</v>
      </c>
      <c r="N13">
        <f t="shared" si="45"/>
        <v>0</v>
      </c>
      <c r="O13">
        <f t="shared" si="45"/>
        <v>0</v>
      </c>
      <c r="P13">
        <f t="shared" si="45"/>
        <v>0</v>
      </c>
      <c r="Q13">
        <f t="shared" si="45"/>
        <v>0</v>
      </c>
      <c r="R13">
        <f t="shared" si="45"/>
        <v>0</v>
      </c>
      <c r="S13">
        <f t="shared" si="45"/>
        <v>0</v>
      </c>
      <c r="T13">
        <f t="shared" si="45"/>
        <v>0</v>
      </c>
      <c r="U13">
        <f t="shared" si="45"/>
        <v>0</v>
      </c>
      <c r="V13">
        <f t="shared" si="46"/>
        <v>0</v>
      </c>
      <c r="W13">
        <f t="shared" si="46"/>
        <v>0</v>
      </c>
      <c r="X13">
        <f t="shared" si="46"/>
        <v>0</v>
      </c>
      <c r="Y13">
        <f t="shared" si="46"/>
        <v>0</v>
      </c>
      <c r="Z13">
        <f t="shared" si="46"/>
        <v>0</v>
      </c>
      <c r="AA13">
        <f t="shared" si="46"/>
        <v>0</v>
      </c>
      <c r="AB13">
        <f t="shared" si="46"/>
        <v>0</v>
      </c>
      <c r="AC13">
        <f t="shared" si="46"/>
        <v>0</v>
      </c>
      <c r="AD13">
        <f t="shared" si="46"/>
        <v>0</v>
      </c>
      <c r="AE13">
        <f t="shared" si="46"/>
        <v>0</v>
      </c>
      <c r="AF13">
        <f t="shared" si="47"/>
        <v>0</v>
      </c>
      <c r="AG13">
        <f t="shared" si="47"/>
        <v>0</v>
      </c>
      <c r="AH13">
        <f t="shared" si="47"/>
        <v>0</v>
      </c>
      <c r="AI13">
        <f t="shared" si="47"/>
        <v>0</v>
      </c>
      <c r="AJ13">
        <f t="shared" si="47"/>
        <v>0</v>
      </c>
      <c r="AK13">
        <f t="shared" si="47"/>
        <v>0</v>
      </c>
      <c r="AM13" s="22">
        <f t="shared" si="43"/>
        <v>0</v>
      </c>
      <c r="AP13">
        <v>11</v>
      </c>
      <c r="AQ13" s="53"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f t="shared" si="44"/>
        <v>0</v>
      </c>
      <c r="I14">
        <f t="shared" si="44"/>
        <v>0</v>
      </c>
      <c r="J14">
        <f t="shared" si="44"/>
        <v>0</v>
      </c>
      <c r="K14">
        <f t="shared" si="44"/>
        <v>0</v>
      </c>
      <c r="L14">
        <f t="shared" si="45"/>
        <v>0</v>
      </c>
      <c r="M14">
        <f t="shared" si="45"/>
        <v>0</v>
      </c>
      <c r="N14">
        <f t="shared" si="45"/>
        <v>0</v>
      </c>
      <c r="O14">
        <f t="shared" si="45"/>
        <v>0</v>
      </c>
      <c r="P14">
        <f t="shared" si="45"/>
        <v>0</v>
      </c>
      <c r="Q14">
        <f t="shared" si="45"/>
        <v>0</v>
      </c>
      <c r="R14">
        <f t="shared" si="45"/>
        <v>0</v>
      </c>
      <c r="S14">
        <f t="shared" si="45"/>
        <v>0</v>
      </c>
      <c r="T14">
        <f t="shared" si="45"/>
        <v>0</v>
      </c>
      <c r="U14">
        <f t="shared" si="45"/>
        <v>0</v>
      </c>
      <c r="V14">
        <f t="shared" si="46"/>
        <v>0</v>
      </c>
      <c r="W14">
        <f t="shared" si="46"/>
        <v>0</v>
      </c>
      <c r="X14">
        <f t="shared" si="46"/>
        <v>0</v>
      </c>
      <c r="Y14">
        <f t="shared" si="46"/>
        <v>0</v>
      </c>
      <c r="Z14">
        <f t="shared" si="46"/>
        <v>0</v>
      </c>
      <c r="AA14">
        <f t="shared" si="46"/>
        <v>0</v>
      </c>
      <c r="AB14">
        <f t="shared" si="46"/>
        <v>0</v>
      </c>
      <c r="AC14">
        <f t="shared" si="46"/>
        <v>0</v>
      </c>
      <c r="AD14">
        <f t="shared" si="46"/>
        <v>0</v>
      </c>
      <c r="AE14">
        <f t="shared" si="46"/>
        <v>0</v>
      </c>
      <c r="AF14">
        <f t="shared" si="47"/>
        <v>0</v>
      </c>
      <c r="AG14">
        <f t="shared" si="47"/>
        <v>0</v>
      </c>
      <c r="AH14">
        <f t="shared" si="47"/>
        <v>0</v>
      </c>
      <c r="AI14">
        <f t="shared" si="47"/>
        <v>0</v>
      </c>
      <c r="AJ14">
        <f t="shared" si="47"/>
        <v>0</v>
      </c>
      <c r="AK14">
        <f t="shared" si="47"/>
        <v>0</v>
      </c>
      <c r="AM14" s="22">
        <f t="shared" si="43"/>
        <v>0</v>
      </c>
      <c r="AP14">
        <v>12</v>
      </c>
      <c r="AQ14" s="53"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f t="shared" si="44"/>
        <v>0</v>
      </c>
      <c r="I15">
        <f t="shared" si="44"/>
        <v>0</v>
      </c>
      <c r="J15">
        <f t="shared" si="44"/>
        <v>0</v>
      </c>
      <c r="K15">
        <f t="shared" si="44"/>
        <v>0</v>
      </c>
      <c r="L15">
        <f t="shared" si="45"/>
        <v>0</v>
      </c>
      <c r="M15">
        <f t="shared" si="45"/>
        <v>0</v>
      </c>
      <c r="N15">
        <f t="shared" si="45"/>
        <v>0</v>
      </c>
      <c r="O15">
        <f t="shared" si="45"/>
        <v>0</v>
      </c>
      <c r="P15">
        <f t="shared" si="45"/>
        <v>0</v>
      </c>
      <c r="Q15">
        <f t="shared" si="45"/>
        <v>0</v>
      </c>
      <c r="R15">
        <f t="shared" si="45"/>
        <v>0</v>
      </c>
      <c r="S15">
        <f t="shared" si="45"/>
        <v>0</v>
      </c>
      <c r="T15">
        <f t="shared" si="45"/>
        <v>0</v>
      </c>
      <c r="U15">
        <f t="shared" si="45"/>
        <v>0</v>
      </c>
      <c r="V15">
        <f t="shared" si="46"/>
        <v>0</v>
      </c>
      <c r="W15">
        <f t="shared" si="46"/>
        <v>0</v>
      </c>
      <c r="X15">
        <f t="shared" si="46"/>
        <v>0</v>
      </c>
      <c r="Y15">
        <f t="shared" si="46"/>
        <v>0</v>
      </c>
      <c r="Z15">
        <f t="shared" si="46"/>
        <v>0</v>
      </c>
      <c r="AA15">
        <f t="shared" si="46"/>
        <v>0</v>
      </c>
      <c r="AB15">
        <f t="shared" si="46"/>
        <v>0</v>
      </c>
      <c r="AC15">
        <f t="shared" si="46"/>
        <v>0</v>
      </c>
      <c r="AD15">
        <f t="shared" si="46"/>
        <v>0</v>
      </c>
      <c r="AE15">
        <f t="shared" si="46"/>
        <v>0</v>
      </c>
      <c r="AF15">
        <f t="shared" si="47"/>
        <v>0</v>
      </c>
      <c r="AG15">
        <f t="shared" si="47"/>
        <v>0</v>
      </c>
      <c r="AH15">
        <f t="shared" si="47"/>
        <v>0</v>
      </c>
      <c r="AI15">
        <f t="shared" si="47"/>
        <v>0</v>
      </c>
      <c r="AJ15">
        <f t="shared" si="47"/>
        <v>0</v>
      </c>
      <c r="AK15">
        <f t="shared" si="47"/>
        <v>0</v>
      </c>
      <c r="AM15" s="22">
        <f t="shared" si="43"/>
        <v>0</v>
      </c>
      <c r="AP15">
        <v>13</v>
      </c>
      <c r="AQ15" s="53"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f t="shared" si="44"/>
        <v>0</v>
      </c>
      <c r="I16">
        <f t="shared" si="44"/>
        <v>0</v>
      </c>
      <c r="J16">
        <f t="shared" si="44"/>
        <v>0</v>
      </c>
      <c r="K16">
        <f t="shared" si="44"/>
        <v>0</v>
      </c>
      <c r="L16">
        <f t="shared" si="45"/>
        <v>0</v>
      </c>
      <c r="M16">
        <f t="shared" si="45"/>
        <v>0</v>
      </c>
      <c r="N16">
        <f t="shared" si="45"/>
        <v>0</v>
      </c>
      <c r="O16">
        <f t="shared" si="45"/>
        <v>0</v>
      </c>
      <c r="P16">
        <f t="shared" si="45"/>
        <v>0</v>
      </c>
      <c r="Q16">
        <f t="shared" si="45"/>
        <v>0</v>
      </c>
      <c r="R16">
        <f t="shared" si="45"/>
        <v>0</v>
      </c>
      <c r="S16">
        <f t="shared" si="45"/>
        <v>0</v>
      </c>
      <c r="T16">
        <f t="shared" si="45"/>
        <v>0</v>
      </c>
      <c r="U16">
        <f t="shared" si="45"/>
        <v>0</v>
      </c>
      <c r="V16">
        <f t="shared" si="46"/>
        <v>0</v>
      </c>
      <c r="W16">
        <f t="shared" si="46"/>
        <v>0</v>
      </c>
      <c r="X16">
        <f t="shared" si="46"/>
        <v>0</v>
      </c>
      <c r="Y16">
        <f t="shared" si="46"/>
        <v>0</v>
      </c>
      <c r="Z16">
        <f t="shared" si="46"/>
        <v>0</v>
      </c>
      <c r="AA16">
        <f t="shared" si="46"/>
        <v>0</v>
      </c>
      <c r="AB16">
        <f t="shared" si="46"/>
        <v>0</v>
      </c>
      <c r="AC16">
        <f t="shared" si="46"/>
        <v>0</v>
      </c>
      <c r="AD16">
        <f t="shared" si="46"/>
        <v>0</v>
      </c>
      <c r="AE16">
        <f t="shared" si="46"/>
        <v>0</v>
      </c>
      <c r="AF16">
        <f t="shared" si="47"/>
        <v>0</v>
      </c>
      <c r="AG16">
        <f t="shared" si="47"/>
        <v>0</v>
      </c>
      <c r="AH16">
        <f t="shared" si="47"/>
        <v>0</v>
      </c>
      <c r="AI16">
        <f t="shared" si="47"/>
        <v>0</v>
      </c>
      <c r="AJ16">
        <f t="shared" si="47"/>
        <v>0</v>
      </c>
      <c r="AK16">
        <f t="shared" si="47"/>
        <v>0</v>
      </c>
      <c r="AM16" s="22">
        <f t="shared" si="43"/>
        <v>0</v>
      </c>
      <c r="AP16">
        <v>14</v>
      </c>
      <c r="AQ16" s="53"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f t="shared" si="44"/>
        <v>0</v>
      </c>
      <c r="I17">
        <f t="shared" si="44"/>
        <v>0</v>
      </c>
      <c r="J17">
        <f t="shared" si="44"/>
        <v>0</v>
      </c>
      <c r="K17">
        <f t="shared" si="44"/>
        <v>0</v>
      </c>
      <c r="L17">
        <f t="shared" si="45"/>
        <v>0</v>
      </c>
      <c r="M17">
        <f t="shared" si="45"/>
        <v>0</v>
      </c>
      <c r="N17">
        <f t="shared" si="45"/>
        <v>0</v>
      </c>
      <c r="O17">
        <f t="shared" si="45"/>
        <v>0</v>
      </c>
      <c r="P17">
        <f t="shared" si="45"/>
        <v>0</v>
      </c>
      <c r="Q17">
        <f t="shared" si="45"/>
        <v>0</v>
      </c>
      <c r="R17">
        <f t="shared" si="45"/>
        <v>0</v>
      </c>
      <c r="S17">
        <f t="shared" si="45"/>
        <v>0</v>
      </c>
      <c r="T17">
        <f t="shared" si="45"/>
        <v>0</v>
      </c>
      <c r="U17">
        <f t="shared" si="45"/>
        <v>0</v>
      </c>
      <c r="V17">
        <f t="shared" si="46"/>
        <v>0</v>
      </c>
      <c r="W17">
        <f t="shared" si="46"/>
        <v>0</v>
      </c>
      <c r="X17">
        <f t="shared" si="46"/>
        <v>0</v>
      </c>
      <c r="Y17">
        <f t="shared" si="46"/>
        <v>0</v>
      </c>
      <c r="Z17">
        <f t="shared" si="46"/>
        <v>0</v>
      </c>
      <c r="AA17">
        <f t="shared" si="46"/>
        <v>0</v>
      </c>
      <c r="AB17">
        <f t="shared" si="46"/>
        <v>0</v>
      </c>
      <c r="AC17">
        <f t="shared" si="46"/>
        <v>0</v>
      </c>
      <c r="AD17">
        <f t="shared" si="46"/>
        <v>0</v>
      </c>
      <c r="AE17">
        <f t="shared" si="46"/>
        <v>0</v>
      </c>
      <c r="AF17">
        <f t="shared" si="47"/>
        <v>0</v>
      </c>
      <c r="AG17">
        <f t="shared" si="47"/>
        <v>0</v>
      </c>
      <c r="AH17">
        <f t="shared" si="47"/>
        <v>0</v>
      </c>
      <c r="AI17">
        <f t="shared" si="47"/>
        <v>0</v>
      </c>
      <c r="AJ17">
        <f t="shared" si="47"/>
        <v>0</v>
      </c>
      <c r="AK17">
        <f t="shared" si="47"/>
        <v>0</v>
      </c>
      <c r="AM17" s="22">
        <f t="shared" si="43"/>
        <v>0</v>
      </c>
      <c r="AP17">
        <v>15</v>
      </c>
      <c r="AQ17" s="53"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f t="shared" si="44"/>
        <v>0</v>
      </c>
      <c r="I18">
        <f t="shared" si="44"/>
        <v>0</v>
      </c>
      <c r="J18">
        <f t="shared" si="44"/>
        <v>0</v>
      </c>
      <c r="K18">
        <f t="shared" si="44"/>
        <v>0</v>
      </c>
      <c r="L18">
        <f t="shared" si="45"/>
        <v>0</v>
      </c>
      <c r="M18">
        <f t="shared" si="45"/>
        <v>0</v>
      </c>
      <c r="N18">
        <f t="shared" si="45"/>
        <v>0</v>
      </c>
      <c r="O18">
        <f t="shared" si="45"/>
        <v>0</v>
      </c>
      <c r="P18">
        <f t="shared" si="45"/>
        <v>0</v>
      </c>
      <c r="Q18">
        <f t="shared" si="45"/>
        <v>0</v>
      </c>
      <c r="R18">
        <f t="shared" si="45"/>
        <v>0</v>
      </c>
      <c r="S18">
        <f t="shared" si="45"/>
        <v>0</v>
      </c>
      <c r="T18">
        <f t="shared" si="45"/>
        <v>0</v>
      </c>
      <c r="U18">
        <f t="shared" si="45"/>
        <v>0</v>
      </c>
      <c r="V18">
        <f t="shared" si="46"/>
        <v>0</v>
      </c>
      <c r="W18">
        <f t="shared" si="46"/>
        <v>0</v>
      </c>
      <c r="X18">
        <f t="shared" si="46"/>
        <v>0</v>
      </c>
      <c r="Y18">
        <f t="shared" si="46"/>
        <v>0</v>
      </c>
      <c r="Z18">
        <f t="shared" si="46"/>
        <v>0</v>
      </c>
      <c r="AA18">
        <f t="shared" si="46"/>
        <v>0</v>
      </c>
      <c r="AB18">
        <f t="shared" si="46"/>
        <v>0</v>
      </c>
      <c r="AC18">
        <f t="shared" si="46"/>
        <v>0</v>
      </c>
      <c r="AD18">
        <f t="shared" si="46"/>
        <v>0</v>
      </c>
      <c r="AE18">
        <f t="shared" si="46"/>
        <v>0</v>
      </c>
      <c r="AF18">
        <f t="shared" si="47"/>
        <v>0</v>
      </c>
      <c r="AG18">
        <f t="shared" si="47"/>
        <v>0</v>
      </c>
      <c r="AH18">
        <f t="shared" si="47"/>
        <v>0</v>
      </c>
      <c r="AI18">
        <f t="shared" si="47"/>
        <v>0</v>
      </c>
      <c r="AJ18">
        <f t="shared" si="47"/>
        <v>0</v>
      </c>
      <c r="AK18">
        <f t="shared" si="47"/>
        <v>0</v>
      </c>
      <c r="AM18" s="22">
        <f t="shared" si="43"/>
        <v>0</v>
      </c>
      <c r="AP18">
        <v>16</v>
      </c>
      <c r="AQ18" s="53"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f t="shared" si="44"/>
        <v>0</v>
      </c>
      <c r="I19">
        <f t="shared" si="44"/>
        <v>0</v>
      </c>
      <c r="J19">
        <f t="shared" si="44"/>
        <v>0</v>
      </c>
      <c r="K19">
        <f t="shared" si="44"/>
        <v>0</v>
      </c>
      <c r="L19">
        <f t="shared" si="45"/>
        <v>0</v>
      </c>
      <c r="M19">
        <f t="shared" si="45"/>
        <v>0</v>
      </c>
      <c r="N19">
        <f t="shared" si="45"/>
        <v>0</v>
      </c>
      <c r="O19">
        <f t="shared" si="45"/>
        <v>0</v>
      </c>
      <c r="P19">
        <f t="shared" si="45"/>
        <v>0</v>
      </c>
      <c r="Q19">
        <f t="shared" si="45"/>
        <v>0</v>
      </c>
      <c r="R19">
        <f t="shared" si="45"/>
        <v>0</v>
      </c>
      <c r="S19">
        <f t="shared" si="45"/>
        <v>0</v>
      </c>
      <c r="T19">
        <f t="shared" si="45"/>
        <v>0</v>
      </c>
      <c r="U19">
        <f t="shared" si="45"/>
        <v>0</v>
      </c>
      <c r="V19">
        <f t="shared" si="46"/>
        <v>0</v>
      </c>
      <c r="W19">
        <f t="shared" si="46"/>
        <v>0</v>
      </c>
      <c r="X19">
        <f t="shared" si="46"/>
        <v>0</v>
      </c>
      <c r="Y19">
        <f t="shared" si="46"/>
        <v>0</v>
      </c>
      <c r="Z19">
        <f t="shared" si="46"/>
        <v>0</v>
      </c>
      <c r="AA19">
        <f t="shared" si="46"/>
        <v>0</v>
      </c>
      <c r="AB19">
        <f t="shared" si="46"/>
        <v>0</v>
      </c>
      <c r="AC19">
        <f t="shared" si="46"/>
        <v>0</v>
      </c>
      <c r="AD19">
        <f t="shared" si="46"/>
        <v>0</v>
      </c>
      <c r="AE19">
        <f t="shared" si="46"/>
        <v>0</v>
      </c>
      <c r="AF19">
        <f t="shared" si="47"/>
        <v>0</v>
      </c>
      <c r="AG19">
        <f t="shared" si="47"/>
        <v>0</v>
      </c>
      <c r="AH19">
        <f t="shared" si="47"/>
        <v>0</v>
      </c>
      <c r="AI19">
        <f t="shared" si="47"/>
        <v>0</v>
      </c>
      <c r="AJ19">
        <f t="shared" si="47"/>
        <v>0</v>
      </c>
      <c r="AK19">
        <f t="shared" si="47"/>
        <v>0</v>
      </c>
      <c r="AM19" s="22">
        <f t="shared" si="43"/>
        <v>0</v>
      </c>
      <c r="AP19">
        <v>17</v>
      </c>
      <c r="AQ19" s="53"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f t="shared" si="44"/>
        <v>0</v>
      </c>
      <c r="I20">
        <f t="shared" si="44"/>
        <v>0</v>
      </c>
      <c r="J20">
        <f t="shared" si="44"/>
        <v>0</v>
      </c>
      <c r="K20">
        <f t="shared" si="44"/>
        <v>0</v>
      </c>
      <c r="L20">
        <f t="shared" si="45"/>
        <v>0</v>
      </c>
      <c r="M20">
        <f t="shared" si="45"/>
        <v>0</v>
      </c>
      <c r="N20">
        <f t="shared" si="45"/>
        <v>0</v>
      </c>
      <c r="O20">
        <f t="shared" si="45"/>
        <v>0</v>
      </c>
      <c r="P20">
        <f t="shared" si="45"/>
        <v>0</v>
      </c>
      <c r="Q20">
        <f t="shared" si="45"/>
        <v>0</v>
      </c>
      <c r="R20">
        <f t="shared" si="45"/>
        <v>0</v>
      </c>
      <c r="S20">
        <f t="shared" si="45"/>
        <v>0</v>
      </c>
      <c r="T20">
        <f t="shared" si="45"/>
        <v>0</v>
      </c>
      <c r="U20">
        <f t="shared" si="45"/>
        <v>0</v>
      </c>
      <c r="V20">
        <f t="shared" si="46"/>
        <v>0</v>
      </c>
      <c r="W20">
        <f t="shared" si="46"/>
        <v>0</v>
      </c>
      <c r="X20">
        <f t="shared" si="46"/>
        <v>0</v>
      </c>
      <c r="Y20">
        <f t="shared" si="46"/>
        <v>0</v>
      </c>
      <c r="Z20">
        <f t="shared" si="46"/>
        <v>0</v>
      </c>
      <c r="AA20">
        <f t="shared" si="46"/>
        <v>0</v>
      </c>
      <c r="AB20">
        <f t="shared" si="46"/>
        <v>0</v>
      </c>
      <c r="AC20">
        <f t="shared" si="46"/>
        <v>0</v>
      </c>
      <c r="AD20">
        <f t="shared" si="46"/>
        <v>0</v>
      </c>
      <c r="AE20">
        <f t="shared" si="46"/>
        <v>0</v>
      </c>
      <c r="AF20">
        <f t="shared" si="47"/>
        <v>0</v>
      </c>
      <c r="AG20">
        <f t="shared" si="47"/>
        <v>0</v>
      </c>
      <c r="AH20">
        <f t="shared" si="47"/>
        <v>0</v>
      </c>
      <c r="AI20">
        <f t="shared" si="47"/>
        <v>0</v>
      </c>
      <c r="AJ20">
        <f t="shared" si="47"/>
        <v>0</v>
      </c>
      <c r="AK20">
        <f t="shared" si="47"/>
        <v>0</v>
      </c>
      <c r="AM20" s="22">
        <f t="shared" si="43"/>
        <v>0</v>
      </c>
      <c r="AP20">
        <v>18</v>
      </c>
      <c r="AQ20" s="53"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f t="shared" si="44"/>
        <v>0</v>
      </c>
      <c r="I21">
        <f t="shared" si="44"/>
        <v>0</v>
      </c>
      <c r="J21">
        <f t="shared" si="44"/>
        <v>0</v>
      </c>
      <c r="K21">
        <f t="shared" si="44"/>
        <v>0</v>
      </c>
      <c r="L21">
        <f t="shared" si="45"/>
        <v>0</v>
      </c>
      <c r="M21">
        <f t="shared" si="45"/>
        <v>0</v>
      </c>
      <c r="N21">
        <f t="shared" si="45"/>
        <v>0</v>
      </c>
      <c r="O21">
        <f t="shared" si="45"/>
        <v>0</v>
      </c>
      <c r="P21">
        <f t="shared" si="45"/>
        <v>0</v>
      </c>
      <c r="Q21">
        <f t="shared" si="45"/>
        <v>0</v>
      </c>
      <c r="R21">
        <f t="shared" si="45"/>
        <v>0</v>
      </c>
      <c r="S21">
        <f t="shared" si="45"/>
        <v>0</v>
      </c>
      <c r="T21">
        <f t="shared" si="45"/>
        <v>0</v>
      </c>
      <c r="U21">
        <f t="shared" si="45"/>
        <v>0</v>
      </c>
      <c r="V21">
        <f t="shared" si="46"/>
        <v>0</v>
      </c>
      <c r="W21">
        <f t="shared" si="46"/>
        <v>0</v>
      </c>
      <c r="X21">
        <f t="shared" si="46"/>
        <v>0</v>
      </c>
      <c r="Y21">
        <f t="shared" si="46"/>
        <v>0</v>
      </c>
      <c r="Z21">
        <f t="shared" si="46"/>
        <v>0</v>
      </c>
      <c r="AA21">
        <f t="shared" si="46"/>
        <v>0</v>
      </c>
      <c r="AB21">
        <f t="shared" si="46"/>
        <v>0</v>
      </c>
      <c r="AC21">
        <f t="shared" si="46"/>
        <v>0</v>
      </c>
      <c r="AD21">
        <f t="shared" si="46"/>
        <v>0</v>
      </c>
      <c r="AE21">
        <f t="shared" si="46"/>
        <v>0</v>
      </c>
      <c r="AF21">
        <f t="shared" si="47"/>
        <v>0</v>
      </c>
      <c r="AG21">
        <f t="shared" si="47"/>
        <v>0</v>
      </c>
      <c r="AH21">
        <f t="shared" si="47"/>
        <v>0</v>
      </c>
      <c r="AI21">
        <f t="shared" si="47"/>
        <v>0</v>
      </c>
      <c r="AJ21">
        <f t="shared" si="47"/>
        <v>0</v>
      </c>
      <c r="AK21">
        <f t="shared" si="47"/>
        <v>0</v>
      </c>
      <c r="AM21" s="22">
        <f t="shared" si="43"/>
        <v>0</v>
      </c>
      <c r="AP21">
        <v>19</v>
      </c>
      <c r="AQ21" s="53"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f t="shared" si="48"/>
        <v>0</v>
      </c>
      <c r="I22">
        <f t="shared" si="48"/>
        <v>0</v>
      </c>
      <c r="J22">
        <f t="shared" si="48"/>
        <v>0</v>
      </c>
      <c r="K22">
        <f t="shared" si="48"/>
        <v>0</v>
      </c>
      <c r="L22">
        <f t="shared" ref="L22:U31" si="49">IFERROR(IF(INDEX(ConDimVals,ROW(K21),COLUMN(K21))="",0,1),"")</f>
        <v>0</v>
      </c>
      <c r="M22">
        <f t="shared" si="49"/>
        <v>0</v>
      </c>
      <c r="N22">
        <f t="shared" si="49"/>
        <v>0</v>
      </c>
      <c r="O22">
        <f t="shared" si="49"/>
        <v>0</v>
      </c>
      <c r="P22">
        <f t="shared" si="49"/>
        <v>0</v>
      </c>
      <c r="Q22">
        <f t="shared" si="49"/>
        <v>0</v>
      </c>
      <c r="R22">
        <f t="shared" si="49"/>
        <v>0</v>
      </c>
      <c r="S22">
        <f t="shared" si="49"/>
        <v>0</v>
      </c>
      <c r="T22">
        <f t="shared" si="49"/>
        <v>0</v>
      </c>
      <c r="U22">
        <f t="shared" si="49"/>
        <v>0</v>
      </c>
      <c r="V22">
        <f t="shared" ref="V22:AE31" si="50">IFERROR(IF(INDEX(ConDimVals,ROW(U21),COLUMN(U21))="",0,1),"")</f>
        <v>0</v>
      </c>
      <c r="W22">
        <f t="shared" si="50"/>
        <v>0</v>
      </c>
      <c r="X22">
        <f t="shared" si="50"/>
        <v>0</v>
      </c>
      <c r="Y22">
        <f t="shared" si="50"/>
        <v>0</v>
      </c>
      <c r="Z22">
        <f t="shared" si="50"/>
        <v>0</v>
      </c>
      <c r="AA22">
        <f t="shared" si="50"/>
        <v>0</v>
      </c>
      <c r="AB22">
        <f t="shared" si="50"/>
        <v>0</v>
      </c>
      <c r="AC22">
        <f t="shared" si="50"/>
        <v>0</v>
      </c>
      <c r="AD22">
        <f t="shared" si="50"/>
        <v>0</v>
      </c>
      <c r="AE22">
        <f t="shared" si="50"/>
        <v>0</v>
      </c>
      <c r="AF22">
        <f t="shared" ref="AF22:AK31" si="51">IFERROR(IF(INDEX(ConDimVals,ROW(AE21),COLUMN(AE21))="",0,1),"")</f>
        <v>0</v>
      </c>
      <c r="AG22">
        <f t="shared" si="51"/>
        <v>0</v>
      </c>
      <c r="AH22">
        <f t="shared" si="51"/>
        <v>0</v>
      </c>
      <c r="AI22">
        <f t="shared" si="51"/>
        <v>0</v>
      </c>
      <c r="AJ22">
        <f t="shared" si="51"/>
        <v>0</v>
      </c>
      <c r="AK22">
        <f t="shared" si="51"/>
        <v>0</v>
      </c>
      <c r="AM22" s="22">
        <f t="shared" si="43"/>
        <v>0</v>
      </c>
      <c r="AP22">
        <v>20</v>
      </c>
      <c r="AQ22" s="53"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f t="shared" si="48"/>
        <v>0</v>
      </c>
      <c r="I23">
        <f t="shared" si="48"/>
        <v>0</v>
      </c>
      <c r="J23">
        <f t="shared" si="48"/>
        <v>0</v>
      </c>
      <c r="K23">
        <f t="shared" si="48"/>
        <v>0</v>
      </c>
      <c r="L23">
        <f t="shared" si="49"/>
        <v>0</v>
      </c>
      <c r="M23">
        <f t="shared" si="49"/>
        <v>0</v>
      </c>
      <c r="N23">
        <f t="shared" si="49"/>
        <v>0</v>
      </c>
      <c r="O23">
        <f t="shared" si="49"/>
        <v>0</v>
      </c>
      <c r="P23">
        <f t="shared" si="49"/>
        <v>0</v>
      </c>
      <c r="Q23">
        <f t="shared" si="49"/>
        <v>0</v>
      </c>
      <c r="R23">
        <f t="shared" si="49"/>
        <v>0</v>
      </c>
      <c r="S23">
        <f t="shared" si="49"/>
        <v>0</v>
      </c>
      <c r="T23">
        <f t="shared" si="49"/>
        <v>0</v>
      </c>
      <c r="U23">
        <f t="shared" si="49"/>
        <v>0</v>
      </c>
      <c r="V23">
        <f t="shared" si="50"/>
        <v>0</v>
      </c>
      <c r="W23">
        <f t="shared" si="50"/>
        <v>0</v>
      </c>
      <c r="X23">
        <f t="shared" si="50"/>
        <v>0</v>
      </c>
      <c r="Y23">
        <f t="shared" si="50"/>
        <v>0</v>
      </c>
      <c r="Z23">
        <f t="shared" si="50"/>
        <v>0</v>
      </c>
      <c r="AA23">
        <f t="shared" si="50"/>
        <v>0</v>
      </c>
      <c r="AB23">
        <f t="shared" si="50"/>
        <v>0</v>
      </c>
      <c r="AC23">
        <f t="shared" si="50"/>
        <v>0</v>
      </c>
      <c r="AD23">
        <f t="shared" si="50"/>
        <v>0</v>
      </c>
      <c r="AE23">
        <f t="shared" si="50"/>
        <v>0</v>
      </c>
      <c r="AF23">
        <f t="shared" si="51"/>
        <v>0</v>
      </c>
      <c r="AG23">
        <f t="shared" si="51"/>
        <v>0</v>
      </c>
      <c r="AH23">
        <f t="shared" si="51"/>
        <v>0</v>
      </c>
      <c r="AI23">
        <f t="shared" si="51"/>
        <v>0</v>
      </c>
      <c r="AJ23">
        <f t="shared" si="51"/>
        <v>0</v>
      </c>
      <c r="AK23">
        <f t="shared" si="51"/>
        <v>0</v>
      </c>
      <c r="AM23" s="22">
        <f t="shared" si="43"/>
        <v>0</v>
      </c>
      <c r="AP23">
        <v>21</v>
      </c>
      <c r="AQ23" s="53"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f t="shared" si="48"/>
        <v>0</v>
      </c>
      <c r="I24">
        <f t="shared" si="48"/>
        <v>0</v>
      </c>
      <c r="J24">
        <f t="shared" si="48"/>
        <v>0</v>
      </c>
      <c r="K24">
        <f t="shared" si="48"/>
        <v>0</v>
      </c>
      <c r="L24">
        <f t="shared" si="49"/>
        <v>0</v>
      </c>
      <c r="M24">
        <f t="shared" si="49"/>
        <v>0</v>
      </c>
      <c r="N24">
        <f t="shared" si="49"/>
        <v>0</v>
      </c>
      <c r="O24">
        <f t="shared" si="49"/>
        <v>0</v>
      </c>
      <c r="P24">
        <f t="shared" si="49"/>
        <v>0</v>
      </c>
      <c r="Q24">
        <f t="shared" si="49"/>
        <v>0</v>
      </c>
      <c r="R24">
        <f t="shared" si="49"/>
        <v>0</v>
      </c>
      <c r="S24">
        <f t="shared" si="49"/>
        <v>0</v>
      </c>
      <c r="T24">
        <f t="shared" si="49"/>
        <v>0</v>
      </c>
      <c r="U24">
        <f t="shared" si="49"/>
        <v>0</v>
      </c>
      <c r="V24">
        <f t="shared" si="50"/>
        <v>0</v>
      </c>
      <c r="W24">
        <f t="shared" si="50"/>
        <v>0</v>
      </c>
      <c r="X24">
        <f t="shared" si="50"/>
        <v>0</v>
      </c>
      <c r="Y24">
        <f t="shared" si="50"/>
        <v>0</v>
      </c>
      <c r="Z24">
        <f t="shared" si="50"/>
        <v>0</v>
      </c>
      <c r="AA24">
        <f t="shared" si="50"/>
        <v>0</v>
      </c>
      <c r="AB24">
        <f t="shared" si="50"/>
        <v>0</v>
      </c>
      <c r="AC24">
        <f t="shared" si="50"/>
        <v>0</v>
      </c>
      <c r="AD24">
        <f t="shared" si="50"/>
        <v>0</v>
      </c>
      <c r="AE24">
        <f t="shared" si="50"/>
        <v>0</v>
      </c>
      <c r="AF24">
        <f t="shared" si="51"/>
        <v>0</v>
      </c>
      <c r="AG24">
        <f t="shared" si="51"/>
        <v>0</v>
      </c>
      <c r="AH24">
        <f t="shared" si="51"/>
        <v>0</v>
      </c>
      <c r="AI24">
        <f t="shared" si="51"/>
        <v>0</v>
      </c>
      <c r="AJ24">
        <f t="shared" si="51"/>
        <v>0</v>
      </c>
      <c r="AK24">
        <f t="shared" si="51"/>
        <v>0</v>
      </c>
      <c r="AM24" s="22">
        <f t="shared" si="43"/>
        <v>0</v>
      </c>
      <c r="AP24">
        <v>22</v>
      </c>
      <c r="AQ24" s="53"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f t="shared" si="48"/>
        <v>0</v>
      </c>
      <c r="I25">
        <f t="shared" si="48"/>
        <v>0</v>
      </c>
      <c r="J25">
        <f t="shared" si="48"/>
        <v>0</v>
      </c>
      <c r="K25">
        <f t="shared" si="48"/>
        <v>0</v>
      </c>
      <c r="L25">
        <f t="shared" si="49"/>
        <v>0</v>
      </c>
      <c r="M25">
        <f t="shared" si="49"/>
        <v>0</v>
      </c>
      <c r="N25">
        <f t="shared" si="49"/>
        <v>0</v>
      </c>
      <c r="O25">
        <f t="shared" si="49"/>
        <v>0</v>
      </c>
      <c r="P25">
        <f t="shared" si="49"/>
        <v>0</v>
      </c>
      <c r="Q25">
        <f t="shared" si="49"/>
        <v>0</v>
      </c>
      <c r="R25">
        <f t="shared" si="49"/>
        <v>0</v>
      </c>
      <c r="S25">
        <f t="shared" si="49"/>
        <v>0</v>
      </c>
      <c r="T25">
        <f t="shared" si="49"/>
        <v>0</v>
      </c>
      <c r="U25">
        <f t="shared" si="49"/>
        <v>0</v>
      </c>
      <c r="V25">
        <f t="shared" si="50"/>
        <v>0</v>
      </c>
      <c r="W25">
        <f t="shared" si="50"/>
        <v>0</v>
      </c>
      <c r="X25">
        <f t="shared" si="50"/>
        <v>0</v>
      </c>
      <c r="Y25">
        <f t="shared" si="50"/>
        <v>0</v>
      </c>
      <c r="Z25">
        <f t="shared" si="50"/>
        <v>0</v>
      </c>
      <c r="AA25">
        <f t="shared" si="50"/>
        <v>0</v>
      </c>
      <c r="AB25">
        <f t="shared" si="50"/>
        <v>0</v>
      </c>
      <c r="AC25">
        <f t="shared" si="50"/>
        <v>0</v>
      </c>
      <c r="AD25">
        <f t="shared" si="50"/>
        <v>0</v>
      </c>
      <c r="AE25">
        <f t="shared" si="50"/>
        <v>0</v>
      </c>
      <c r="AF25">
        <f t="shared" si="51"/>
        <v>0</v>
      </c>
      <c r="AG25">
        <f t="shared" si="51"/>
        <v>0</v>
      </c>
      <c r="AH25">
        <f t="shared" si="51"/>
        <v>0</v>
      </c>
      <c r="AI25">
        <f t="shared" si="51"/>
        <v>0</v>
      </c>
      <c r="AJ25">
        <f t="shared" si="51"/>
        <v>0</v>
      </c>
      <c r="AK25">
        <f t="shared" si="51"/>
        <v>0</v>
      </c>
      <c r="AM25" s="22">
        <f t="shared" si="43"/>
        <v>0</v>
      </c>
      <c r="AP25">
        <v>23</v>
      </c>
      <c r="AQ25" s="53"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f t="shared" si="48"/>
        <v>0</v>
      </c>
      <c r="I26">
        <f t="shared" si="48"/>
        <v>0</v>
      </c>
      <c r="J26">
        <f t="shared" si="48"/>
        <v>0</v>
      </c>
      <c r="K26">
        <f t="shared" si="48"/>
        <v>0</v>
      </c>
      <c r="L26">
        <f t="shared" si="49"/>
        <v>0</v>
      </c>
      <c r="M26">
        <f t="shared" si="49"/>
        <v>0</v>
      </c>
      <c r="N26">
        <f t="shared" si="49"/>
        <v>0</v>
      </c>
      <c r="O26">
        <f t="shared" si="49"/>
        <v>0</v>
      </c>
      <c r="P26">
        <f t="shared" si="49"/>
        <v>0</v>
      </c>
      <c r="Q26">
        <f t="shared" si="49"/>
        <v>0</v>
      </c>
      <c r="R26">
        <f t="shared" si="49"/>
        <v>0</v>
      </c>
      <c r="S26">
        <f t="shared" si="49"/>
        <v>0</v>
      </c>
      <c r="T26">
        <f t="shared" si="49"/>
        <v>0</v>
      </c>
      <c r="U26">
        <f t="shared" si="49"/>
        <v>0</v>
      </c>
      <c r="V26">
        <f t="shared" si="50"/>
        <v>0</v>
      </c>
      <c r="W26">
        <f t="shared" si="50"/>
        <v>0</v>
      </c>
      <c r="X26">
        <f t="shared" si="50"/>
        <v>0</v>
      </c>
      <c r="Y26">
        <f t="shared" si="50"/>
        <v>0</v>
      </c>
      <c r="Z26">
        <f t="shared" si="50"/>
        <v>0</v>
      </c>
      <c r="AA26">
        <f t="shared" si="50"/>
        <v>0</v>
      </c>
      <c r="AB26">
        <f t="shared" si="50"/>
        <v>0</v>
      </c>
      <c r="AC26">
        <f t="shared" si="50"/>
        <v>0</v>
      </c>
      <c r="AD26">
        <f t="shared" si="50"/>
        <v>0</v>
      </c>
      <c r="AE26">
        <f t="shared" si="50"/>
        <v>0</v>
      </c>
      <c r="AF26">
        <f t="shared" si="51"/>
        <v>0</v>
      </c>
      <c r="AG26">
        <f t="shared" si="51"/>
        <v>0</v>
      </c>
      <c r="AH26">
        <f t="shared" si="51"/>
        <v>0</v>
      </c>
      <c r="AI26">
        <f t="shared" si="51"/>
        <v>0</v>
      </c>
      <c r="AJ26">
        <f t="shared" si="51"/>
        <v>0</v>
      </c>
      <c r="AK26">
        <f t="shared" si="51"/>
        <v>0</v>
      </c>
      <c r="AM26" s="22">
        <f t="shared" si="43"/>
        <v>0</v>
      </c>
      <c r="AP26">
        <v>24</v>
      </c>
      <c r="AQ26" s="53"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f t="shared" si="48"/>
        <v>0</v>
      </c>
      <c r="I27">
        <f t="shared" si="48"/>
        <v>0</v>
      </c>
      <c r="J27">
        <f t="shared" si="48"/>
        <v>0</v>
      </c>
      <c r="K27">
        <f t="shared" si="48"/>
        <v>0</v>
      </c>
      <c r="L27">
        <f t="shared" si="49"/>
        <v>0</v>
      </c>
      <c r="M27">
        <f t="shared" si="49"/>
        <v>0</v>
      </c>
      <c r="N27">
        <f t="shared" si="49"/>
        <v>0</v>
      </c>
      <c r="O27">
        <f t="shared" si="49"/>
        <v>0</v>
      </c>
      <c r="P27">
        <f t="shared" si="49"/>
        <v>0</v>
      </c>
      <c r="Q27">
        <f t="shared" si="49"/>
        <v>0</v>
      </c>
      <c r="R27">
        <f t="shared" si="49"/>
        <v>0</v>
      </c>
      <c r="S27">
        <f t="shared" si="49"/>
        <v>0</v>
      </c>
      <c r="T27">
        <f t="shared" si="49"/>
        <v>0</v>
      </c>
      <c r="U27">
        <f t="shared" si="49"/>
        <v>0</v>
      </c>
      <c r="V27">
        <f t="shared" si="50"/>
        <v>0</v>
      </c>
      <c r="W27">
        <f t="shared" si="50"/>
        <v>0</v>
      </c>
      <c r="X27">
        <f t="shared" si="50"/>
        <v>0</v>
      </c>
      <c r="Y27">
        <f t="shared" si="50"/>
        <v>0</v>
      </c>
      <c r="Z27">
        <f t="shared" si="50"/>
        <v>0</v>
      </c>
      <c r="AA27">
        <f t="shared" si="50"/>
        <v>0</v>
      </c>
      <c r="AB27">
        <f t="shared" si="50"/>
        <v>0</v>
      </c>
      <c r="AC27">
        <f t="shared" si="50"/>
        <v>0</v>
      </c>
      <c r="AD27">
        <f t="shared" si="50"/>
        <v>0</v>
      </c>
      <c r="AE27">
        <f t="shared" si="50"/>
        <v>0</v>
      </c>
      <c r="AF27">
        <f t="shared" si="51"/>
        <v>0</v>
      </c>
      <c r="AG27">
        <f t="shared" si="51"/>
        <v>0</v>
      </c>
      <c r="AH27">
        <f t="shared" si="51"/>
        <v>0</v>
      </c>
      <c r="AI27">
        <f t="shared" si="51"/>
        <v>0</v>
      </c>
      <c r="AJ27">
        <f t="shared" si="51"/>
        <v>0</v>
      </c>
      <c r="AK27">
        <f t="shared" si="51"/>
        <v>0</v>
      </c>
      <c r="AM27" s="22">
        <f t="shared" si="43"/>
        <v>0</v>
      </c>
      <c r="AP27">
        <v>25</v>
      </c>
      <c r="AQ27" s="53"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f t="shared" si="48"/>
        <v>0</v>
      </c>
      <c r="I28">
        <f t="shared" si="48"/>
        <v>0</v>
      </c>
      <c r="J28">
        <f t="shared" si="48"/>
        <v>0</v>
      </c>
      <c r="K28">
        <f t="shared" si="48"/>
        <v>0</v>
      </c>
      <c r="L28">
        <f t="shared" si="49"/>
        <v>0</v>
      </c>
      <c r="M28">
        <f t="shared" si="49"/>
        <v>0</v>
      </c>
      <c r="N28">
        <f t="shared" si="49"/>
        <v>0</v>
      </c>
      <c r="O28">
        <f t="shared" si="49"/>
        <v>0</v>
      </c>
      <c r="P28">
        <f t="shared" si="49"/>
        <v>0</v>
      </c>
      <c r="Q28">
        <f t="shared" si="49"/>
        <v>0</v>
      </c>
      <c r="R28">
        <f t="shared" si="49"/>
        <v>0</v>
      </c>
      <c r="S28">
        <f t="shared" si="49"/>
        <v>0</v>
      </c>
      <c r="T28">
        <f t="shared" si="49"/>
        <v>0</v>
      </c>
      <c r="U28">
        <f t="shared" si="49"/>
        <v>0</v>
      </c>
      <c r="V28">
        <f t="shared" si="50"/>
        <v>0</v>
      </c>
      <c r="W28">
        <f t="shared" si="50"/>
        <v>0</v>
      </c>
      <c r="X28">
        <f t="shared" si="50"/>
        <v>0</v>
      </c>
      <c r="Y28">
        <f t="shared" si="50"/>
        <v>0</v>
      </c>
      <c r="Z28">
        <f t="shared" si="50"/>
        <v>0</v>
      </c>
      <c r="AA28">
        <f t="shared" si="50"/>
        <v>0</v>
      </c>
      <c r="AB28">
        <f t="shared" si="50"/>
        <v>0</v>
      </c>
      <c r="AC28">
        <f t="shared" si="50"/>
        <v>0</v>
      </c>
      <c r="AD28">
        <f t="shared" si="50"/>
        <v>0</v>
      </c>
      <c r="AE28">
        <f t="shared" si="50"/>
        <v>0</v>
      </c>
      <c r="AF28">
        <f t="shared" si="51"/>
        <v>0</v>
      </c>
      <c r="AG28">
        <f t="shared" si="51"/>
        <v>0</v>
      </c>
      <c r="AH28">
        <f t="shared" si="51"/>
        <v>0</v>
      </c>
      <c r="AI28">
        <f t="shared" si="51"/>
        <v>0</v>
      </c>
      <c r="AJ28">
        <f t="shared" si="51"/>
        <v>0</v>
      </c>
      <c r="AK28">
        <f t="shared" si="51"/>
        <v>0</v>
      </c>
      <c r="AM28" s="22">
        <f t="shared" si="43"/>
        <v>0</v>
      </c>
      <c r="AP28">
        <v>26</v>
      </c>
      <c r="AQ28" s="53"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f t="shared" si="48"/>
        <v>0</v>
      </c>
      <c r="I29">
        <f t="shared" si="48"/>
        <v>0</v>
      </c>
      <c r="J29">
        <f t="shared" si="48"/>
        <v>0</v>
      </c>
      <c r="K29">
        <f t="shared" si="48"/>
        <v>0</v>
      </c>
      <c r="L29">
        <f t="shared" si="49"/>
        <v>0</v>
      </c>
      <c r="M29">
        <f t="shared" si="49"/>
        <v>0</v>
      </c>
      <c r="N29">
        <f t="shared" si="49"/>
        <v>0</v>
      </c>
      <c r="O29">
        <f t="shared" si="49"/>
        <v>0</v>
      </c>
      <c r="P29">
        <f t="shared" si="49"/>
        <v>0</v>
      </c>
      <c r="Q29">
        <f t="shared" si="49"/>
        <v>0</v>
      </c>
      <c r="R29">
        <f t="shared" si="49"/>
        <v>0</v>
      </c>
      <c r="S29">
        <f t="shared" si="49"/>
        <v>0</v>
      </c>
      <c r="T29">
        <f t="shared" si="49"/>
        <v>0</v>
      </c>
      <c r="U29">
        <f t="shared" si="49"/>
        <v>0</v>
      </c>
      <c r="V29">
        <f t="shared" si="50"/>
        <v>0</v>
      </c>
      <c r="W29">
        <f t="shared" si="50"/>
        <v>0</v>
      </c>
      <c r="X29">
        <f t="shared" si="50"/>
        <v>0</v>
      </c>
      <c r="Y29">
        <f t="shared" si="50"/>
        <v>0</v>
      </c>
      <c r="Z29">
        <f t="shared" si="50"/>
        <v>0</v>
      </c>
      <c r="AA29">
        <f t="shared" si="50"/>
        <v>0</v>
      </c>
      <c r="AB29">
        <f t="shared" si="50"/>
        <v>0</v>
      </c>
      <c r="AC29">
        <f t="shared" si="50"/>
        <v>0</v>
      </c>
      <c r="AD29">
        <f t="shared" si="50"/>
        <v>0</v>
      </c>
      <c r="AE29">
        <f t="shared" si="50"/>
        <v>0</v>
      </c>
      <c r="AF29">
        <f t="shared" si="51"/>
        <v>0</v>
      </c>
      <c r="AG29">
        <f t="shared" si="51"/>
        <v>0</v>
      </c>
      <c r="AH29">
        <f t="shared" si="51"/>
        <v>0</v>
      </c>
      <c r="AI29">
        <f t="shared" si="51"/>
        <v>0</v>
      </c>
      <c r="AJ29">
        <f t="shared" si="51"/>
        <v>0</v>
      </c>
      <c r="AK29">
        <f t="shared" si="51"/>
        <v>0</v>
      </c>
      <c r="AM29" s="22">
        <f t="shared" si="43"/>
        <v>0</v>
      </c>
      <c r="AP29">
        <v>27</v>
      </c>
      <c r="AQ29" s="53"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f t="shared" si="48"/>
        <v>0</v>
      </c>
      <c r="I30">
        <f t="shared" si="48"/>
        <v>0</v>
      </c>
      <c r="J30">
        <f t="shared" si="48"/>
        <v>0</v>
      </c>
      <c r="K30">
        <f t="shared" si="48"/>
        <v>0</v>
      </c>
      <c r="L30">
        <f t="shared" si="49"/>
        <v>0</v>
      </c>
      <c r="M30">
        <f t="shared" si="49"/>
        <v>0</v>
      </c>
      <c r="N30">
        <f t="shared" si="49"/>
        <v>0</v>
      </c>
      <c r="O30">
        <f t="shared" si="49"/>
        <v>0</v>
      </c>
      <c r="P30">
        <f t="shared" si="49"/>
        <v>0</v>
      </c>
      <c r="Q30">
        <f t="shared" si="49"/>
        <v>0</v>
      </c>
      <c r="R30">
        <f t="shared" si="49"/>
        <v>0</v>
      </c>
      <c r="S30">
        <f t="shared" si="49"/>
        <v>0</v>
      </c>
      <c r="T30">
        <f t="shared" si="49"/>
        <v>0</v>
      </c>
      <c r="U30">
        <f t="shared" si="49"/>
        <v>0</v>
      </c>
      <c r="V30">
        <f t="shared" si="50"/>
        <v>0</v>
      </c>
      <c r="W30">
        <f t="shared" si="50"/>
        <v>0</v>
      </c>
      <c r="X30">
        <f t="shared" si="50"/>
        <v>0</v>
      </c>
      <c r="Y30">
        <f t="shared" si="50"/>
        <v>0</v>
      </c>
      <c r="Z30">
        <f t="shared" si="50"/>
        <v>0</v>
      </c>
      <c r="AA30">
        <f t="shared" si="50"/>
        <v>0</v>
      </c>
      <c r="AB30">
        <f t="shared" si="50"/>
        <v>0</v>
      </c>
      <c r="AC30">
        <f t="shared" si="50"/>
        <v>0</v>
      </c>
      <c r="AD30">
        <f t="shared" si="50"/>
        <v>0</v>
      </c>
      <c r="AE30">
        <f t="shared" si="50"/>
        <v>0</v>
      </c>
      <c r="AF30">
        <f t="shared" si="51"/>
        <v>0</v>
      </c>
      <c r="AG30">
        <f t="shared" si="51"/>
        <v>0</v>
      </c>
      <c r="AH30">
        <f t="shared" si="51"/>
        <v>0</v>
      </c>
      <c r="AI30">
        <f t="shared" si="51"/>
        <v>0</v>
      </c>
      <c r="AJ30">
        <f t="shared" si="51"/>
        <v>0</v>
      </c>
      <c r="AK30">
        <f t="shared" si="51"/>
        <v>0</v>
      </c>
      <c r="AM30" s="22">
        <f t="shared" si="43"/>
        <v>0</v>
      </c>
      <c r="AP30">
        <v>28</v>
      </c>
      <c r="AQ30" s="53"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f t="shared" si="48"/>
        <v>0</v>
      </c>
      <c r="I31">
        <f t="shared" si="48"/>
        <v>0</v>
      </c>
      <c r="J31">
        <f t="shared" si="48"/>
        <v>0</v>
      </c>
      <c r="K31">
        <f t="shared" si="48"/>
        <v>0</v>
      </c>
      <c r="L31">
        <f t="shared" si="49"/>
        <v>0</v>
      </c>
      <c r="M31">
        <f t="shared" si="49"/>
        <v>0</v>
      </c>
      <c r="N31">
        <f t="shared" si="49"/>
        <v>0</v>
      </c>
      <c r="O31">
        <f t="shared" si="49"/>
        <v>0</v>
      </c>
      <c r="P31">
        <f t="shared" si="49"/>
        <v>0</v>
      </c>
      <c r="Q31">
        <f t="shared" si="49"/>
        <v>0</v>
      </c>
      <c r="R31">
        <f t="shared" si="49"/>
        <v>0</v>
      </c>
      <c r="S31">
        <f t="shared" si="49"/>
        <v>0</v>
      </c>
      <c r="T31">
        <f t="shared" si="49"/>
        <v>0</v>
      </c>
      <c r="U31">
        <f t="shared" si="49"/>
        <v>0</v>
      </c>
      <c r="V31">
        <f t="shared" si="50"/>
        <v>0</v>
      </c>
      <c r="W31">
        <f t="shared" si="50"/>
        <v>0</v>
      </c>
      <c r="X31">
        <f t="shared" si="50"/>
        <v>0</v>
      </c>
      <c r="Y31">
        <f t="shared" si="50"/>
        <v>0</v>
      </c>
      <c r="Z31">
        <f t="shared" si="50"/>
        <v>0</v>
      </c>
      <c r="AA31">
        <f t="shared" si="50"/>
        <v>0</v>
      </c>
      <c r="AB31">
        <f t="shared" si="50"/>
        <v>0</v>
      </c>
      <c r="AC31">
        <f t="shared" si="50"/>
        <v>0</v>
      </c>
      <c r="AD31">
        <f t="shared" si="50"/>
        <v>0</v>
      </c>
      <c r="AE31">
        <f t="shared" si="50"/>
        <v>0</v>
      </c>
      <c r="AF31">
        <f t="shared" si="51"/>
        <v>0</v>
      </c>
      <c r="AG31">
        <f t="shared" si="51"/>
        <v>0</v>
      </c>
      <c r="AH31">
        <f t="shared" si="51"/>
        <v>0</v>
      </c>
      <c r="AI31">
        <f t="shared" si="51"/>
        <v>0</v>
      </c>
      <c r="AJ31">
        <f t="shared" si="51"/>
        <v>0</v>
      </c>
      <c r="AK31">
        <f t="shared" si="51"/>
        <v>0</v>
      </c>
      <c r="AM31" s="22">
        <f t="shared" si="43"/>
        <v>0</v>
      </c>
      <c r="AP31">
        <v>29</v>
      </c>
      <c r="AQ31" s="53"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f t="shared" si="52"/>
        <v>0</v>
      </c>
      <c r="I32">
        <f t="shared" si="52"/>
        <v>0</v>
      </c>
      <c r="J32">
        <f t="shared" si="52"/>
        <v>0</v>
      </c>
      <c r="K32">
        <f t="shared" si="52"/>
        <v>0</v>
      </c>
      <c r="L32">
        <f t="shared" ref="L32:U41" si="53">IFERROR(IF(INDEX(ConDimVals,ROW(K31),COLUMN(K31))="",0,1),"")</f>
        <v>0</v>
      </c>
      <c r="M32">
        <f t="shared" si="53"/>
        <v>0</v>
      </c>
      <c r="N32">
        <f t="shared" si="53"/>
        <v>0</v>
      </c>
      <c r="O32">
        <f t="shared" si="53"/>
        <v>0</v>
      </c>
      <c r="P32">
        <f t="shared" si="53"/>
        <v>0</v>
      </c>
      <c r="Q32">
        <f t="shared" si="53"/>
        <v>0</v>
      </c>
      <c r="R32">
        <f t="shared" si="53"/>
        <v>0</v>
      </c>
      <c r="S32">
        <f t="shared" si="53"/>
        <v>0</v>
      </c>
      <c r="T32">
        <f t="shared" si="53"/>
        <v>0</v>
      </c>
      <c r="U32">
        <f t="shared" si="53"/>
        <v>0</v>
      </c>
      <c r="V32">
        <f t="shared" ref="V32:AE41" si="54">IFERROR(IF(INDEX(ConDimVals,ROW(U31),COLUMN(U31))="",0,1),"")</f>
        <v>0</v>
      </c>
      <c r="W32">
        <f t="shared" si="54"/>
        <v>0</v>
      </c>
      <c r="X32">
        <f t="shared" si="54"/>
        <v>0</v>
      </c>
      <c r="Y32">
        <f t="shared" si="54"/>
        <v>0</v>
      </c>
      <c r="Z32">
        <f t="shared" si="54"/>
        <v>0</v>
      </c>
      <c r="AA32">
        <f t="shared" si="54"/>
        <v>0</v>
      </c>
      <c r="AB32">
        <f t="shared" si="54"/>
        <v>0</v>
      </c>
      <c r="AC32">
        <f t="shared" si="54"/>
        <v>0</v>
      </c>
      <c r="AD32">
        <f t="shared" si="54"/>
        <v>0</v>
      </c>
      <c r="AE32">
        <f t="shared" si="54"/>
        <v>0</v>
      </c>
      <c r="AF32">
        <f t="shared" ref="AF32:AK41" si="55">IFERROR(IF(INDEX(ConDimVals,ROW(AE31),COLUMN(AE31))="",0,1),"")</f>
        <v>0</v>
      </c>
      <c r="AG32">
        <f t="shared" si="55"/>
        <v>0</v>
      </c>
      <c r="AH32">
        <f t="shared" si="55"/>
        <v>0</v>
      </c>
      <c r="AI32">
        <f t="shared" si="55"/>
        <v>0</v>
      </c>
      <c r="AJ32">
        <f t="shared" si="55"/>
        <v>0</v>
      </c>
      <c r="AK32">
        <f t="shared" si="55"/>
        <v>0</v>
      </c>
      <c r="AM32" s="22">
        <f t="shared" si="43"/>
        <v>0</v>
      </c>
      <c r="AP32">
        <v>30</v>
      </c>
      <c r="AQ32" s="53"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f t="shared" si="52"/>
        <v>0</v>
      </c>
      <c r="I33">
        <f t="shared" si="52"/>
        <v>0</v>
      </c>
      <c r="J33">
        <f t="shared" si="52"/>
        <v>0</v>
      </c>
      <c r="K33">
        <f t="shared" si="52"/>
        <v>0</v>
      </c>
      <c r="L33">
        <f t="shared" si="53"/>
        <v>0</v>
      </c>
      <c r="M33">
        <f t="shared" si="53"/>
        <v>0</v>
      </c>
      <c r="N33">
        <f t="shared" si="53"/>
        <v>0</v>
      </c>
      <c r="O33">
        <f t="shared" si="53"/>
        <v>0</v>
      </c>
      <c r="P33">
        <f t="shared" si="53"/>
        <v>0</v>
      </c>
      <c r="Q33">
        <f t="shared" si="53"/>
        <v>0</v>
      </c>
      <c r="R33">
        <f t="shared" si="53"/>
        <v>0</v>
      </c>
      <c r="S33">
        <f t="shared" si="53"/>
        <v>0</v>
      </c>
      <c r="T33">
        <f t="shared" si="53"/>
        <v>0</v>
      </c>
      <c r="U33">
        <f t="shared" si="53"/>
        <v>0</v>
      </c>
      <c r="V33">
        <f t="shared" si="54"/>
        <v>0</v>
      </c>
      <c r="W33">
        <f t="shared" si="54"/>
        <v>0</v>
      </c>
      <c r="X33">
        <f t="shared" si="54"/>
        <v>0</v>
      </c>
      <c r="Y33">
        <f t="shared" si="54"/>
        <v>0</v>
      </c>
      <c r="Z33">
        <f t="shared" si="54"/>
        <v>0</v>
      </c>
      <c r="AA33">
        <f t="shared" si="54"/>
        <v>0</v>
      </c>
      <c r="AB33">
        <f t="shared" si="54"/>
        <v>0</v>
      </c>
      <c r="AC33">
        <f t="shared" si="54"/>
        <v>0</v>
      </c>
      <c r="AD33">
        <f t="shared" si="54"/>
        <v>0</v>
      </c>
      <c r="AE33">
        <f t="shared" si="54"/>
        <v>0</v>
      </c>
      <c r="AF33">
        <f t="shared" si="55"/>
        <v>0</v>
      </c>
      <c r="AG33">
        <f t="shared" si="55"/>
        <v>0</v>
      </c>
      <c r="AH33">
        <f t="shared" si="55"/>
        <v>0</v>
      </c>
      <c r="AI33">
        <f t="shared" si="55"/>
        <v>0</v>
      </c>
      <c r="AJ33">
        <f t="shared" si="55"/>
        <v>0</v>
      </c>
      <c r="AK33">
        <f t="shared" si="55"/>
        <v>0</v>
      </c>
      <c r="AM33" s="22">
        <f t="shared" si="43"/>
        <v>0</v>
      </c>
      <c r="AP33">
        <v>31</v>
      </c>
      <c r="AQ33" s="53"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f t="shared" si="52"/>
        <v>0</v>
      </c>
      <c r="I34">
        <f t="shared" si="52"/>
        <v>0</v>
      </c>
      <c r="J34">
        <f t="shared" si="52"/>
        <v>0</v>
      </c>
      <c r="K34">
        <f t="shared" si="52"/>
        <v>0</v>
      </c>
      <c r="L34">
        <f t="shared" si="53"/>
        <v>0</v>
      </c>
      <c r="M34">
        <f t="shared" si="53"/>
        <v>0</v>
      </c>
      <c r="N34">
        <f t="shared" si="53"/>
        <v>0</v>
      </c>
      <c r="O34">
        <f t="shared" si="53"/>
        <v>0</v>
      </c>
      <c r="P34">
        <f t="shared" si="53"/>
        <v>0</v>
      </c>
      <c r="Q34">
        <f t="shared" si="53"/>
        <v>0</v>
      </c>
      <c r="R34">
        <f t="shared" si="53"/>
        <v>0</v>
      </c>
      <c r="S34">
        <f t="shared" si="53"/>
        <v>0</v>
      </c>
      <c r="T34">
        <f t="shared" si="53"/>
        <v>0</v>
      </c>
      <c r="U34">
        <f t="shared" si="53"/>
        <v>0</v>
      </c>
      <c r="V34">
        <f t="shared" si="54"/>
        <v>0</v>
      </c>
      <c r="W34">
        <f t="shared" si="54"/>
        <v>0</v>
      </c>
      <c r="X34">
        <f t="shared" si="54"/>
        <v>0</v>
      </c>
      <c r="Y34">
        <f t="shared" si="54"/>
        <v>0</v>
      </c>
      <c r="Z34">
        <f t="shared" si="54"/>
        <v>0</v>
      </c>
      <c r="AA34">
        <f t="shared" si="54"/>
        <v>0</v>
      </c>
      <c r="AB34">
        <f t="shared" si="54"/>
        <v>0</v>
      </c>
      <c r="AC34">
        <f t="shared" si="54"/>
        <v>0</v>
      </c>
      <c r="AD34">
        <f t="shared" si="54"/>
        <v>0</v>
      </c>
      <c r="AE34">
        <f t="shared" si="54"/>
        <v>0</v>
      </c>
      <c r="AF34">
        <f t="shared" si="55"/>
        <v>0</v>
      </c>
      <c r="AG34">
        <f t="shared" si="55"/>
        <v>0</v>
      </c>
      <c r="AH34">
        <f t="shared" si="55"/>
        <v>0</v>
      </c>
      <c r="AI34">
        <f t="shared" si="55"/>
        <v>0</v>
      </c>
      <c r="AJ34">
        <f t="shared" si="55"/>
        <v>0</v>
      </c>
      <c r="AK34">
        <f t="shared" si="55"/>
        <v>0</v>
      </c>
      <c r="AM34" s="22">
        <f t="shared" si="43"/>
        <v>0</v>
      </c>
      <c r="AP34">
        <v>32</v>
      </c>
      <c r="AQ34" s="53"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f t="shared" si="52"/>
        <v>0</v>
      </c>
      <c r="I35">
        <f t="shared" si="52"/>
        <v>0</v>
      </c>
      <c r="J35">
        <f t="shared" si="52"/>
        <v>0</v>
      </c>
      <c r="K35">
        <f t="shared" si="52"/>
        <v>0</v>
      </c>
      <c r="L35">
        <f t="shared" si="53"/>
        <v>0</v>
      </c>
      <c r="M35">
        <f t="shared" si="53"/>
        <v>0</v>
      </c>
      <c r="N35">
        <f t="shared" si="53"/>
        <v>0</v>
      </c>
      <c r="O35">
        <f t="shared" si="53"/>
        <v>0</v>
      </c>
      <c r="P35">
        <f t="shared" si="53"/>
        <v>0</v>
      </c>
      <c r="Q35">
        <f t="shared" si="53"/>
        <v>0</v>
      </c>
      <c r="R35">
        <f t="shared" si="53"/>
        <v>0</v>
      </c>
      <c r="S35">
        <f t="shared" si="53"/>
        <v>0</v>
      </c>
      <c r="T35">
        <f t="shared" si="53"/>
        <v>0</v>
      </c>
      <c r="U35">
        <f t="shared" si="53"/>
        <v>0</v>
      </c>
      <c r="V35">
        <f t="shared" si="54"/>
        <v>0</v>
      </c>
      <c r="W35">
        <f t="shared" si="54"/>
        <v>0</v>
      </c>
      <c r="X35">
        <f t="shared" si="54"/>
        <v>0</v>
      </c>
      <c r="Y35">
        <f t="shared" si="54"/>
        <v>0</v>
      </c>
      <c r="Z35">
        <f t="shared" si="54"/>
        <v>0</v>
      </c>
      <c r="AA35">
        <f t="shared" si="54"/>
        <v>0</v>
      </c>
      <c r="AB35">
        <f t="shared" si="54"/>
        <v>0</v>
      </c>
      <c r="AC35">
        <f t="shared" si="54"/>
        <v>0</v>
      </c>
      <c r="AD35">
        <f t="shared" si="54"/>
        <v>0</v>
      </c>
      <c r="AE35">
        <f t="shared" si="54"/>
        <v>0</v>
      </c>
      <c r="AF35">
        <f t="shared" si="55"/>
        <v>0</v>
      </c>
      <c r="AG35">
        <f t="shared" si="55"/>
        <v>0</v>
      </c>
      <c r="AH35">
        <f t="shared" si="55"/>
        <v>0</v>
      </c>
      <c r="AI35">
        <f t="shared" si="55"/>
        <v>0</v>
      </c>
      <c r="AJ35">
        <f t="shared" si="55"/>
        <v>0</v>
      </c>
      <c r="AK35">
        <f t="shared" si="55"/>
        <v>0</v>
      </c>
      <c r="AM35" s="22">
        <f t="shared" si="43"/>
        <v>0</v>
      </c>
      <c r="AP35">
        <v>33</v>
      </c>
      <c r="AQ35" s="53"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f t="shared" si="52"/>
        <v>0</v>
      </c>
      <c r="I36">
        <f t="shared" si="52"/>
        <v>0</v>
      </c>
      <c r="J36">
        <f t="shared" si="52"/>
        <v>0</v>
      </c>
      <c r="K36">
        <f t="shared" si="52"/>
        <v>0</v>
      </c>
      <c r="L36">
        <f t="shared" si="53"/>
        <v>0</v>
      </c>
      <c r="M36">
        <f t="shared" si="53"/>
        <v>0</v>
      </c>
      <c r="N36">
        <f t="shared" si="53"/>
        <v>0</v>
      </c>
      <c r="O36">
        <f t="shared" si="53"/>
        <v>0</v>
      </c>
      <c r="P36">
        <f t="shared" si="53"/>
        <v>0</v>
      </c>
      <c r="Q36">
        <f t="shared" si="53"/>
        <v>0</v>
      </c>
      <c r="R36">
        <f t="shared" si="53"/>
        <v>0</v>
      </c>
      <c r="S36">
        <f t="shared" si="53"/>
        <v>0</v>
      </c>
      <c r="T36">
        <f t="shared" si="53"/>
        <v>0</v>
      </c>
      <c r="U36">
        <f t="shared" si="53"/>
        <v>0</v>
      </c>
      <c r="V36">
        <f t="shared" si="54"/>
        <v>0</v>
      </c>
      <c r="W36">
        <f t="shared" si="54"/>
        <v>0</v>
      </c>
      <c r="X36">
        <f t="shared" si="54"/>
        <v>0</v>
      </c>
      <c r="Y36">
        <f t="shared" si="54"/>
        <v>0</v>
      </c>
      <c r="Z36">
        <f t="shared" si="54"/>
        <v>0</v>
      </c>
      <c r="AA36">
        <f t="shared" si="54"/>
        <v>0</v>
      </c>
      <c r="AB36">
        <f t="shared" si="54"/>
        <v>0</v>
      </c>
      <c r="AC36">
        <f t="shared" si="54"/>
        <v>0</v>
      </c>
      <c r="AD36">
        <f t="shared" si="54"/>
        <v>0</v>
      </c>
      <c r="AE36">
        <f t="shared" si="54"/>
        <v>0</v>
      </c>
      <c r="AF36">
        <f t="shared" si="55"/>
        <v>0</v>
      </c>
      <c r="AG36">
        <f t="shared" si="55"/>
        <v>0</v>
      </c>
      <c r="AH36">
        <f t="shared" si="55"/>
        <v>0</v>
      </c>
      <c r="AI36">
        <f t="shared" si="55"/>
        <v>0</v>
      </c>
      <c r="AJ36">
        <f t="shared" si="55"/>
        <v>0</v>
      </c>
      <c r="AK36">
        <f t="shared" si="55"/>
        <v>0</v>
      </c>
      <c r="AM36" s="22">
        <f t="shared" si="43"/>
        <v>0</v>
      </c>
      <c r="AP36">
        <v>34</v>
      </c>
      <c r="AQ36" s="53"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f t="shared" si="52"/>
        <v>0</v>
      </c>
      <c r="I37">
        <f t="shared" si="52"/>
        <v>0</v>
      </c>
      <c r="J37">
        <f t="shared" si="52"/>
        <v>0</v>
      </c>
      <c r="K37">
        <f t="shared" si="52"/>
        <v>0</v>
      </c>
      <c r="L37">
        <f t="shared" si="53"/>
        <v>0</v>
      </c>
      <c r="M37">
        <f t="shared" si="53"/>
        <v>0</v>
      </c>
      <c r="N37">
        <f t="shared" si="53"/>
        <v>0</v>
      </c>
      <c r="O37">
        <f t="shared" si="53"/>
        <v>0</v>
      </c>
      <c r="P37">
        <f t="shared" si="53"/>
        <v>0</v>
      </c>
      <c r="Q37">
        <f t="shared" si="53"/>
        <v>0</v>
      </c>
      <c r="R37">
        <f t="shared" si="53"/>
        <v>0</v>
      </c>
      <c r="S37">
        <f t="shared" si="53"/>
        <v>0</v>
      </c>
      <c r="T37">
        <f t="shared" si="53"/>
        <v>0</v>
      </c>
      <c r="U37">
        <f t="shared" si="53"/>
        <v>0</v>
      </c>
      <c r="V37">
        <f t="shared" si="54"/>
        <v>0</v>
      </c>
      <c r="W37">
        <f t="shared" si="54"/>
        <v>0</v>
      </c>
      <c r="X37">
        <f t="shared" si="54"/>
        <v>0</v>
      </c>
      <c r="Y37">
        <f t="shared" si="54"/>
        <v>0</v>
      </c>
      <c r="Z37">
        <f t="shared" si="54"/>
        <v>0</v>
      </c>
      <c r="AA37">
        <f t="shared" si="54"/>
        <v>0</v>
      </c>
      <c r="AB37">
        <f t="shared" si="54"/>
        <v>0</v>
      </c>
      <c r="AC37">
        <f t="shared" si="54"/>
        <v>0</v>
      </c>
      <c r="AD37">
        <f t="shared" si="54"/>
        <v>0</v>
      </c>
      <c r="AE37">
        <f t="shared" si="54"/>
        <v>0</v>
      </c>
      <c r="AF37">
        <f t="shared" si="55"/>
        <v>0</v>
      </c>
      <c r="AG37">
        <f t="shared" si="55"/>
        <v>0</v>
      </c>
      <c r="AH37">
        <f t="shared" si="55"/>
        <v>0</v>
      </c>
      <c r="AI37">
        <f t="shared" si="55"/>
        <v>0</v>
      </c>
      <c r="AJ37">
        <f t="shared" si="55"/>
        <v>0</v>
      </c>
      <c r="AK37">
        <f t="shared" si="55"/>
        <v>0</v>
      </c>
      <c r="AM37" s="22">
        <f t="shared" si="43"/>
        <v>0</v>
      </c>
      <c r="AQ37" s="53"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f t="shared" si="52"/>
        <v>0</v>
      </c>
      <c r="I38">
        <f t="shared" si="52"/>
        <v>0</v>
      </c>
      <c r="J38">
        <f t="shared" si="52"/>
        <v>0</v>
      </c>
      <c r="K38">
        <f t="shared" si="52"/>
        <v>0</v>
      </c>
      <c r="L38">
        <f t="shared" si="53"/>
        <v>0</v>
      </c>
      <c r="M38">
        <f t="shared" si="53"/>
        <v>0</v>
      </c>
      <c r="N38">
        <f t="shared" si="53"/>
        <v>0</v>
      </c>
      <c r="O38">
        <f t="shared" si="53"/>
        <v>0</v>
      </c>
      <c r="P38">
        <f t="shared" si="53"/>
        <v>0</v>
      </c>
      <c r="Q38">
        <f t="shared" si="53"/>
        <v>0</v>
      </c>
      <c r="R38">
        <f t="shared" si="53"/>
        <v>0</v>
      </c>
      <c r="S38">
        <f t="shared" si="53"/>
        <v>0</v>
      </c>
      <c r="T38">
        <f t="shared" si="53"/>
        <v>0</v>
      </c>
      <c r="U38">
        <f t="shared" si="53"/>
        <v>0</v>
      </c>
      <c r="V38">
        <f t="shared" si="54"/>
        <v>0</v>
      </c>
      <c r="W38">
        <f t="shared" si="54"/>
        <v>0</v>
      </c>
      <c r="X38">
        <f t="shared" si="54"/>
        <v>0</v>
      </c>
      <c r="Y38">
        <f t="shared" si="54"/>
        <v>0</v>
      </c>
      <c r="Z38">
        <f t="shared" si="54"/>
        <v>0</v>
      </c>
      <c r="AA38">
        <f t="shared" si="54"/>
        <v>0</v>
      </c>
      <c r="AB38">
        <f t="shared" si="54"/>
        <v>0</v>
      </c>
      <c r="AC38">
        <f t="shared" si="54"/>
        <v>0</v>
      </c>
      <c r="AD38">
        <f t="shared" si="54"/>
        <v>0</v>
      </c>
      <c r="AE38">
        <f t="shared" si="54"/>
        <v>0</v>
      </c>
      <c r="AF38">
        <f t="shared" si="55"/>
        <v>0</v>
      </c>
      <c r="AG38">
        <f t="shared" si="55"/>
        <v>0</v>
      </c>
      <c r="AH38">
        <f t="shared" si="55"/>
        <v>0</v>
      </c>
      <c r="AI38">
        <f t="shared" si="55"/>
        <v>0</v>
      </c>
      <c r="AJ38">
        <f t="shared" si="55"/>
        <v>0</v>
      </c>
      <c r="AK38">
        <f t="shared" si="55"/>
        <v>0</v>
      </c>
      <c r="AM38" s="22">
        <f t="shared" si="43"/>
        <v>0</v>
      </c>
      <c r="AQ38" s="53"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f t="shared" si="52"/>
        <v>0</v>
      </c>
      <c r="H39">
        <f t="shared" si="52"/>
        <v>0</v>
      </c>
      <c r="I39">
        <f t="shared" si="52"/>
        <v>0</v>
      </c>
      <c r="J39">
        <f t="shared" si="52"/>
        <v>0</v>
      </c>
      <c r="K39">
        <f t="shared" si="52"/>
        <v>0</v>
      </c>
      <c r="L39">
        <f t="shared" si="53"/>
        <v>0</v>
      </c>
      <c r="M39">
        <f t="shared" si="53"/>
        <v>0</v>
      </c>
      <c r="N39">
        <f t="shared" si="53"/>
        <v>0</v>
      </c>
      <c r="O39">
        <f t="shared" si="53"/>
        <v>0</v>
      </c>
      <c r="P39">
        <f t="shared" si="53"/>
        <v>0</v>
      </c>
      <c r="Q39">
        <f t="shared" si="53"/>
        <v>0</v>
      </c>
      <c r="R39">
        <f t="shared" si="53"/>
        <v>0</v>
      </c>
      <c r="S39">
        <f t="shared" si="53"/>
        <v>0</v>
      </c>
      <c r="T39">
        <f t="shared" si="53"/>
        <v>0</v>
      </c>
      <c r="U39">
        <f t="shared" si="53"/>
        <v>0</v>
      </c>
      <c r="V39">
        <f t="shared" si="54"/>
        <v>0</v>
      </c>
      <c r="W39">
        <f t="shared" si="54"/>
        <v>0</v>
      </c>
      <c r="X39">
        <f t="shared" si="54"/>
        <v>0</v>
      </c>
      <c r="Y39">
        <f t="shared" si="54"/>
        <v>0</v>
      </c>
      <c r="Z39">
        <f t="shared" si="54"/>
        <v>0</v>
      </c>
      <c r="AA39">
        <f t="shared" si="54"/>
        <v>0</v>
      </c>
      <c r="AB39">
        <f t="shared" si="54"/>
        <v>0</v>
      </c>
      <c r="AC39">
        <f t="shared" si="54"/>
        <v>0</v>
      </c>
      <c r="AD39">
        <f t="shared" si="54"/>
        <v>0</v>
      </c>
      <c r="AE39">
        <f t="shared" si="54"/>
        <v>0</v>
      </c>
      <c r="AF39">
        <f t="shared" si="55"/>
        <v>0</v>
      </c>
      <c r="AG39">
        <f t="shared" si="55"/>
        <v>0</v>
      </c>
      <c r="AH39">
        <f t="shared" si="55"/>
        <v>0</v>
      </c>
      <c r="AI39">
        <f t="shared" si="55"/>
        <v>0</v>
      </c>
      <c r="AJ39">
        <f t="shared" si="55"/>
        <v>0</v>
      </c>
      <c r="AK39">
        <f t="shared" si="55"/>
        <v>0</v>
      </c>
      <c r="AM39" s="22">
        <f t="shared" si="43"/>
        <v>0</v>
      </c>
      <c r="AQ39" s="53"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f t="shared" si="52"/>
        <v>0</v>
      </c>
      <c r="H40">
        <f t="shared" si="52"/>
        <v>0</v>
      </c>
      <c r="I40">
        <f t="shared" si="52"/>
        <v>0</v>
      </c>
      <c r="J40">
        <f t="shared" si="52"/>
        <v>0</v>
      </c>
      <c r="K40">
        <f t="shared" si="52"/>
        <v>0</v>
      </c>
      <c r="L40">
        <f t="shared" si="53"/>
        <v>0</v>
      </c>
      <c r="M40">
        <f t="shared" si="53"/>
        <v>0</v>
      </c>
      <c r="N40">
        <f t="shared" si="53"/>
        <v>0</v>
      </c>
      <c r="O40">
        <f t="shared" si="53"/>
        <v>0</v>
      </c>
      <c r="P40">
        <f t="shared" si="53"/>
        <v>0</v>
      </c>
      <c r="Q40">
        <f t="shared" si="53"/>
        <v>0</v>
      </c>
      <c r="R40">
        <f t="shared" si="53"/>
        <v>0</v>
      </c>
      <c r="S40">
        <f t="shared" si="53"/>
        <v>0</v>
      </c>
      <c r="T40">
        <f t="shared" si="53"/>
        <v>0</v>
      </c>
      <c r="U40">
        <f t="shared" si="53"/>
        <v>0</v>
      </c>
      <c r="V40">
        <f t="shared" si="54"/>
        <v>0</v>
      </c>
      <c r="W40">
        <f t="shared" si="54"/>
        <v>0</v>
      </c>
      <c r="X40">
        <f t="shared" si="54"/>
        <v>0</v>
      </c>
      <c r="Y40">
        <f t="shared" si="54"/>
        <v>0</v>
      </c>
      <c r="Z40">
        <f t="shared" si="54"/>
        <v>0</v>
      </c>
      <c r="AA40">
        <f t="shared" si="54"/>
        <v>0</v>
      </c>
      <c r="AB40">
        <f t="shared" si="54"/>
        <v>0</v>
      </c>
      <c r="AC40">
        <f t="shared" si="54"/>
        <v>0</v>
      </c>
      <c r="AD40">
        <f t="shared" si="54"/>
        <v>0</v>
      </c>
      <c r="AE40">
        <f t="shared" si="54"/>
        <v>0</v>
      </c>
      <c r="AF40">
        <f t="shared" si="55"/>
        <v>0</v>
      </c>
      <c r="AG40">
        <f t="shared" si="55"/>
        <v>0</v>
      </c>
      <c r="AH40">
        <f t="shared" si="55"/>
        <v>0</v>
      </c>
      <c r="AI40">
        <f t="shared" si="55"/>
        <v>0</v>
      </c>
      <c r="AJ40">
        <f t="shared" si="55"/>
        <v>0</v>
      </c>
      <c r="AK40">
        <f t="shared" si="55"/>
        <v>0</v>
      </c>
      <c r="AM40" s="22">
        <f t="shared" si="43"/>
        <v>0</v>
      </c>
      <c r="AQ40" s="53"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f t="shared" si="52"/>
        <v>0</v>
      </c>
      <c r="H41">
        <f t="shared" si="52"/>
        <v>0</v>
      </c>
      <c r="I41">
        <f t="shared" si="52"/>
        <v>0</v>
      </c>
      <c r="J41">
        <f t="shared" si="52"/>
        <v>0</v>
      </c>
      <c r="K41">
        <f t="shared" si="52"/>
        <v>0</v>
      </c>
      <c r="L41">
        <f t="shared" si="53"/>
        <v>0</v>
      </c>
      <c r="M41">
        <f t="shared" si="53"/>
        <v>0</v>
      </c>
      <c r="N41">
        <f t="shared" si="53"/>
        <v>0</v>
      </c>
      <c r="O41">
        <f t="shared" si="53"/>
        <v>0</v>
      </c>
      <c r="P41">
        <f t="shared" si="53"/>
        <v>0</v>
      </c>
      <c r="Q41">
        <f t="shared" si="53"/>
        <v>0</v>
      </c>
      <c r="R41">
        <f t="shared" si="53"/>
        <v>0</v>
      </c>
      <c r="S41">
        <f t="shared" si="53"/>
        <v>0</v>
      </c>
      <c r="T41">
        <f t="shared" si="53"/>
        <v>0</v>
      </c>
      <c r="U41">
        <f t="shared" si="53"/>
        <v>0</v>
      </c>
      <c r="V41">
        <f t="shared" si="54"/>
        <v>0</v>
      </c>
      <c r="W41">
        <f t="shared" si="54"/>
        <v>0</v>
      </c>
      <c r="X41">
        <f t="shared" si="54"/>
        <v>0</v>
      </c>
      <c r="Y41">
        <f t="shared" si="54"/>
        <v>0</v>
      </c>
      <c r="Z41">
        <f t="shared" si="54"/>
        <v>0</v>
      </c>
      <c r="AA41">
        <f t="shared" si="54"/>
        <v>0</v>
      </c>
      <c r="AB41">
        <f t="shared" si="54"/>
        <v>0</v>
      </c>
      <c r="AC41">
        <f t="shared" si="54"/>
        <v>0</v>
      </c>
      <c r="AD41">
        <f t="shared" si="54"/>
        <v>0</v>
      </c>
      <c r="AE41">
        <f t="shared" si="54"/>
        <v>0</v>
      </c>
      <c r="AF41">
        <f t="shared" si="55"/>
        <v>0</v>
      </c>
      <c r="AG41">
        <f t="shared" si="55"/>
        <v>0</v>
      </c>
      <c r="AH41">
        <f t="shared" si="55"/>
        <v>0</v>
      </c>
      <c r="AI41">
        <f t="shared" si="55"/>
        <v>0</v>
      </c>
      <c r="AJ41">
        <f t="shared" si="55"/>
        <v>0</v>
      </c>
      <c r="AK41">
        <f t="shared" si="55"/>
        <v>0</v>
      </c>
      <c r="AM41" s="22">
        <f t="shared" si="43"/>
        <v>0</v>
      </c>
      <c r="AQ41" s="53"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f t="shared" si="56"/>
        <v>0</v>
      </c>
      <c r="H42">
        <f t="shared" si="56"/>
        <v>0</v>
      </c>
      <c r="I42">
        <f t="shared" si="56"/>
        <v>0</v>
      </c>
      <c r="J42">
        <f t="shared" si="56"/>
        <v>0</v>
      </c>
      <c r="K42">
        <f t="shared" si="56"/>
        <v>0</v>
      </c>
      <c r="L42">
        <f t="shared" ref="L42:U48" si="57">IFERROR(IF(INDEX(ConDimVals,ROW(K41),COLUMN(K41))="",0,1),"")</f>
        <v>0</v>
      </c>
      <c r="M42">
        <f t="shared" si="57"/>
        <v>0</v>
      </c>
      <c r="N42">
        <f t="shared" si="57"/>
        <v>0</v>
      </c>
      <c r="O42">
        <f t="shared" si="57"/>
        <v>0</v>
      </c>
      <c r="P42">
        <f t="shared" si="57"/>
        <v>0</v>
      </c>
      <c r="Q42">
        <f t="shared" si="57"/>
        <v>0</v>
      </c>
      <c r="R42">
        <f t="shared" si="57"/>
        <v>0</v>
      </c>
      <c r="S42">
        <f t="shared" si="57"/>
        <v>0</v>
      </c>
      <c r="T42">
        <f t="shared" si="57"/>
        <v>0</v>
      </c>
      <c r="U42">
        <f t="shared" si="57"/>
        <v>0</v>
      </c>
      <c r="V42">
        <f t="shared" ref="V42:AE48" si="58">IFERROR(IF(INDEX(ConDimVals,ROW(U41),COLUMN(U41))="",0,1),"")</f>
        <v>0</v>
      </c>
      <c r="W42">
        <f t="shared" si="58"/>
        <v>0</v>
      </c>
      <c r="X42">
        <f t="shared" si="58"/>
        <v>0</v>
      </c>
      <c r="Y42">
        <f t="shared" si="58"/>
        <v>0</v>
      </c>
      <c r="Z42">
        <f t="shared" si="58"/>
        <v>0</v>
      </c>
      <c r="AA42">
        <f t="shared" si="58"/>
        <v>0</v>
      </c>
      <c r="AB42">
        <f t="shared" si="58"/>
        <v>0</v>
      </c>
      <c r="AC42">
        <f t="shared" si="58"/>
        <v>0</v>
      </c>
      <c r="AD42">
        <f t="shared" si="58"/>
        <v>0</v>
      </c>
      <c r="AE42">
        <f t="shared" si="58"/>
        <v>0</v>
      </c>
      <c r="AF42">
        <f t="shared" ref="AF42:AK48" si="59">IFERROR(IF(INDEX(ConDimVals,ROW(AE41),COLUMN(AE41))="",0,1),"")</f>
        <v>0</v>
      </c>
      <c r="AG42">
        <f t="shared" si="59"/>
        <v>0</v>
      </c>
      <c r="AH42">
        <f t="shared" si="59"/>
        <v>0</v>
      </c>
      <c r="AI42">
        <f t="shared" si="59"/>
        <v>0</v>
      </c>
      <c r="AJ42">
        <f t="shared" si="59"/>
        <v>0</v>
      </c>
      <c r="AK42">
        <f t="shared" si="59"/>
        <v>0</v>
      </c>
      <c r="AM42" s="22">
        <f t="shared" si="43"/>
        <v>0</v>
      </c>
      <c r="AQ42" s="53"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f t="shared" si="56"/>
        <v>0</v>
      </c>
      <c r="H43">
        <f t="shared" si="56"/>
        <v>0</v>
      </c>
      <c r="I43">
        <f t="shared" si="56"/>
        <v>0</v>
      </c>
      <c r="J43">
        <f t="shared" si="56"/>
        <v>0</v>
      </c>
      <c r="K43">
        <f t="shared" si="56"/>
        <v>0</v>
      </c>
      <c r="L43">
        <f t="shared" si="57"/>
        <v>0</v>
      </c>
      <c r="M43">
        <f t="shared" si="57"/>
        <v>0</v>
      </c>
      <c r="N43">
        <f t="shared" si="57"/>
        <v>0</v>
      </c>
      <c r="O43">
        <f t="shared" si="57"/>
        <v>0</v>
      </c>
      <c r="P43">
        <f t="shared" si="57"/>
        <v>0</v>
      </c>
      <c r="Q43">
        <f t="shared" si="57"/>
        <v>0</v>
      </c>
      <c r="R43">
        <f t="shared" si="57"/>
        <v>0</v>
      </c>
      <c r="S43">
        <f t="shared" si="57"/>
        <v>0</v>
      </c>
      <c r="T43">
        <f t="shared" si="57"/>
        <v>0</v>
      </c>
      <c r="U43">
        <f t="shared" si="57"/>
        <v>0</v>
      </c>
      <c r="V43">
        <f t="shared" si="58"/>
        <v>0</v>
      </c>
      <c r="W43">
        <f t="shared" si="58"/>
        <v>0</v>
      </c>
      <c r="X43">
        <f t="shared" si="58"/>
        <v>0</v>
      </c>
      <c r="Y43">
        <f t="shared" si="58"/>
        <v>0</v>
      </c>
      <c r="Z43">
        <f t="shared" si="58"/>
        <v>0</v>
      </c>
      <c r="AA43">
        <f t="shared" si="58"/>
        <v>0</v>
      </c>
      <c r="AB43">
        <f t="shared" si="58"/>
        <v>0</v>
      </c>
      <c r="AC43">
        <f t="shared" si="58"/>
        <v>0</v>
      </c>
      <c r="AD43">
        <f t="shared" si="58"/>
        <v>0</v>
      </c>
      <c r="AE43">
        <f t="shared" si="58"/>
        <v>0</v>
      </c>
      <c r="AF43">
        <f t="shared" si="59"/>
        <v>0</v>
      </c>
      <c r="AG43">
        <f t="shared" si="59"/>
        <v>0</v>
      </c>
      <c r="AH43">
        <f t="shared" si="59"/>
        <v>0</v>
      </c>
      <c r="AI43">
        <f t="shared" si="59"/>
        <v>0</v>
      </c>
      <c r="AJ43">
        <f t="shared" si="59"/>
        <v>0</v>
      </c>
      <c r="AK43">
        <f t="shared" si="59"/>
        <v>0</v>
      </c>
      <c r="AM43" s="22">
        <f t="shared" si="43"/>
        <v>0</v>
      </c>
      <c r="AQ43" s="53"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f t="shared" si="56"/>
        <v>0</v>
      </c>
      <c r="H44">
        <f t="shared" si="56"/>
        <v>0</v>
      </c>
      <c r="I44">
        <f t="shared" si="56"/>
        <v>0</v>
      </c>
      <c r="J44">
        <f t="shared" si="56"/>
        <v>0</v>
      </c>
      <c r="K44">
        <f t="shared" si="56"/>
        <v>0</v>
      </c>
      <c r="L44">
        <f t="shared" si="57"/>
        <v>0</v>
      </c>
      <c r="M44">
        <f t="shared" si="57"/>
        <v>0</v>
      </c>
      <c r="N44">
        <f t="shared" si="57"/>
        <v>0</v>
      </c>
      <c r="O44">
        <f t="shared" si="57"/>
        <v>0</v>
      </c>
      <c r="P44">
        <f t="shared" si="57"/>
        <v>0</v>
      </c>
      <c r="Q44">
        <f t="shared" si="57"/>
        <v>0</v>
      </c>
      <c r="R44">
        <f t="shared" si="57"/>
        <v>0</v>
      </c>
      <c r="S44">
        <f t="shared" si="57"/>
        <v>0</v>
      </c>
      <c r="T44">
        <f t="shared" si="57"/>
        <v>0</v>
      </c>
      <c r="U44">
        <f t="shared" si="57"/>
        <v>0</v>
      </c>
      <c r="V44">
        <f t="shared" si="58"/>
        <v>0</v>
      </c>
      <c r="W44">
        <f t="shared" si="58"/>
        <v>0</v>
      </c>
      <c r="X44">
        <f t="shared" si="58"/>
        <v>0</v>
      </c>
      <c r="Y44">
        <f t="shared" si="58"/>
        <v>0</v>
      </c>
      <c r="Z44">
        <f t="shared" si="58"/>
        <v>0</v>
      </c>
      <c r="AA44">
        <f t="shared" si="58"/>
        <v>0</v>
      </c>
      <c r="AB44">
        <f t="shared" si="58"/>
        <v>0</v>
      </c>
      <c r="AC44">
        <f t="shared" si="58"/>
        <v>0</v>
      </c>
      <c r="AD44">
        <f t="shared" si="58"/>
        <v>0</v>
      </c>
      <c r="AE44">
        <f t="shared" si="58"/>
        <v>0</v>
      </c>
      <c r="AF44">
        <f t="shared" si="59"/>
        <v>0</v>
      </c>
      <c r="AG44">
        <f t="shared" si="59"/>
        <v>0</v>
      </c>
      <c r="AH44">
        <f t="shared" si="59"/>
        <v>0</v>
      </c>
      <c r="AI44">
        <f t="shared" si="59"/>
        <v>0</v>
      </c>
      <c r="AJ44">
        <f t="shared" si="59"/>
        <v>0</v>
      </c>
      <c r="AK44">
        <f t="shared" si="59"/>
        <v>0</v>
      </c>
      <c r="AM44" s="22">
        <f t="shared" si="43"/>
        <v>0</v>
      </c>
      <c r="AQ44" s="53"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f t="shared" si="56"/>
        <v>0</v>
      </c>
      <c r="H45">
        <f t="shared" si="56"/>
        <v>0</v>
      </c>
      <c r="I45">
        <f t="shared" si="56"/>
        <v>0</v>
      </c>
      <c r="J45">
        <f t="shared" si="56"/>
        <v>0</v>
      </c>
      <c r="K45">
        <f t="shared" si="56"/>
        <v>0</v>
      </c>
      <c r="L45">
        <f t="shared" si="57"/>
        <v>0</v>
      </c>
      <c r="M45">
        <f t="shared" si="57"/>
        <v>0</v>
      </c>
      <c r="N45">
        <f t="shared" si="57"/>
        <v>0</v>
      </c>
      <c r="O45">
        <f t="shared" si="57"/>
        <v>0</v>
      </c>
      <c r="P45">
        <f t="shared" si="57"/>
        <v>0</v>
      </c>
      <c r="Q45">
        <f t="shared" si="57"/>
        <v>0</v>
      </c>
      <c r="R45">
        <f t="shared" si="57"/>
        <v>0</v>
      </c>
      <c r="S45">
        <f t="shared" si="57"/>
        <v>0</v>
      </c>
      <c r="T45">
        <f t="shared" si="57"/>
        <v>0</v>
      </c>
      <c r="U45">
        <f t="shared" si="57"/>
        <v>0</v>
      </c>
      <c r="V45">
        <f t="shared" si="58"/>
        <v>0</v>
      </c>
      <c r="W45">
        <f t="shared" si="58"/>
        <v>0</v>
      </c>
      <c r="X45">
        <f t="shared" si="58"/>
        <v>0</v>
      </c>
      <c r="Y45">
        <f t="shared" si="58"/>
        <v>0</v>
      </c>
      <c r="Z45">
        <f t="shared" si="58"/>
        <v>0</v>
      </c>
      <c r="AA45">
        <f t="shared" si="58"/>
        <v>0</v>
      </c>
      <c r="AB45">
        <f t="shared" si="58"/>
        <v>0</v>
      </c>
      <c r="AC45">
        <f t="shared" si="58"/>
        <v>0</v>
      </c>
      <c r="AD45">
        <f t="shared" si="58"/>
        <v>0</v>
      </c>
      <c r="AE45">
        <f t="shared" si="58"/>
        <v>0</v>
      </c>
      <c r="AF45">
        <f t="shared" si="59"/>
        <v>0</v>
      </c>
      <c r="AG45">
        <f t="shared" si="59"/>
        <v>0</v>
      </c>
      <c r="AH45">
        <f t="shared" si="59"/>
        <v>0</v>
      </c>
      <c r="AI45">
        <f t="shared" si="59"/>
        <v>0</v>
      </c>
      <c r="AJ45">
        <f t="shared" si="59"/>
        <v>0</v>
      </c>
      <c r="AK45">
        <f t="shared" si="59"/>
        <v>0</v>
      </c>
      <c r="AM45" s="22">
        <f t="shared" si="43"/>
        <v>0</v>
      </c>
      <c r="AQ45" s="53"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f t="shared" si="56"/>
        <v>0</v>
      </c>
      <c r="H46">
        <f t="shared" si="56"/>
        <v>0</v>
      </c>
      <c r="I46">
        <f t="shared" si="56"/>
        <v>0</v>
      </c>
      <c r="J46">
        <f t="shared" si="56"/>
        <v>0</v>
      </c>
      <c r="K46">
        <f t="shared" si="56"/>
        <v>0</v>
      </c>
      <c r="L46">
        <f t="shared" si="57"/>
        <v>0</v>
      </c>
      <c r="M46">
        <f t="shared" si="57"/>
        <v>0</v>
      </c>
      <c r="N46">
        <f t="shared" si="57"/>
        <v>0</v>
      </c>
      <c r="O46">
        <f t="shared" si="57"/>
        <v>0</v>
      </c>
      <c r="P46">
        <f t="shared" si="57"/>
        <v>0</v>
      </c>
      <c r="Q46">
        <f t="shared" si="57"/>
        <v>0</v>
      </c>
      <c r="R46">
        <f t="shared" si="57"/>
        <v>0</v>
      </c>
      <c r="S46">
        <f t="shared" si="57"/>
        <v>0</v>
      </c>
      <c r="T46">
        <f t="shared" si="57"/>
        <v>0</v>
      </c>
      <c r="U46">
        <f t="shared" si="57"/>
        <v>0</v>
      </c>
      <c r="V46">
        <f t="shared" si="58"/>
        <v>0</v>
      </c>
      <c r="W46">
        <f t="shared" si="58"/>
        <v>0</v>
      </c>
      <c r="X46">
        <f t="shared" si="58"/>
        <v>0</v>
      </c>
      <c r="Y46">
        <f t="shared" si="58"/>
        <v>0</v>
      </c>
      <c r="Z46">
        <f t="shared" si="58"/>
        <v>0</v>
      </c>
      <c r="AA46">
        <f t="shared" si="58"/>
        <v>0</v>
      </c>
      <c r="AB46">
        <f t="shared" si="58"/>
        <v>0</v>
      </c>
      <c r="AC46">
        <f t="shared" si="58"/>
        <v>0</v>
      </c>
      <c r="AD46">
        <f t="shared" si="58"/>
        <v>0</v>
      </c>
      <c r="AE46">
        <f t="shared" si="58"/>
        <v>0</v>
      </c>
      <c r="AF46">
        <f t="shared" si="59"/>
        <v>0</v>
      </c>
      <c r="AG46">
        <f t="shared" si="59"/>
        <v>0</v>
      </c>
      <c r="AH46">
        <f t="shared" si="59"/>
        <v>0</v>
      </c>
      <c r="AI46">
        <f t="shared" si="59"/>
        <v>0</v>
      </c>
      <c r="AJ46">
        <f t="shared" si="59"/>
        <v>0</v>
      </c>
      <c r="AK46">
        <f t="shared" si="59"/>
        <v>0</v>
      </c>
      <c r="AM46" s="22">
        <f t="shared" si="43"/>
        <v>0</v>
      </c>
      <c r="AQ46" s="53"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f t="shared" si="56"/>
        <v>0</v>
      </c>
      <c r="H47">
        <f t="shared" si="56"/>
        <v>0</v>
      </c>
      <c r="I47">
        <f t="shared" si="56"/>
        <v>0</v>
      </c>
      <c r="J47">
        <f t="shared" si="56"/>
        <v>0</v>
      </c>
      <c r="K47">
        <f t="shared" si="56"/>
        <v>0</v>
      </c>
      <c r="L47">
        <f t="shared" si="57"/>
        <v>0</v>
      </c>
      <c r="M47">
        <f t="shared" si="57"/>
        <v>0</v>
      </c>
      <c r="N47">
        <f t="shared" si="57"/>
        <v>0</v>
      </c>
      <c r="O47">
        <f t="shared" si="57"/>
        <v>0</v>
      </c>
      <c r="P47">
        <f t="shared" si="57"/>
        <v>0</v>
      </c>
      <c r="Q47">
        <f t="shared" si="57"/>
        <v>0</v>
      </c>
      <c r="R47">
        <f t="shared" si="57"/>
        <v>0</v>
      </c>
      <c r="S47">
        <f t="shared" si="57"/>
        <v>0</v>
      </c>
      <c r="T47">
        <f t="shared" si="57"/>
        <v>0</v>
      </c>
      <c r="U47">
        <f t="shared" si="57"/>
        <v>0</v>
      </c>
      <c r="V47">
        <f t="shared" si="58"/>
        <v>0</v>
      </c>
      <c r="W47">
        <f t="shared" si="58"/>
        <v>0</v>
      </c>
      <c r="X47">
        <f t="shared" si="58"/>
        <v>0</v>
      </c>
      <c r="Y47">
        <f t="shared" si="58"/>
        <v>0</v>
      </c>
      <c r="Z47">
        <f t="shared" si="58"/>
        <v>0</v>
      </c>
      <c r="AA47">
        <f t="shared" si="58"/>
        <v>0</v>
      </c>
      <c r="AB47">
        <f t="shared" si="58"/>
        <v>0</v>
      </c>
      <c r="AC47">
        <f t="shared" si="58"/>
        <v>0</v>
      </c>
      <c r="AD47">
        <f t="shared" si="58"/>
        <v>0</v>
      </c>
      <c r="AE47">
        <f t="shared" si="58"/>
        <v>0</v>
      </c>
      <c r="AF47">
        <f t="shared" si="59"/>
        <v>0</v>
      </c>
      <c r="AG47">
        <f t="shared" si="59"/>
        <v>0</v>
      </c>
      <c r="AH47">
        <f t="shared" si="59"/>
        <v>0</v>
      </c>
      <c r="AI47">
        <f t="shared" si="59"/>
        <v>0</v>
      </c>
      <c r="AJ47">
        <f t="shared" si="59"/>
        <v>0</v>
      </c>
      <c r="AK47">
        <f t="shared" si="59"/>
        <v>0</v>
      </c>
      <c r="AM47" s="22">
        <f t="shared" si="43"/>
        <v>0</v>
      </c>
      <c r="AQ47" s="53"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f t="shared" si="56"/>
        <v>0</v>
      </c>
      <c r="H48">
        <f t="shared" si="56"/>
        <v>0</v>
      </c>
      <c r="I48">
        <f t="shared" si="56"/>
        <v>0</v>
      </c>
      <c r="J48">
        <f t="shared" si="56"/>
        <v>0</v>
      </c>
      <c r="K48">
        <f t="shared" si="56"/>
        <v>0</v>
      </c>
      <c r="L48">
        <f t="shared" si="57"/>
        <v>0</v>
      </c>
      <c r="M48">
        <f t="shared" si="57"/>
        <v>0</v>
      </c>
      <c r="N48">
        <f t="shared" si="57"/>
        <v>0</v>
      </c>
      <c r="O48">
        <f t="shared" si="57"/>
        <v>0</v>
      </c>
      <c r="P48">
        <f t="shared" si="57"/>
        <v>0</v>
      </c>
      <c r="Q48">
        <f t="shared" si="57"/>
        <v>0</v>
      </c>
      <c r="R48">
        <f t="shared" si="57"/>
        <v>0</v>
      </c>
      <c r="S48">
        <f t="shared" si="57"/>
        <v>0</v>
      </c>
      <c r="T48">
        <f t="shared" si="57"/>
        <v>0</v>
      </c>
      <c r="U48">
        <f t="shared" si="57"/>
        <v>0</v>
      </c>
      <c r="V48">
        <f t="shared" si="58"/>
        <v>0</v>
      </c>
      <c r="W48">
        <f t="shared" si="58"/>
        <v>0</v>
      </c>
      <c r="X48">
        <f t="shared" si="58"/>
        <v>0</v>
      </c>
      <c r="Y48">
        <f t="shared" si="58"/>
        <v>0</v>
      </c>
      <c r="Z48">
        <f t="shared" si="58"/>
        <v>0</v>
      </c>
      <c r="AA48">
        <f t="shared" si="58"/>
        <v>0</v>
      </c>
      <c r="AB48">
        <f t="shared" si="58"/>
        <v>0</v>
      </c>
      <c r="AC48">
        <f t="shared" si="58"/>
        <v>0</v>
      </c>
      <c r="AD48">
        <f t="shared" si="58"/>
        <v>0</v>
      </c>
      <c r="AE48">
        <f t="shared" si="58"/>
        <v>0</v>
      </c>
      <c r="AF48">
        <f t="shared" si="59"/>
        <v>0</v>
      </c>
      <c r="AG48">
        <f t="shared" si="59"/>
        <v>0</v>
      </c>
      <c r="AH48">
        <f t="shared" si="59"/>
        <v>0</v>
      </c>
      <c r="AI48">
        <f t="shared" si="59"/>
        <v>0</v>
      </c>
      <c r="AJ48">
        <f t="shared" si="59"/>
        <v>0</v>
      </c>
      <c r="AK48">
        <f t="shared" si="59"/>
        <v>0</v>
      </c>
      <c r="AM48" s="22">
        <f t="shared" si="43"/>
        <v>0</v>
      </c>
      <c r="AQ48" s="53" t="str">
        <f>IFERROR(LOOKUP(2,1/(COUNTIF($AQ$1:AQ47,CountDSDs)=0),CountDSDs),"")</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8" sqref="A28"/>
    </sheetView>
  </sheetViews>
  <sheetFormatPr defaultRowHeight="11.25" x14ac:dyDescent="0.2"/>
  <cols>
    <col min="1" max="1" width="93" customWidth="1"/>
  </cols>
  <sheetData>
    <row r="1" spans="1:2" x14ac:dyDescent="0.2">
      <c r="A1" s="3" t="s">
        <v>229</v>
      </c>
      <c r="B1" s="3" t="s">
        <v>236</v>
      </c>
    </row>
    <row r="2" spans="1:2" x14ac:dyDescent="0.2">
      <c r="A2" s="4" t="s">
        <v>332</v>
      </c>
      <c r="B2" s="4"/>
    </row>
    <row r="3" spans="1:2" x14ac:dyDescent="0.2">
      <c r="A3" s="3" t="s">
        <v>319</v>
      </c>
    </row>
    <row r="4" spans="1:2" x14ac:dyDescent="0.2">
      <c r="A4" s="4" t="s">
        <v>328</v>
      </c>
      <c r="B4" s="4"/>
    </row>
    <row r="5" spans="1:2" s="3" customFormat="1" x14ac:dyDescent="0.2">
      <c r="A5" s="3" t="s">
        <v>254</v>
      </c>
    </row>
    <row r="6" spans="1:2" x14ac:dyDescent="0.2">
      <c r="A6" t="s">
        <v>255</v>
      </c>
      <c r="B6" s="4"/>
    </row>
    <row r="7" spans="1:2" x14ac:dyDescent="0.2">
      <c r="A7" s="3" t="s">
        <v>253</v>
      </c>
    </row>
    <row r="8" spans="1:2" x14ac:dyDescent="0.2">
      <c r="A8" s="4" t="s">
        <v>329</v>
      </c>
    </row>
    <row r="9" spans="1:2" x14ac:dyDescent="0.2">
      <c r="A9" s="3" t="s">
        <v>256</v>
      </c>
      <c r="B9" s="4"/>
    </row>
    <row r="10" spans="1:2" x14ac:dyDescent="0.2">
      <c r="A10" s="4" t="s">
        <v>260</v>
      </c>
      <c r="B10" s="4"/>
    </row>
    <row r="11" spans="1:2" x14ac:dyDescent="0.2">
      <c r="A11" s="3" t="s">
        <v>257</v>
      </c>
      <c r="B11" s="4"/>
    </row>
    <row r="12" spans="1:2" x14ac:dyDescent="0.2">
      <c r="A12" s="4" t="s">
        <v>261</v>
      </c>
      <c r="B12" s="4"/>
    </row>
    <row r="13" spans="1:2" x14ac:dyDescent="0.2">
      <c r="A13" s="3" t="s">
        <v>258</v>
      </c>
      <c r="B13" s="4"/>
    </row>
    <row r="14" spans="1:2" x14ac:dyDescent="0.2">
      <c r="A14" s="4" t="s">
        <v>277</v>
      </c>
      <c r="B14" s="4"/>
    </row>
    <row r="15" spans="1:2" x14ac:dyDescent="0.2">
      <c r="A15" s="3" t="s">
        <v>259</v>
      </c>
      <c r="B15" s="4"/>
    </row>
    <row r="16" spans="1:2" x14ac:dyDescent="0.2">
      <c r="A16" s="4" t="s">
        <v>262</v>
      </c>
      <c r="B16" s="4"/>
    </row>
    <row r="17" spans="1:2" x14ac:dyDescent="0.2">
      <c r="A17" s="3" t="s">
        <v>283</v>
      </c>
    </row>
    <row r="18" spans="1:2" x14ac:dyDescent="0.2">
      <c r="A18" t="s">
        <v>285</v>
      </c>
      <c r="B18" s="4"/>
    </row>
    <row r="19" spans="1:2" x14ac:dyDescent="0.2">
      <c r="A19" s="3" t="s">
        <v>284</v>
      </c>
      <c r="B19" s="4"/>
    </row>
    <row r="20" spans="1:2" x14ac:dyDescent="0.2">
      <c r="A20" s="4" t="s">
        <v>330</v>
      </c>
      <c r="B20" s="4"/>
    </row>
    <row r="21" spans="1:2" x14ac:dyDescent="0.2">
      <c r="A21" s="3" t="s">
        <v>313</v>
      </c>
    </row>
    <row r="22" spans="1:2" x14ac:dyDescent="0.2">
      <c r="A22" s="4"/>
      <c r="B22" s="4"/>
    </row>
    <row r="23" spans="1:2" x14ac:dyDescent="0.2">
      <c r="A23" s="3" t="s">
        <v>314</v>
      </c>
    </row>
    <row r="24" spans="1:2" x14ac:dyDescent="0.2">
      <c r="A24" s="4" t="s">
        <v>331</v>
      </c>
    </row>
    <row r="25" spans="1:2" x14ac:dyDescent="0.2">
      <c r="A25" s="3" t="s">
        <v>318</v>
      </c>
    </row>
    <row r="26" spans="1:2" x14ac:dyDescent="0.2">
      <c r="A26" s="4" t="s">
        <v>488</v>
      </c>
      <c r="B26" s="4" t="s">
        <v>237</v>
      </c>
    </row>
    <row r="27" spans="1:2" x14ac:dyDescent="0.2">
      <c r="A27" s="3" t="s">
        <v>477</v>
      </c>
    </row>
    <row r="28" spans="1:2" x14ac:dyDescent="0.2">
      <c r="A28" s="4" t="s">
        <v>484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46"/>
    <col min="2" max="2" width="9.1640625" style="46" bestFit="1" customWidth="1"/>
    <col min="3" max="3" width="14.1640625" style="46" bestFit="1" customWidth="1"/>
    <col min="4" max="4" width="14.83203125" style="46"/>
    <col min="5" max="5" width="17.1640625" style="46" bestFit="1" customWidth="1"/>
    <col min="6" max="6" width="10.5" style="46" bestFit="1" customWidth="1"/>
    <col min="7" max="7" width="14.83203125" style="46"/>
    <col min="8" max="8" width="20.83203125" style="46" bestFit="1" customWidth="1"/>
    <col min="9" max="16384" width="14.83203125" style="46"/>
  </cols>
  <sheetData>
    <row r="1" spans="1:8" x14ac:dyDescent="0.25">
      <c r="A1" s="46" t="s">
        <v>316</v>
      </c>
      <c r="B1" s="46" t="s">
        <v>18</v>
      </c>
      <c r="C1" s="46" t="s">
        <v>16</v>
      </c>
      <c r="D1" s="46" t="s">
        <v>249</v>
      </c>
      <c r="E1" s="46" t="s">
        <v>30</v>
      </c>
      <c r="F1" s="46" t="s">
        <v>327</v>
      </c>
      <c r="H1" s="45"/>
    </row>
    <row r="2" spans="1:8" x14ac:dyDescent="0.25">
      <c r="A2" s="104" t="s">
        <v>479</v>
      </c>
      <c r="B2" s="46" t="s">
        <v>11</v>
      </c>
      <c r="D2" s="46" t="s">
        <v>498</v>
      </c>
      <c r="F2" s="46" t="b">
        <v>1</v>
      </c>
    </row>
    <row r="3" spans="1:8" x14ac:dyDescent="0.25">
      <c r="A3" s="104" t="s">
        <v>480</v>
      </c>
      <c r="B3" s="46" t="s">
        <v>1</v>
      </c>
      <c r="C3" s="46" t="s">
        <v>499</v>
      </c>
      <c r="D3" s="46" t="s">
        <v>250</v>
      </c>
      <c r="F3" s="46" t="b">
        <v>0</v>
      </c>
    </row>
    <row r="4" spans="1:8" x14ac:dyDescent="0.25">
      <c r="A4" s="104" t="s">
        <v>481</v>
      </c>
      <c r="B4" s="46" t="s">
        <v>495</v>
      </c>
      <c r="C4" s="93" t="s">
        <v>317</v>
      </c>
      <c r="D4" s="93"/>
      <c r="F4" s="46" t="b">
        <v>1</v>
      </c>
    </row>
    <row r="5" spans="1:8" x14ac:dyDescent="0.25">
      <c r="A5" s="104" t="s">
        <v>482</v>
      </c>
      <c r="B5" s="46" t="s">
        <v>1</v>
      </c>
      <c r="E5" s="46" t="s">
        <v>12</v>
      </c>
      <c r="F5" s="46" t="b">
        <v>0</v>
      </c>
    </row>
    <row r="6" spans="1:8" x14ac:dyDescent="0.25">
      <c r="A6" s="105" t="s">
        <v>483</v>
      </c>
      <c r="B6" s="46" t="s">
        <v>7</v>
      </c>
      <c r="F6" s="46" t="b">
        <v>0</v>
      </c>
    </row>
    <row r="7" spans="1:8" x14ac:dyDescent="0.25">
      <c r="A7" s="94"/>
    </row>
    <row r="8" spans="1:8" x14ac:dyDescent="0.25">
      <c r="A8" s="104"/>
    </row>
    <row r="9" spans="1:8" x14ac:dyDescent="0.25">
      <c r="A9" s="104"/>
    </row>
    <row r="10" spans="1:8" x14ac:dyDescent="0.25">
      <c r="A10" s="104"/>
    </row>
    <row r="11" spans="1:8" x14ac:dyDescent="0.25">
      <c r="A11" s="104"/>
    </row>
    <row r="12" spans="1:8" x14ac:dyDescent="0.25">
      <c r="A12" s="104"/>
    </row>
    <row r="13" spans="1:8" x14ac:dyDescent="0.25">
      <c r="A13" s="105"/>
      <c r="B13" s="93"/>
      <c r="C13" s="93"/>
      <c r="D13" s="93"/>
      <c r="E13" s="93"/>
      <c r="F13" s="93"/>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G999"/>
  <sheetViews>
    <sheetView zoomScaleNormal="100" workbookViewId="0">
      <pane xSplit="2" ySplit="2" topLeftCell="C3" activePane="bottomRight" state="frozen"/>
      <selection activeCell="D4" sqref="D4:XFD4"/>
      <selection pane="topRight" activeCell="D4" sqref="D4:XFD4"/>
      <selection pane="bottomLeft" activeCell="D4" sqref="D4:XFD4"/>
      <selection pane="bottomRight" activeCell="E12" sqref="E1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46" customFormat="1" x14ac:dyDescent="0.2">
      <c r="A1" s="146" t="s">
        <v>556</v>
      </c>
      <c r="B1" s="146" t="s">
        <v>553</v>
      </c>
      <c r="C1" s="146" t="s">
        <v>500</v>
      </c>
    </row>
    <row r="2" spans="1:7" s="146" customFormat="1" x14ac:dyDescent="0.2">
      <c r="C2" s="146" t="s">
        <v>18</v>
      </c>
      <c r="D2" s="146" t="s">
        <v>249</v>
      </c>
      <c r="E2" s="146" t="s">
        <v>30</v>
      </c>
      <c r="F2" s="146" t="s">
        <v>16</v>
      </c>
      <c r="G2" s="146" t="s">
        <v>276</v>
      </c>
    </row>
    <row r="3" spans="1:7" x14ac:dyDescent="0.2">
      <c r="A3" t="s">
        <v>554</v>
      </c>
      <c r="B3" t="s">
        <v>481</v>
      </c>
      <c r="C3" t="s">
        <v>555</v>
      </c>
      <c r="E3" t="s">
        <v>575</v>
      </c>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zoomScaleNormal="100" workbookViewId="0">
      <pane ySplit="4" topLeftCell="A5" activePane="bottomLeft" state="frozen"/>
      <selection activeCell="D4" sqref="D4:XFD4"/>
      <selection pane="bottomLeft" activeCell="E10" sqref="E10"/>
    </sheetView>
  </sheetViews>
  <sheetFormatPr defaultRowHeight="15" x14ac:dyDescent="0.2"/>
  <cols>
    <col min="1" max="1" width="18.6640625" style="87" bestFit="1" customWidth="1"/>
    <col min="2" max="2" width="22.33203125" style="87" customWidth="1"/>
    <col min="3" max="3" width="59.1640625" style="85" customWidth="1"/>
    <col min="4" max="4" width="12.83203125" style="85" bestFit="1" customWidth="1"/>
    <col min="5" max="5" width="13.5" style="87" bestFit="1" customWidth="1"/>
    <col min="6" max="6" width="12" style="87" bestFit="1" customWidth="1"/>
    <col min="7" max="7" width="13" style="87" bestFit="1" customWidth="1"/>
    <col min="8" max="8" width="11.1640625" style="87" bestFit="1" customWidth="1"/>
    <col min="9" max="9" width="8.1640625" style="83" bestFit="1" customWidth="1"/>
    <col min="10" max="10" width="8.5" style="87" bestFit="1" customWidth="1"/>
    <col min="11" max="16384" width="9.33203125" style="87"/>
  </cols>
  <sheetData>
    <row r="1" spans="1:11" s="108" customFormat="1" x14ac:dyDescent="0.2">
      <c r="A1" s="107" t="s">
        <v>48</v>
      </c>
      <c r="B1" s="297" t="s">
        <v>15</v>
      </c>
      <c r="C1" s="109" t="s">
        <v>49</v>
      </c>
      <c r="D1" s="298" t="s">
        <v>126</v>
      </c>
      <c r="E1" s="107" t="s">
        <v>226</v>
      </c>
      <c r="F1" s="297" t="s">
        <v>5</v>
      </c>
      <c r="G1" s="107" t="s">
        <v>9</v>
      </c>
      <c r="H1" s="297" t="s">
        <v>290</v>
      </c>
      <c r="I1" s="107" t="s">
        <v>327</v>
      </c>
      <c r="J1" s="297" t="b">
        <v>0</v>
      </c>
    </row>
    <row r="2" spans="1:11" s="128" customFormat="1" x14ac:dyDescent="0.25">
      <c r="A2" s="127" t="s">
        <v>580</v>
      </c>
      <c r="B2" s="177" t="s">
        <v>579</v>
      </c>
      <c r="C2" s="177" t="s">
        <v>215</v>
      </c>
      <c r="D2" s="177" t="s">
        <v>577</v>
      </c>
      <c r="F2" s="292" t="s">
        <v>501</v>
      </c>
      <c r="G2" s="293"/>
      <c r="H2" s="293"/>
      <c r="I2" s="293"/>
      <c r="J2" s="293"/>
      <c r="K2" s="294"/>
    </row>
    <row r="3" spans="1:11" s="128" customFormat="1" x14ac:dyDescent="0.25">
      <c r="A3" s="177" t="s">
        <v>620</v>
      </c>
      <c r="B3" s="177" t="s">
        <v>576</v>
      </c>
      <c r="C3" s="177" t="s">
        <v>502</v>
      </c>
      <c r="D3" s="177" t="s">
        <v>578</v>
      </c>
      <c r="F3" s="131" t="s">
        <v>502</v>
      </c>
      <c r="G3" s="132" t="s">
        <v>481</v>
      </c>
      <c r="H3" s="132"/>
      <c r="I3" s="132"/>
      <c r="J3" s="132"/>
      <c r="K3" s="132"/>
    </row>
    <row r="4" spans="1:11" s="75" customFormat="1" x14ac:dyDescent="0.2">
      <c r="A4" s="125" t="s">
        <v>6</v>
      </c>
      <c r="B4" s="125" t="s">
        <v>226</v>
      </c>
      <c r="C4" s="125" t="s">
        <v>9</v>
      </c>
      <c r="D4" s="125" t="s">
        <v>50</v>
      </c>
      <c r="E4" s="125" t="s">
        <v>503</v>
      </c>
      <c r="F4" s="133" t="s">
        <v>500</v>
      </c>
      <c r="G4" s="134" t="s">
        <v>18</v>
      </c>
      <c r="H4" s="134"/>
      <c r="I4" s="134"/>
      <c r="J4" s="134"/>
      <c r="K4" s="134"/>
    </row>
    <row r="5" spans="1:11" ht="30" x14ac:dyDescent="0.2">
      <c r="A5" s="83" t="s">
        <v>11</v>
      </c>
      <c r="B5" s="83" t="s">
        <v>24</v>
      </c>
      <c r="C5" s="84" t="s">
        <v>129</v>
      </c>
      <c r="E5" s="86"/>
      <c r="F5" s="86"/>
      <c r="G5" s="134">
        <v>1</v>
      </c>
      <c r="H5" s="134"/>
      <c r="I5" s="134"/>
      <c r="J5" s="134"/>
      <c r="K5" s="134"/>
    </row>
    <row r="6" spans="1:11" ht="30" x14ac:dyDescent="0.2">
      <c r="A6" s="83" t="s">
        <v>2</v>
      </c>
      <c r="B6" s="83" t="s">
        <v>72</v>
      </c>
      <c r="C6" s="84" t="s">
        <v>130</v>
      </c>
      <c r="E6" s="86"/>
      <c r="F6" s="86"/>
      <c r="G6" s="134"/>
      <c r="H6" s="134"/>
      <c r="I6" s="134"/>
      <c r="J6" s="134"/>
      <c r="K6" s="134"/>
    </row>
    <row r="7" spans="1:11" ht="30" x14ac:dyDescent="0.2">
      <c r="A7" s="83" t="s">
        <v>7</v>
      </c>
      <c r="B7" s="83" t="s">
        <v>25</v>
      </c>
      <c r="C7" s="84" t="s">
        <v>131</v>
      </c>
      <c r="E7" s="86"/>
      <c r="F7" s="86"/>
      <c r="G7" s="134">
        <v>1</v>
      </c>
      <c r="H7" s="134"/>
      <c r="I7" s="134"/>
      <c r="J7" s="134"/>
      <c r="K7" s="134"/>
    </row>
    <row r="8" spans="1:11" ht="30" x14ac:dyDescent="0.2">
      <c r="A8" s="83" t="s">
        <v>1</v>
      </c>
      <c r="B8" s="83" t="s">
        <v>68</v>
      </c>
      <c r="C8" s="84" t="s">
        <v>132</v>
      </c>
      <c r="E8" s="86"/>
      <c r="F8" s="86"/>
      <c r="G8" s="134">
        <v>1</v>
      </c>
      <c r="H8" s="134"/>
      <c r="I8" s="134"/>
      <c r="J8" s="134"/>
      <c r="K8" s="134"/>
    </row>
    <row r="9" spans="1:11" ht="30" x14ac:dyDescent="0.2">
      <c r="A9" s="83" t="s">
        <v>14</v>
      </c>
      <c r="B9" s="83" t="s">
        <v>74</v>
      </c>
      <c r="C9" s="84" t="s">
        <v>133</v>
      </c>
      <c r="E9" s="86"/>
      <c r="F9" s="86"/>
      <c r="G9" s="134"/>
      <c r="H9" s="134"/>
      <c r="I9" s="134"/>
      <c r="J9" s="134"/>
      <c r="K9" s="134"/>
    </row>
    <row r="10" spans="1:11" ht="30" x14ac:dyDescent="0.2">
      <c r="A10" s="83" t="s">
        <v>3</v>
      </c>
      <c r="B10" s="83" t="s">
        <v>127</v>
      </c>
      <c r="C10" s="84" t="s">
        <v>134</v>
      </c>
      <c r="E10" s="86"/>
      <c r="F10" s="86"/>
      <c r="G10" s="134"/>
      <c r="H10" s="134"/>
      <c r="I10" s="134"/>
      <c r="J10" s="134"/>
      <c r="K10" s="134"/>
    </row>
    <row r="11" spans="1:11" ht="30" x14ac:dyDescent="0.2">
      <c r="A11" s="83" t="s">
        <v>0</v>
      </c>
      <c r="B11" s="83" t="s">
        <v>26</v>
      </c>
      <c r="C11" s="84" t="s">
        <v>135</v>
      </c>
      <c r="E11" s="86"/>
      <c r="F11" s="86"/>
      <c r="G11" s="134"/>
      <c r="H11" s="134"/>
      <c r="I11" s="134"/>
      <c r="J11" s="134"/>
      <c r="K11" s="134"/>
    </row>
    <row r="12" spans="1:11" ht="120" x14ac:dyDescent="0.2">
      <c r="A12" s="83" t="s">
        <v>8</v>
      </c>
      <c r="B12" s="83" t="s">
        <v>128</v>
      </c>
      <c r="C12" s="84" t="s">
        <v>136</v>
      </c>
      <c r="E12" s="86"/>
      <c r="F12" s="86"/>
      <c r="G12" s="134"/>
      <c r="H12" s="134"/>
      <c r="I12" s="134"/>
      <c r="J12" s="134"/>
      <c r="K12" s="134"/>
    </row>
    <row r="13" spans="1:11" ht="120" x14ac:dyDescent="0.2">
      <c r="A13" s="83" t="s">
        <v>12</v>
      </c>
      <c r="B13" s="83" t="s">
        <v>76</v>
      </c>
      <c r="C13" s="84" t="s">
        <v>137</v>
      </c>
      <c r="E13" s="86"/>
      <c r="F13" s="86"/>
      <c r="G13" s="134"/>
      <c r="H13" s="134"/>
      <c r="I13" s="134"/>
      <c r="J13" s="134"/>
      <c r="K13" s="134"/>
    </row>
    <row r="14" spans="1:11" x14ac:dyDescent="0.2">
      <c r="E14" s="85"/>
      <c r="F14" s="85"/>
      <c r="G14" s="85"/>
      <c r="H14" s="85"/>
      <c r="I14" s="88"/>
    </row>
    <row r="15" spans="1:11" x14ac:dyDescent="0.2">
      <c r="E15" s="85"/>
      <c r="F15" s="85"/>
      <c r="G15" s="85"/>
      <c r="H15" s="85"/>
      <c r="I15" s="88"/>
    </row>
    <row r="16" spans="1:11" x14ac:dyDescent="0.2">
      <c r="E16" s="85"/>
      <c r="F16" s="85"/>
      <c r="G16" s="85"/>
      <c r="H16" s="85"/>
      <c r="I16" s="88"/>
    </row>
    <row r="17" spans="5:9" x14ac:dyDescent="0.2">
      <c r="E17" s="85"/>
      <c r="F17" s="85"/>
      <c r="G17" s="85"/>
      <c r="H17" s="85"/>
      <c r="I17" s="88"/>
    </row>
    <row r="18" spans="5:9" x14ac:dyDescent="0.2">
      <c r="E18" s="85"/>
      <c r="F18" s="85"/>
      <c r="G18" s="85"/>
      <c r="H18" s="85"/>
      <c r="I18" s="88"/>
    </row>
    <row r="19" spans="5:9" x14ac:dyDescent="0.2">
      <c r="E19" s="85"/>
      <c r="F19" s="85"/>
      <c r="G19" s="85"/>
      <c r="H19" s="85"/>
      <c r="I19" s="88"/>
    </row>
    <row r="20" spans="5:9" x14ac:dyDescent="0.2">
      <c r="I20" s="88"/>
    </row>
    <row r="21" spans="5:9" x14ac:dyDescent="0.2">
      <c r="I21" s="88"/>
    </row>
    <row r="22" spans="5:9" x14ac:dyDescent="0.2">
      <c r="I22" s="88"/>
    </row>
    <row r="23" spans="5:9" x14ac:dyDescent="0.2">
      <c r="I23" s="88"/>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3" r:id="rId5"/>
    <hyperlink ref="G4:K4" r:id="rId6"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202.5" x14ac:dyDescent="0.2">
      <c r="A1" s="64" t="s">
        <v>660</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630"/>
  <sheetViews>
    <sheetView zoomScaleNormal="100" workbookViewId="0">
      <pane xSplit="2" ySplit="4" topLeftCell="C5" activePane="bottomRight" state="frozen"/>
      <selection activeCell="D4" sqref="D4:XFD4"/>
      <selection pane="topRight" activeCell="D4" sqref="D4:XFD4"/>
      <selection pane="bottomLeft" activeCell="D4" sqref="D4:XFD4"/>
      <selection pane="bottomRight" activeCell="J1" sqref="J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37" customWidth="1"/>
    <col min="7" max="7" width="20.83203125" style="137" customWidth="1"/>
    <col min="8" max="8" width="18.33203125" style="137" customWidth="1"/>
    <col min="9" max="9" width="18" style="137" customWidth="1"/>
    <col min="10" max="10" width="9.33203125" style="4"/>
    <col min="11" max="11" width="9.33203125" style="9"/>
    <col min="13" max="13" width="9.33203125" style="9"/>
    <col min="15" max="16384" width="9.33203125" style="9"/>
  </cols>
  <sheetData>
    <row r="1" spans="1:12" s="111" customFormat="1" ht="15" x14ac:dyDescent="0.25">
      <c r="A1" s="110" t="s">
        <v>48</v>
      </c>
      <c r="B1" s="299" t="s">
        <v>15</v>
      </c>
      <c r="C1" s="112" t="s">
        <v>49</v>
      </c>
      <c r="D1" s="300" t="s">
        <v>147</v>
      </c>
      <c r="E1" s="110" t="s">
        <v>226</v>
      </c>
      <c r="F1" s="299" t="s">
        <v>233</v>
      </c>
      <c r="G1" s="110" t="s">
        <v>9</v>
      </c>
      <c r="H1" s="299" t="s">
        <v>504</v>
      </c>
      <c r="I1" s="107" t="s">
        <v>327</v>
      </c>
      <c r="J1" s="297" t="b">
        <v>0</v>
      </c>
    </row>
    <row r="2" spans="1:12" s="128" customFormat="1" ht="15" x14ac:dyDescent="0.25">
      <c r="A2" s="127" t="s">
        <v>580</v>
      </c>
      <c r="B2" s="177" t="s">
        <v>579</v>
      </c>
      <c r="C2" s="177" t="s">
        <v>215</v>
      </c>
      <c r="D2" s="177" t="s">
        <v>577</v>
      </c>
      <c r="F2" s="292" t="s">
        <v>501</v>
      </c>
      <c r="G2" s="293"/>
      <c r="H2" s="293"/>
      <c r="I2" s="294"/>
      <c r="J2" s="129"/>
      <c r="K2" s="130"/>
    </row>
    <row r="3" spans="1:12" s="128" customFormat="1" ht="15" x14ac:dyDescent="0.25">
      <c r="A3" s="177" t="s">
        <v>620</v>
      </c>
      <c r="B3" s="177" t="s">
        <v>576</v>
      </c>
      <c r="C3" s="177" t="s">
        <v>502</v>
      </c>
      <c r="D3" s="177" t="s">
        <v>578</v>
      </c>
      <c r="F3" s="131" t="s">
        <v>502</v>
      </c>
      <c r="G3" s="132"/>
      <c r="H3" s="132"/>
      <c r="I3" s="132"/>
      <c r="J3" s="129"/>
      <c r="K3" s="130"/>
    </row>
    <row r="4" spans="1:12" s="126" customFormat="1" ht="17.25" customHeight="1" x14ac:dyDescent="0.2">
      <c r="A4" s="123" t="s">
        <v>6</v>
      </c>
      <c r="B4" s="123" t="s">
        <v>226</v>
      </c>
      <c r="C4" s="124" t="s">
        <v>9</v>
      </c>
      <c r="D4" s="125" t="s">
        <v>50</v>
      </c>
      <c r="E4" s="125" t="s">
        <v>503</v>
      </c>
      <c r="F4" s="133" t="s">
        <v>500</v>
      </c>
      <c r="G4" s="134"/>
      <c r="H4" s="134"/>
      <c r="I4" s="134"/>
      <c r="L4" s="76"/>
    </row>
    <row r="5" spans="1:12" customFormat="1" ht="15" x14ac:dyDescent="0.25">
      <c r="A5" s="101" t="s">
        <v>489</v>
      </c>
      <c r="B5" s="101" t="s">
        <v>490</v>
      </c>
      <c r="C5" s="9"/>
      <c r="D5" s="9"/>
      <c r="F5" s="136"/>
      <c r="G5" s="135"/>
      <c r="H5" s="135"/>
      <c r="I5" s="135"/>
    </row>
    <row r="6" spans="1:12" customFormat="1" ht="15" x14ac:dyDescent="0.25">
      <c r="A6" s="101" t="s">
        <v>336</v>
      </c>
      <c r="B6" s="101" t="s">
        <v>337</v>
      </c>
      <c r="C6" s="9"/>
      <c r="D6" s="9"/>
      <c r="E6" t="s">
        <v>489</v>
      </c>
      <c r="F6" s="136"/>
      <c r="G6" s="135"/>
      <c r="H6" s="135"/>
      <c r="I6" s="135"/>
    </row>
    <row r="7" spans="1:12" customFormat="1" ht="15" x14ac:dyDescent="0.25">
      <c r="A7" s="101" t="s">
        <v>338</v>
      </c>
      <c r="B7" s="101" t="s">
        <v>339</v>
      </c>
      <c r="C7" s="9"/>
      <c r="D7" s="9"/>
      <c r="F7" s="136"/>
      <c r="G7" s="135"/>
      <c r="H7" s="135"/>
      <c r="I7" s="135"/>
    </row>
    <row r="8" spans="1:12" customFormat="1" ht="15" x14ac:dyDescent="0.25">
      <c r="A8" s="101" t="s">
        <v>340</v>
      </c>
      <c r="B8" s="101" t="s">
        <v>341</v>
      </c>
      <c r="C8" s="9"/>
      <c r="D8" s="9"/>
      <c r="E8" t="s">
        <v>489</v>
      </c>
      <c r="F8" s="136"/>
      <c r="G8" s="135"/>
      <c r="H8" s="135"/>
      <c r="I8" s="135"/>
    </row>
    <row r="9" spans="1:12" customFormat="1" ht="15" x14ac:dyDescent="0.25">
      <c r="A9" s="101" t="s">
        <v>250</v>
      </c>
      <c r="F9" s="136"/>
      <c r="G9" s="135"/>
      <c r="H9" s="135"/>
      <c r="I9" s="135"/>
    </row>
    <row r="10" spans="1:12" customFormat="1" ht="11.25" x14ac:dyDescent="0.2">
      <c r="F10" s="136"/>
      <c r="G10" s="136"/>
      <c r="H10" s="136"/>
      <c r="I10" s="136"/>
    </row>
    <row r="11" spans="1:12" customFormat="1" ht="11.25" x14ac:dyDescent="0.2">
      <c r="F11" s="136"/>
      <c r="G11" s="136"/>
      <c r="H11" s="136"/>
      <c r="I11" s="136"/>
    </row>
    <row r="12" spans="1:12" customFormat="1" ht="11.25" x14ac:dyDescent="0.2">
      <c r="F12" s="136"/>
      <c r="G12" s="136"/>
      <c r="H12" s="136"/>
      <c r="I12" s="136"/>
    </row>
    <row r="13" spans="1:12" customFormat="1" ht="11.25" x14ac:dyDescent="0.2">
      <c r="F13" s="136"/>
      <c r="G13" s="136"/>
      <c r="H13" s="136"/>
      <c r="I13" s="136"/>
    </row>
    <row r="14" spans="1:12" customFormat="1" ht="11.25" x14ac:dyDescent="0.2">
      <c r="F14" s="136"/>
      <c r="G14" s="136"/>
      <c r="H14" s="136"/>
      <c r="I14" s="136"/>
    </row>
    <row r="15" spans="1:12" customFormat="1" ht="11.25" x14ac:dyDescent="0.2">
      <c r="F15" s="136"/>
      <c r="G15" s="136"/>
      <c r="H15" s="136"/>
      <c r="I15" s="136"/>
    </row>
    <row r="16" spans="1:12" customFormat="1" ht="11.25" x14ac:dyDescent="0.2">
      <c r="F16" s="136"/>
      <c r="G16" s="136"/>
      <c r="H16" s="136"/>
      <c r="I16" s="136"/>
    </row>
    <row r="17" spans="1:14" customFormat="1" ht="11.25" x14ac:dyDescent="0.2">
      <c r="F17" s="136"/>
      <c r="G17" s="136"/>
      <c r="H17" s="136"/>
      <c r="I17" s="136"/>
    </row>
    <row r="18" spans="1:14" customFormat="1" ht="11.25" x14ac:dyDescent="0.2">
      <c r="F18" s="136"/>
      <c r="G18" s="136"/>
      <c r="H18" s="136"/>
      <c r="I18" s="136"/>
    </row>
    <row r="19" spans="1:14" customFormat="1" ht="11.25" x14ac:dyDescent="0.2">
      <c r="F19" s="136"/>
      <c r="G19" s="136"/>
      <c r="H19" s="136"/>
      <c r="I19" s="136"/>
    </row>
    <row r="20" spans="1:14" customFormat="1" ht="11.25" x14ac:dyDescent="0.2">
      <c r="F20" s="136"/>
      <c r="G20" s="136"/>
      <c r="H20" s="136"/>
      <c r="I20" s="136"/>
    </row>
    <row r="21" spans="1:14" customFormat="1" ht="11.25" x14ac:dyDescent="0.2">
      <c r="F21" s="136"/>
      <c r="G21" s="136"/>
      <c r="H21" s="136"/>
      <c r="I21" s="136"/>
    </row>
    <row r="22" spans="1:14" customFormat="1" ht="11.25" x14ac:dyDescent="0.2">
      <c r="F22" s="136"/>
      <c r="G22" s="136"/>
      <c r="H22" s="136"/>
      <c r="I22" s="136"/>
    </row>
    <row r="23" spans="1:14" customFormat="1" ht="11.25" x14ac:dyDescent="0.2">
      <c r="F23" s="136"/>
      <c r="G23" s="136"/>
      <c r="H23" s="136"/>
      <c r="I23" s="136"/>
    </row>
    <row r="24" spans="1:14" customFormat="1" ht="11.25" x14ac:dyDescent="0.2">
      <c r="F24" s="136"/>
      <c r="G24" s="136"/>
      <c r="H24" s="136"/>
      <c r="I24" s="136"/>
    </row>
    <row r="25" spans="1:14" customFormat="1" ht="11.25" x14ac:dyDescent="0.2">
      <c r="F25" s="136"/>
      <c r="G25" s="136"/>
      <c r="H25" s="136"/>
      <c r="I25" s="136"/>
    </row>
    <row r="26" spans="1:14" customFormat="1" ht="11.25" x14ac:dyDescent="0.2">
      <c r="F26" s="136"/>
      <c r="G26" s="136"/>
      <c r="H26" s="136"/>
      <c r="I26" s="136"/>
    </row>
    <row r="27" spans="1:14" customFormat="1" ht="11.25" x14ac:dyDescent="0.2">
      <c r="F27" s="136"/>
      <c r="G27" s="136"/>
      <c r="H27" s="136"/>
      <c r="I27" s="136"/>
    </row>
    <row r="28" spans="1:14" customFormat="1" ht="11.25" x14ac:dyDescent="0.2">
      <c r="F28" s="136"/>
      <c r="G28" s="136"/>
      <c r="H28" s="136"/>
      <c r="I28" s="136"/>
    </row>
    <row r="29" spans="1:14" customFormat="1" ht="11.25" x14ac:dyDescent="0.2">
      <c r="F29" s="136"/>
      <c r="G29" s="136"/>
      <c r="H29" s="136"/>
      <c r="I29" s="136"/>
    </row>
    <row r="30" spans="1:14" customFormat="1" ht="11.25" x14ac:dyDescent="0.2">
      <c r="F30" s="136"/>
      <c r="G30" s="136"/>
      <c r="H30" s="136"/>
      <c r="I30" s="136"/>
    </row>
    <row r="31" spans="1:14" x14ac:dyDescent="0.2">
      <c r="A31" s="11"/>
      <c r="B31" s="11"/>
      <c r="C31" s="11"/>
      <c r="D31" s="11"/>
      <c r="E31" s="19"/>
      <c r="J31" s="5"/>
      <c r="L31" s="9"/>
      <c r="N31" s="9"/>
    </row>
    <row r="32" spans="1:14" x14ac:dyDescent="0.2">
      <c r="A32" s="11"/>
      <c r="B32" s="11"/>
      <c r="C32" s="11"/>
      <c r="D32" s="11"/>
      <c r="E32" s="19"/>
      <c r="J32" s="5"/>
      <c r="L32" s="9"/>
      <c r="N32" s="9"/>
    </row>
    <row r="33" spans="1:14" x14ac:dyDescent="0.2">
      <c r="A33" s="11"/>
      <c r="B33" s="11"/>
      <c r="C33" s="11"/>
      <c r="D33" s="11"/>
      <c r="E33" s="19"/>
      <c r="J33" s="5"/>
      <c r="L33" s="9"/>
      <c r="N33" s="9"/>
    </row>
    <row r="34" spans="1:14" x14ac:dyDescent="0.2">
      <c r="A34" s="11"/>
      <c r="B34" s="11"/>
      <c r="C34" s="11"/>
      <c r="D34" s="11"/>
      <c r="E34" s="19"/>
      <c r="J34" s="5"/>
      <c r="L34" s="9"/>
      <c r="N34" s="9"/>
    </row>
    <row r="35" spans="1:14" x14ac:dyDescent="0.2">
      <c r="A35" s="11"/>
      <c r="B35" s="11"/>
      <c r="C35" s="11"/>
      <c r="D35" s="11"/>
      <c r="E35" s="19"/>
      <c r="J35" s="5"/>
      <c r="L35" s="9"/>
      <c r="N35" s="9"/>
    </row>
    <row r="36" spans="1:14" s="12" customFormat="1" x14ac:dyDescent="0.2">
      <c r="A36" s="11"/>
      <c r="B36" s="11"/>
      <c r="C36" s="11"/>
      <c r="D36" s="11"/>
      <c r="E36" s="19"/>
      <c r="F36" s="138"/>
      <c r="G36" s="139"/>
      <c r="H36" s="140"/>
      <c r="I36" s="139"/>
      <c r="J36" s="5"/>
      <c r="K36" s="18"/>
    </row>
    <row r="37" spans="1:14" s="12" customFormat="1" x14ac:dyDescent="0.2">
      <c r="A37" s="11"/>
      <c r="B37" s="11"/>
      <c r="C37" s="11"/>
      <c r="D37" s="11"/>
      <c r="E37" s="19"/>
      <c r="F37" s="138"/>
      <c r="G37" s="139"/>
      <c r="H37" s="140"/>
      <c r="I37" s="139"/>
      <c r="J37" s="5"/>
      <c r="K37" s="18"/>
    </row>
    <row r="38" spans="1:14" s="12" customFormat="1" x14ac:dyDescent="0.2">
      <c r="A38" s="11"/>
      <c r="B38" s="9"/>
      <c r="C38" s="9"/>
      <c r="D38" s="9"/>
      <c r="E38" s="19"/>
      <c r="F38" s="138"/>
      <c r="G38" s="139"/>
      <c r="H38" s="140"/>
      <c r="I38" s="139"/>
      <c r="J38" s="5"/>
      <c r="K38" s="18"/>
    </row>
    <row r="39" spans="1:14" x14ac:dyDescent="0.2">
      <c r="A39" s="11"/>
      <c r="B39" s="11"/>
      <c r="C39" s="11"/>
      <c r="D39" s="11"/>
      <c r="E39" s="19"/>
      <c r="J39" s="5"/>
      <c r="L39" s="9"/>
      <c r="N39" s="9"/>
    </row>
    <row r="40" spans="1:14" s="12" customFormat="1" x14ac:dyDescent="0.2">
      <c r="A40" s="11"/>
      <c r="B40" s="11"/>
      <c r="C40" s="11"/>
      <c r="D40" s="11"/>
      <c r="E40" s="19"/>
      <c r="F40" s="138"/>
      <c r="G40" s="139"/>
      <c r="H40" s="140"/>
      <c r="I40" s="139"/>
      <c r="J40" s="5"/>
      <c r="K40" s="18"/>
    </row>
    <row r="41" spans="1:14" s="12" customFormat="1" x14ac:dyDescent="0.2">
      <c r="A41" s="11"/>
      <c r="B41" s="11"/>
      <c r="C41" s="11"/>
      <c r="D41" s="11"/>
      <c r="E41" s="19"/>
      <c r="F41" s="138"/>
      <c r="G41" s="138"/>
      <c r="H41" s="138"/>
      <c r="I41" s="138"/>
      <c r="J41" s="5"/>
    </row>
    <row r="42" spans="1:14" x14ac:dyDescent="0.2">
      <c r="A42" s="11"/>
      <c r="B42" s="11"/>
      <c r="C42" s="11"/>
      <c r="D42" s="11"/>
      <c r="E42" s="19"/>
      <c r="J42" s="5"/>
      <c r="L42" s="9"/>
      <c r="N42" s="9"/>
    </row>
    <row r="43" spans="1:14" x14ac:dyDescent="0.2">
      <c r="A43" s="11"/>
      <c r="B43" s="11"/>
      <c r="C43" s="11"/>
      <c r="D43" s="11"/>
      <c r="E43" s="19"/>
      <c r="J43" s="5"/>
      <c r="L43" s="9"/>
      <c r="N43" s="9"/>
    </row>
    <row r="44" spans="1:14" x14ac:dyDescent="0.2">
      <c r="A44" s="11"/>
      <c r="B44" s="11"/>
      <c r="C44" s="11"/>
      <c r="D44" s="11"/>
      <c r="E44" s="19"/>
      <c r="J44" s="5"/>
      <c r="L44" s="9"/>
      <c r="N44" s="9"/>
    </row>
    <row r="45" spans="1:14" x14ac:dyDescent="0.2">
      <c r="A45" s="11"/>
      <c r="B45" s="11"/>
      <c r="C45" s="11"/>
      <c r="D45" s="11"/>
      <c r="E45" s="19"/>
      <c r="J45" s="5"/>
      <c r="L45" s="9"/>
      <c r="N45" s="9"/>
    </row>
    <row r="46" spans="1:14" x14ac:dyDescent="0.2">
      <c r="A46" s="11"/>
      <c r="B46" s="11"/>
      <c r="C46" s="11"/>
      <c r="D46" s="11"/>
      <c r="E46" s="19"/>
      <c r="J46" s="5"/>
      <c r="L46" s="9"/>
      <c r="N46" s="9"/>
    </row>
    <row r="47" spans="1:14" x14ac:dyDescent="0.2">
      <c r="A47" s="11"/>
      <c r="B47" s="11"/>
      <c r="C47" s="11"/>
      <c r="D47" s="11"/>
      <c r="E47" s="19"/>
      <c r="J47" s="5"/>
      <c r="L47" s="9"/>
      <c r="N47" s="9"/>
    </row>
    <row r="48" spans="1:14" x14ac:dyDescent="0.2">
      <c r="A48" s="11"/>
      <c r="B48" s="11"/>
      <c r="C48" s="11"/>
      <c r="D48" s="11"/>
      <c r="E48" s="19"/>
      <c r="J48" s="5"/>
      <c r="L48" s="9"/>
      <c r="N48" s="9"/>
    </row>
    <row r="49" spans="1:14" x14ac:dyDescent="0.2">
      <c r="A49" s="11"/>
      <c r="B49" s="11"/>
      <c r="C49" s="11"/>
      <c r="D49" s="11"/>
      <c r="E49" s="19"/>
      <c r="J49" s="5"/>
      <c r="L49" s="9"/>
      <c r="N49" s="9"/>
    </row>
    <row r="50" spans="1:14" x14ac:dyDescent="0.2">
      <c r="A50" s="11"/>
      <c r="B50" s="11"/>
      <c r="C50" s="11"/>
      <c r="D50" s="11"/>
      <c r="E50" s="19"/>
      <c r="J50" s="5"/>
      <c r="L50" s="9"/>
      <c r="N50" s="9"/>
    </row>
    <row r="51" spans="1:14" x14ac:dyDescent="0.2">
      <c r="A51" s="11"/>
      <c r="B51" s="11"/>
      <c r="C51" s="11"/>
      <c r="D51" s="11"/>
      <c r="E51" s="19"/>
      <c r="J51" s="5"/>
      <c r="L51" s="9"/>
      <c r="N51" s="9"/>
    </row>
    <row r="52" spans="1:14" x14ac:dyDescent="0.2">
      <c r="A52" s="11"/>
      <c r="B52" s="11"/>
      <c r="C52" s="11"/>
      <c r="D52" s="11"/>
      <c r="E52" s="19"/>
      <c r="J52" s="5"/>
      <c r="L52" s="9"/>
      <c r="N52" s="9"/>
    </row>
    <row r="53" spans="1:14" x14ac:dyDescent="0.2">
      <c r="A53" s="11"/>
      <c r="B53" s="11"/>
      <c r="C53" s="11"/>
      <c r="D53" s="11"/>
      <c r="E53" s="19"/>
      <c r="J53" s="5"/>
      <c r="L53" s="9"/>
      <c r="N53" s="9"/>
    </row>
    <row r="54" spans="1:14" x14ac:dyDescent="0.2">
      <c r="A54" s="11"/>
      <c r="B54" s="11"/>
      <c r="C54" s="11"/>
      <c r="D54" s="11"/>
      <c r="E54" s="19"/>
      <c r="J54" s="5"/>
      <c r="L54" s="9"/>
      <c r="N54" s="9"/>
    </row>
    <row r="55" spans="1:14" x14ac:dyDescent="0.2">
      <c r="A55" s="7"/>
      <c r="B55" s="7"/>
      <c r="C55" s="7"/>
      <c r="D55" s="7"/>
      <c r="E55" s="20"/>
      <c r="J55" s="5"/>
      <c r="L55" s="9"/>
      <c r="N55" s="9"/>
    </row>
    <row r="56" spans="1:14" x14ac:dyDescent="0.2">
      <c r="A56" s="11"/>
      <c r="B56" s="11"/>
      <c r="C56" s="11"/>
      <c r="D56" s="11"/>
      <c r="E56" s="19"/>
      <c r="J56" s="5"/>
      <c r="L56" s="9"/>
      <c r="N56" s="9"/>
    </row>
    <row r="57" spans="1:14" x14ac:dyDescent="0.2">
      <c r="A57" s="11"/>
      <c r="B57" s="11"/>
      <c r="C57" s="11"/>
      <c r="D57" s="11"/>
      <c r="E57" s="19"/>
      <c r="J57" s="5"/>
      <c r="L57" s="9"/>
      <c r="N57" s="9"/>
    </row>
    <row r="58" spans="1:14" x14ac:dyDescent="0.2">
      <c r="A58" s="11"/>
      <c r="B58" s="11"/>
      <c r="C58" s="11"/>
      <c r="D58" s="11"/>
      <c r="E58" s="19"/>
      <c r="J58" s="5"/>
      <c r="L58" s="9"/>
      <c r="N58" s="9"/>
    </row>
    <row r="59" spans="1:14" x14ac:dyDescent="0.2">
      <c r="A59" s="11"/>
      <c r="B59" s="11"/>
      <c r="C59" s="11"/>
      <c r="D59" s="11"/>
      <c r="E59" s="19"/>
      <c r="J59" s="5"/>
      <c r="L59" s="9"/>
      <c r="N59" s="9"/>
    </row>
    <row r="60" spans="1:14" x14ac:dyDescent="0.2">
      <c r="A60" s="11"/>
      <c r="B60" s="11"/>
      <c r="C60" s="11"/>
      <c r="D60" s="11"/>
      <c r="E60" s="19"/>
      <c r="J60" s="5"/>
      <c r="L60" s="9"/>
      <c r="N60" s="9"/>
    </row>
    <row r="61" spans="1:14" x14ac:dyDescent="0.2">
      <c r="A61" s="11"/>
      <c r="B61" s="11"/>
      <c r="C61" s="11"/>
      <c r="D61" s="11"/>
      <c r="E61" s="19"/>
      <c r="J61" s="5"/>
      <c r="L61" s="9"/>
      <c r="N61" s="9"/>
    </row>
    <row r="62" spans="1:14" x14ac:dyDescent="0.2">
      <c r="A62" s="11"/>
      <c r="B62" s="11"/>
      <c r="C62" s="11"/>
      <c r="D62" s="11"/>
      <c r="E62" s="19"/>
      <c r="J62" s="5"/>
      <c r="L62" s="9"/>
      <c r="N62" s="9"/>
    </row>
    <row r="63" spans="1:14" x14ac:dyDescent="0.2">
      <c r="A63" s="11"/>
      <c r="B63" s="11"/>
      <c r="C63" s="11"/>
      <c r="D63" s="11"/>
      <c r="E63" s="19"/>
      <c r="J63" s="5"/>
      <c r="L63" s="9"/>
      <c r="N63" s="9"/>
    </row>
    <row r="64" spans="1:14" x14ac:dyDescent="0.2">
      <c r="A64" s="11"/>
      <c r="B64" s="11"/>
      <c r="C64" s="11"/>
      <c r="D64" s="11"/>
      <c r="E64" s="19"/>
      <c r="J64" s="5"/>
      <c r="L64" s="9"/>
      <c r="N64" s="9"/>
    </row>
    <row r="65" spans="1:14" x14ac:dyDescent="0.2">
      <c r="A65" s="11"/>
      <c r="B65" s="11"/>
      <c r="C65" s="11"/>
      <c r="D65" s="11"/>
      <c r="E65" s="19"/>
      <c r="J65" s="5"/>
      <c r="L65" s="9"/>
      <c r="N65" s="9"/>
    </row>
    <row r="66" spans="1:14" x14ac:dyDescent="0.2">
      <c r="A66" s="11"/>
      <c r="B66" s="11"/>
      <c r="C66" s="11"/>
      <c r="D66" s="11"/>
      <c r="E66" s="19"/>
      <c r="J66" s="5"/>
      <c r="L66" s="9"/>
      <c r="N66" s="9"/>
    </row>
    <row r="67" spans="1:14" x14ac:dyDescent="0.2">
      <c r="A67" s="11"/>
      <c r="B67" s="11"/>
      <c r="C67" s="11"/>
      <c r="D67" s="11"/>
      <c r="E67" s="19"/>
      <c r="J67" s="5"/>
      <c r="L67" s="9"/>
      <c r="N67" s="9"/>
    </row>
    <row r="68" spans="1:14" x14ac:dyDescent="0.2">
      <c r="A68" s="11"/>
      <c r="B68" s="11"/>
      <c r="C68" s="11"/>
      <c r="D68" s="11"/>
      <c r="E68" s="19"/>
      <c r="J68" s="5"/>
      <c r="L68" s="9"/>
      <c r="N68" s="9"/>
    </row>
    <row r="69" spans="1:14" x14ac:dyDescent="0.2">
      <c r="A69" s="11"/>
      <c r="B69" s="11"/>
      <c r="C69" s="11"/>
      <c r="D69" s="11"/>
      <c r="E69" s="19"/>
      <c r="J69" s="5"/>
      <c r="L69" s="9"/>
      <c r="N69" s="9"/>
    </row>
    <row r="70" spans="1:14" x14ac:dyDescent="0.2">
      <c r="A70" s="11"/>
      <c r="B70" s="11"/>
      <c r="C70" s="11"/>
      <c r="D70" s="11"/>
      <c r="E70" s="19"/>
      <c r="J70" s="5"/>
      <c r="L70" s="9"/>
      <c r="N70" s="9"/>
    </row>
    <row r="71" spans="1:14" x14ac:dyDescent="0.2">
      <c r="A71" s="11"/>
      <c r="B71" s="11"/>
      <c r="C71" s="11"/>
      <c r="D71" s="11"/>
      <c r="E71" s="19"/>
      <c r="J71" s="5"/>
      <c r="L71" s="9"/>
      <c r="N71" s="9"/>
    </row>
    <row r="72" spans="1:14" x14ac:dyDescent="0.2">
      <c r="A72" s="11"/>
      <c r="B72" s="11"/>
      <c r="C72" s="11"/>
      <c r="D72" s="11"/>
      <c r="E72" s="19"/>
      <c r="J72" s="5"/>
      <c r="L72" s="9"/>
      <c r="N72" s="9"/>
    </row>
    <row r="73" spans="1:14" x14ac:dyDescent="0.2">
      <c r="A73" s="11"/>
      <c r="B73" s="11"/>
      <c r="C73" s="11"/>
      <c r="D73" s="11"/>
      <c r="E73" s="19"/>
      <c r="J73" s="5"/>
      <c r="L73" s="9"/>
      <c r="N73" s="9"/>
    </row>
    <row r="74" spans="1:14" x14ac:dyDescent="0.2">
      <c r="A74" s="11"/>
      <c r="B74" s="11"/>
      <c r="C74" s="11"/>
      <c r="D74" s="11"/>
      <c r="E74" s="19"/>
      <c r="J74" s="5"/>
      <c r="L74" s="9"/>
      <c r="N74" s="9"/>
    </row>
    <row r="75" spans="1:14" x14ac:dyDescent="0.2">
      <c r="A75" s="11"/>
      <c r="B75" s="11"/>
      <c r="C75" s="11"/>
      <c r="D75" s="11"/>
      <c r="E75" s="19"/>
      <c r="J75" s="5"/>
      <c r="L75" s="9"/>
      <c r="N75" s="9"/>
    </row>
    <row r="76" spans="1:14" x14ac:dyDescent="0.2">
      <c r="A76" s="11"/>
      <c r="B76" s="11"/>
      <c r="C76" s="11"/>
      <c r="D76" s="11"/>
      <c r="E76" s="19"/>
      <c r="J76" s="5"/>
      <c r="L76" s="9"/>
      <c r="N76" s="9"/>
    </row>
    <row r="77" spans="1:14" x14ac:dyDescent="0.2">
      <c r="A77" s="11"/>
      <c r="B77" s="11"/>
      <c r="C77" s="11"/>
      <c r="D77" s="11"/>
      <c r="E77" s="19"/>
      <c r="J77" s="5"/>
      <c r="L77" s="9"/>
      <c r="N77" s="9"/>
    </row>
    <row r="78" spans="1:14" x14ac:dyDescent="0.2">
      <c r="A78" s="11"/>
      <c r="B78" s="11"/>
      <c r="C78" s="11"/>
      <c r="D78" s="11"/>
      <c r="E78" s="19"/>
      <c r="J78" s="5"/>
      <c r="L78" s="9"/>
      <c r="N78" s="9"/>
    </row>
    <row r="79" spans="1:14" x14ac:dyDescent="0.2">
      <c r="A79" s="11"/>
      <c r="B79" s="11"/>
      <c r="C79" s="11"/>
      <c r="D79" s="11"/>
      <c r="E79" s="19"/>
      <c r="J79" s="5"/>
      <c r="L79" s="9"/>
      <c r="N79" s="9"/>
    </row>
    <row r="80" spans="1:14" x14ac:dyDescent="0.2">
      <c r="A80" s="11"/>
      <c r="B80" s="11"/>
      <c r="C80" s="11"/>
      <c r="D80" s="11"/>
      <c r="E80" s="19"/>
      <c r="J80" s="5"/>
      <c r="L80" s="9"/>
      <c r="N80" s="9"/>
    </row>
    <row r="81" spans="1:14" x14ac:dyDescent="0.2">
      <c r="A81" s="11"/>
      <c r="B81" s="11"/>
      <c r="C81" s="11"/>
      <c r="D81" s="11"/>
      <c r="E81" s="19"/>
      <c r="J81" s="5"/>
      <c r="L81" s="9"/>
      <c r="N81" s="9"/>
    </row>
    <row r="82" spans="1:14" x14ac:dyDescent="0.2">
      <c r="A82" s="11"/>
      <c r="B82" s="11"/>
      <c r="C82" s="11"/>
      <c r="D82" s="11"/>
      <c r="E82" s="19"/>
      <c r="J82" s="5"/>
      <c r="L82" s="9"/>
      <c r="N82" s="9"/>
    </row>
    <row r="83" spans="1:14" x14ac:dyDescent="0.2">
      <c r="A83" s="11"/>
      <c r="B83" s="11"/>
      <c r="C83" s="11"/>
      <c r="D83" s="11"/>
      <c r="E83" s="19"/>
      <c r="J83" s="5"/>
      <c r="L83" s="9"/>
      <c r="N83" s="9"/>
    </row>
    <row r="84" spans="1:14" x14ac:dyDescent="0.2">
      <c r="A84" s="11"/>
      <c r="B84" s="11"/>
      <c r="C84" s="11"/>
      <c r="D84" s="11"/>
      <c r="J84" s="5"/>
      <c r="L84" s="9"/>
      <c r="N84" s="9"/>
    </row>
    <row r="85" spans="1:14" x14ac:dyDescent="0.2">
      <c r="A85" s="11"/>
      <c r="B85" s="11"/>
      <c r="C85" s="11"/>
      <c r="D85" s="11"/>
      <c r="E85" s="19"/>
      <c r="J85" s="5"/>
      <c r="L85" s="9"/>
      <c r="N85" s="9"/>
    </row>
    <row r="86" spans="1:14" x14ac:dyDescent="0.2">
      <c r="A86" s="11"/>
      <c r="B86" s="11"/>
      <c r="C86" s="11"/>
      <c r="D86" s="11"/>
      <c r="E86" s="19"/>
      <c r="J86" s="5"/>
      <c r="L86" s="9"/>
      <c r="N86" s="9"/>
    </row>
    <row r="87" spans="1:14" x14ac:dyDescent="0.2">
      <c r="A87" s="11"/>
      <c r="B87" s="11"/>
      <c r="C87" s="11"/>
      <c r="D87" s="11"/>
      <c r="E87" s="19"/>
      <c r="J87" s="5"/>
      <c r="L87" s="9"/>
      <c r="N87" s="9"/>
    </row>
    <row r="88" spans="1:14" x14ac:dyDescent="0.2">
      <c r="A88" s="11"/>
      <c r="B88" s="11"/>
      <c r="C88" s="11"/>
      <c r="D88" s="11"/>
      <c r="E88" s="19"/>
      <c r="J88" s="5"/>
      <c r="L88" s="9"/>
      <c r="N88" s="9"/>
    </row>
    <row r="89" spans="1:14" x14ac:dyDescent="0.2">
      <c r="A89" s="11"/>
      <c r="B89" s="11"/>
      <c r="C89" s="11"/>
      <c r="D89" s="11"/>
      <c r="E89" s="19"/>
      <c r="J89" s="5"/>
      <c r="L89" s="9"/>
      <c r="N89" s="9"/>
    </row>
    <row r="90" spans="1:14" x14ac:dyDescent="0.2">
      <c r="A90" s="11"/>
      <c r="B90" s="11"/>
      <c r="C90" s="11"/>
      <c r="D90" s="11"/>
      <c r="E90" s="19"/>
      <c r="J90" s="5"/>
      <c r="L90" s="9"/>
      <c r="N90" s="9"/>
    </row>
    <row r="91" spans="1:14" x14ac:dyDescent="0.2">
      <c r="A91" s="11"/>
      <c r="B91" s="11"/>
      <c r="C91" s="11"/>
      <c r="D91" s="11"/>
      <c r="E91" s="19"/>
      <c r="J91" s="5"/>
      <c r="L91" s="9"/>
      <c r="N91" s="9"/>
    </row>
    <row r="92" spans="1:14" x14ac:dyDescent="0.2">
      <c r="A92" s="11"/>
      <c r="B92" s="11"/>
      <c r="C92" s="11"/>
      <c r="D92" s="11"/>
      <c r="E92" s="19"/>
      <c r="J92" s="5"/>
      <c r="L92" s="9"/>
      <c r="N92" s="9"/>
    </row>
    <row r="93" spans="1:14" x14ac:dyDescent="0.2">
      <c r="A93" s="11"/>
      <c r="B93" s="11"/>
      <c r="C93" s="11"/>
      <c r="D93" s="11"/>
      <c r="E93" s="19"/>
      <c r="J93" s="5"/>
      <c r="L93" s="9"/>
      <c r="N93" s="9"/>
    </row>
    <row r="94" spans="1:14" x14ac:dyDescent="0.2">
      <c r="A94" s="11"/>
      <c r="B94" s="11"/>
      <c r="C94" s="11"/>
      <c r="D94" s="11"/>
      <c r="E94" s="19"/>
      <c r="J94" s="5"/>
      <c r="L94" s="9"/>
      <c r="N94" s="9"/>
    </row>
    <row r="95" spans="1:14" x14ac:dyDescent="0.2">
      <c r="A95" s="11"/>
      <c r="B95" s="11"/>
      <c r="C95" s="11"/>
      <c r="D95" s="11"/>
      <c r="E95" s="19"/>
      <c r="J95" s="5"/>
      <c r="L95" s="9"/>
      <c r="N95" s="9"/>
    </row>
    <row r="96" spans="1:14" x14ac:dyDescent="0.2">
      <c r="A96" s="11"/>
      <c r="B96" s="11"/>
      <c r="C96" s="11"/>
      <c r="D96" s="11"/>
      <c r="E96" s="19"/>
      <c r="J96" s="5"/>
      <c r="L96" s="9"/>
      <c r="N96" s="9"/>
    </row>
    <row r="97" spans="1:14" x14ac:dyDescent="0.2">
      <c r="A97" s="11"/>
      <c r="B97" s="11"/>
      <c r="C97" s="11"/>
      <c r="D97" s="11"/>
      <c r="E97" s="19"/>
      <c r="J97" s="5"/>
      <c r="L97" s="9"/>
      <c r="N97" s="9"/>
    </row>
    <row r="98" spans="1:14" x14ac:dyDescent="0.2">
      <c r="A98" s="11"/>
      <c r="B98" s="11"/>
      <c r="C98" s="11"/>
      <c r="D98" s="11"/>
      <c r="E98" s="19"/>
      <c r="J98" s="5"/>
      <c r="L98" s="9"/>
      <c r="N98" s="9"/>
    </row>
    <row r="99" spans="1:14" x14ac:dyDescent="0.2">
      <c r="A99" s="11"/>
      <c r="B99" s="11"/>
      <c r="C99" s="11"/>
      <c r="D99" s="11"/>
      <c r="E99" s="19"/>
      <c r="J99" s="5"/>
      <c r="L99" s="9"/>
      <c r="N99" s="9"/>
    </row>
    <row r="100" spans="1:14" x14ac:dyDescent="0.2">
      <c r="A100" s="11"/>
      <c r="B100" s="11"/>
      <c r="C100" s="11"/>
      <c r="D100" s="11"/>
      <c r="E100" s="19"/>
      <c r="J100" s="5"/>
      <c r="L100" s="9"/>
      <c r="N100" s="9"/>
    </row>
    <row r="101" spans="1:14" x14ac:dyDescent="0.2">
      <c r="A101" s="11"/>
      <c r="B101" s="11"/>
      <c r="C101" s="11"/>
      <c r="D101" s="11"/>
      <c r="E101" s="19"/>
      <c r="J101" s="5"/>
      <c r="L101" s="9"/>
      <c r="N101" s="9"/>
    </row>
    <row r="102" spans="1:14" ht="12" customHeight="1" x14ac:dyDescent="0.2">
      <c r="A102" s="11"/>
      <c r="B102" s="11"/>
      <c r="C102" s="11"/>
      <c r="D102" s="11"/>
      <c r="E102" s="19"/>
      <c r="J102" s="5"/>
      <c r="L102" s="9"/>
      <c r="N102" s="9"/>
    </row>
    <row r="103" spans="1:14" ht="12" customHeight="1" x14ac:dyDescent="0.2">
      <c r="A103" s="11"/>
      <c r="B103" s="11"/>
      <c r="C103" s="11"/>
      <c r="D103" s="11"/>
      <c r="E103" s="19"/>
      <c r="J103" s="5"/>
      <c r="L103" s="9"/>
      <c r="N103" s="9"/>
    </row>
    <row r="104" spans="1:14" x14ac:dyDescent="0.2">
      <c r="A104" s="11"/>
      <c r="B104" s="11"/>
      <c r="C104" s="11"/>
      <c r="D104" s="11"/>
      <c r="E104" s="19"/>
      <c r="J104" s="5"/>
      <c r="L104" s="9"/>
      <c r="N104" s="9"/>
    </row>
    <row r="105" spans="1:14" x14ac:dyDescent="0.2">
      <c r="A105" s="11"/>
      <c r="B105" s="11"/>
      <c r="C105" s="11"/>
      <c r="D105" s="11"/>
      <c r="E105" s="19"/>
      <c r="J105" s="5"/>
      <c r="L105" s="9"/>
      <c r="N105" s="9"/>
    </row>
    <row r="106" spans="1:14" x14ac:dyDescent="0.2">
      <c r="A106" s="11"/>
      <c r="B106" s="11"/>
      <c r="C106" s="11"/>
      <c r="D106" s="11"/>
      <c r="E106" s="19"/>
      <c r="J106" s="5"/>
      <c r="L106" s="9"/>
      <c r="N106" s="9"/>
    </row>
    <row r="107" spans="1:14" x14ac:dyDescent="0.2">
      <c r="A107" s="11"/>
      <c r="B107" s="11"/>
      <c r="C107" s="11"/>
      <c r="D107" s="11"/>
      <c r="E107" s="19"/>
      <c r="J107" s="5"/>
      <c r="L107" s="9"/>
      <c r="N107" s="9"/>
    </row>
    <row r="108" spans="1:14" x14ac:dyDescent="0.2">
      <c r="A108" s="11"/>
      <c r="B108" s="11"/>
      <c r="C108" s="11"/>
      <c r="D108" s="11"/>
      <c r="E108" s="19"/>
      <c r="J108" s="5"/>
      <c r="L108" s="9"/>
      <c r="N108" s="9"/>
    </row>
    <row r="109" spans="1:14" x14ac:dyDescent="0.2">
      <c r="A109" s="11"/>
      <c r="B109" s="11"/>
      <c r="C109" s="11"/>
      <c r="D109" s="11"/>
      <c r="E109" s="19"/>
      <c r="J109" s="5"/>
      <c r="L109" s="9"/>
      <c r="N109" s="9"/>
    </row>
    <row r="110" spans="1:14" x14ac:dyDescent="0.2">
      <c r="A110" s="11"/>
      <c r="B110" s="11"/>
      <c r="C110" s="11"/>
      <c r="D110" s="11"/>
      <c r="E110" s="19"/>
      <c r="J110" s="5"/>
      <c r="L110" s="9"/>
      <c r="N110" s="9"/>
    </row>
    <row r="111" spans="1:14" x14ac:dyDescent="0.2">
      <c r="A111" s="11"/>
      <c r="B111" s="11"/>
      <c r="C111" s="11"/>
      <c r="D111" s="11"/>
      <c r="E111" s="19"/>
      <c r="J111" s="5"/>
      <c r="L111" s="9"/>
      <c r="N111" s="9"/>
    </row>
    <row r="112" spans="1:14" x14ac:dyDescent="0.2">
      <c r="A112" s="11"/>
      <c r="B112" s="11"/>
      <c r="C112" s="11"/>
      <c r="D112" s="11"/>
      <c r="E112" s="19"/>
      <c r="J112" s="5"/>
      <c r="L112" s="9"/>
      <c r="N112" s="9"/>
    </row>
    <row r="113" spans="1:14" x14ac:dyDescent="0.2">
      <c r="A113" s="11"/>
      <c r="B113" s="11"/>
      <c r="C113" s="11"/>
      <c r="D113" s="11"/>
      <c r="E113" s="19"/>
      <c r="J113" s="5"/>
      <c r="L113" s="9"/>
      <c r="N113" s="9"/>
    </row>
    <row r="114" spans="1:14" x14ac:dyDescent="0.2">
      <c r="A114" s="11"/>
      <c r="B114" s="11"/>
      <c r="C114" s="11"/>
      <c r="D114" s="11"/>
      <c r="E114" s="19"/>
      <c r="J114" s="5"/>
      <c r="L114" s="9"/>
      <c r="N114" s="9"/>
    </row>
    <row r="115" spans="1:14" x14ac:dyDescent="0.2">
      <c r="A115" s="11"/>
      <c r="B115" s="11"/>
      <c r="C115" s="11"/>
      <c r="D115" s="11"/>
      <c r="E115" s="19"/>
      <c r="J115" s="5"/>
      <c r="L115" s="9"/>
      <c r="N115" s="9"/>
    </row>
    <row r="116" spans="1:14" x14ac:dyDescent="0.2">
      <c r="A116" s="11"/>
      <c r="B116" s="11"/>
      <c r="C116" s="11"/>
      <c r="D116" s="11"/>
      <c r="E116" s="19"/>
      <c r="J116" s="5"/>
      <c r="L116" s="9"/>
      <c r="N116" s="9"/>
    </row>
    <row r="117" spans="1:14" x14ac:dyDescent="0.2">
      <c r="A117" s="11"/>
      <c r="B117" s="11"/>
      <c r="C117" s="11"/>
      <c r="D117" s="11"/>
      <c r="E117" s="19"/>
      <c r="J117" s="5"/>
      <c r="L117" s="9"/>
      <c r="N117" s="9"/>
    </row>
    <row r="118" spans="1:14" x14ac:dyDescent="0.2">
      <c r="A118" s="11"/>
      <c r="B118" s="11"/>
      <c r="C118" s="11"/>
      <c r="D118" s="11"/>
      <c r="E118" s="19"/>
      <c r="J118" s="5"/>
      <c r="L118" s="9"/>
      <c r="N118" s="9"/>
    </row>
    <row r="119" spans="1:14" x14ac:dyDescent="0.2">
      <c r="A119" s="11"/>
      <c r="B119" s="11"/>
      <c r="C119" s="11"/>
      <c r="D119" s="11"/>
      <c r="E119" s="19"/>
      <c r="J119" s="5"/>
      <c r="L119" s="9"/>
      <c r="N119" s="9"/>
    </row>
    <row r="120" spans="1:14" x14ac:dyDescent="0.2">
      <c r="A120" s="11"/>
      <c r="B120" s="11"/>
      <c r="C120" s="11"/>
      <c r="D120" s="11"/>
      <c r="E120" s="19"/>
      <c r="J120" s="5"/>
      <c r="L120" s="9"/>
      <c r="N120" s="9"/>
    </row>
    <row r="121" spans="1:14" x14ac:dyDescent="0.2">
      <c r="A121" s="11"/>
      <c r="B121" s="11"/>
      <c r="C121" s="11"/>
      <c r="D121" s="11"/>
      <c r="E121" s="19"/>
      <c r="J121" s="5"/>
      <c r="L121" s="9"/>
      <c r="N121" s="9"/>
    </row>
    <row r="122" spans="1:14" x14ac:dyDescent="0.2">
      <c r="A122" s="11"/>
      <c r="B122" s="11"/>
      <c r="C122" s="11"/>
      <c r="D122" s="11"/>
      <c r="E122" s="19"/>
      <c r="J122" s="5"/>
      <c r="L122" s="9"/>
      <c r="N122" s="9"/>
    </row>
    <row r="123" spans="1:14" x14ac:dyDescent="0.2">
      <c r="A123" s="11"/>
      <c r="B123" s="11"/>
      <c r="C123" s="11"/>
      <c r="D123" s="11"/>
      <c r="E123" s="19"/>
      <c r="J123" s="5"/>
      <c r="L123" s="9"/>
      <c r="N123" s="9"/>
    </row>
    <row r="124" spans="1:14" x14ac:dyDescent="0.2">
      <c r="A124" s="11"/>
      <c r="B124" s="11"/>
      <c r="C124" s="11"/>
      <c r="D124" s="11"/>
      <c r="E124" s="19"/>
      <c r="J124" s="5"/>
      <c r="L124" s="9"/>
      <c r="N124" s="9"/>
    </row>
    <row r="125" spans="1:14" x14ac:dyDescent="0.2">
      <c r="A125" s="11"/>
      <c r="B125" s="11"/>
      <c r="C125" s="11"/>
      <c r="D125" s="11"/>
      <c r="E125" s="19"/>
      <c r="J125" s="5"/>
      <c r="L125" s="9"/>
      <c r="N125" s="9"/>
    </row>
    <row r="126" spans="1:14" x14ac:dyDescent="0.2">
      <c r="A126" s="11"/>
      <c r="B126" s="11"/>
      <c r="C126" s="11"/>
      <c r="D126" s="11"/>
      <c r="E126" s="19"/>
      <c r="J126" s="5"/>
      <c r="L126" s="9"/>
      <c r="N126" s="9"/>
    </row>
    <row r="127" spans="1:14" x14ac:dyDescent="0.2">
      <c r="A127" s="11"/>
      <c r="B127" s="11"/>
      <c r="C127" s="11"/>
      <c r="D127" s="11"/>
      <c r="E127" s="19"/>
      <c r="J127" s="5"/>
      <c r="L127" s="9"/>
      <c r="N127" s="9"/>
    </row>
    <row r="128" spans="1:14" x14ac:dyDescent="0.2">
      <c r="A128" s="11"/>
      <c r="B128" s="11"/>
      <c r="C128" s="11"/>
      <c r="D128" s="11"/>
      <c r="E128" s="19"/>
      <c r="J128" s="5"/>
      <c r="L128" s="9"/>
      <c r="N128" s="9"/>
    </row>
    <row r="129" spans="1:14" x14ac:dyDescent="0.2">
      <c r="A129" s="11"/>
      <c r="B129" s="11"/>
      <c r="C129" s="11"/>
      <c r="D129" s="11"/>
      <c r="E129" s="19"/>
      <c r="J129" s="5"/>
      <c r="L129" s="9"/>
      <c r="N129" s="9"/>
    </row>
    <row r="130" spans="1:14" x14ac:dyDescent="0.2">
      <c r="A130" s="11"/>
      <c r="B130" s="11"/>
      <c r="C130" s="11"/>
      <c r="D130" s="11"/>
      <c r="E130" s="19"/>
      <c r="J130" s="5"/>
      <c r="L130" s="9"/>
      <c r="N130" s="9"/>
    </row>
    <row r="131" spans="1:14" x14ac:dyDescent="0.2">
      <c r="A131" s="11"/>
      <c r="B131" s="11"/>
      <c r="C131" s="11"/>
      <c r="D131" s="11"/>
      <c r="E131" s="19"/>
      <c r="J131" s="5"/>
      <c r="L131" s="9"/>
      <c r="N131" s="9"/>
    </row>
    <row r="132" spans="1:14" x14ac:dyDescent="0.2">
      <c r="A132" s="11"/>
      <c r="B132" s="11"/>
      <c r="C132" s="11"/>
      <c r="D132" s="11"/>
      <c r="E132" s="19"/>
      <c r="J132" s="5"/>
      <c r="L132" s="9"/>
      <c r="N132" s="9"/>
    </row>
    <row r="133" spans="1:14" x14ac:dyDescent="0.2">
      <c r="A133" s="11"/>
      <c r="B133" s="11"/>
      <c r="C133" s="11"/>
      <c r="D133" s="11"/>
      <c r="E133" s="19"/>
      <c r="J133" s="5"/>
      <c r="L133" s="9"/>
      <c r="N133" s="9"/>
    </row>
    <row r="134" spans="1:14" x14ac:dyDescent="0.2">
      <c r="A134" s="11"/>
      <c r="B134" s="11"/>
      <c r="C134" s="11"/>
      <c r="D134" s="11"/>
      <c r="E134" s="19"/>
      <c r="J134" s="5"/>
      <c r="L134" s="9"/>
      <c r="N134" s="9"/>
    </row>
    <row r="135" spans="1:14" x14ac:dyDescent="0.2">
      <c r="A135" s="11"/>
      <c r="B135" s="11"/>
      <c r="C135" s="11"/>
      <c r="D135" s="11"/>
      <c r="E135" s="19"/>
      <c r="J135" s="5"/>
      <c r="L135" s="9"/>
      <c r="N135" s="9"/>
    </row>
    <row r="136" spans="1:14" x14ac:dyDescent="0.2">
      <c r="A136" s="11"/>
      <c r="B136" s="11"/>
      <c r="C136" s="11"/>
      <c r="D136" s="11"/>
      <c r="E136" s="19"/>
      <c r="J136" s="5"/>
      <c r="L136" s="9"/>
      <c r="N136" s="9"/>
    </row>
    <row r="137" spans="1:14" x14ac:dyDescent="0.2">
      <c r="A137" s="11"/>
      <c r="B137" s="11"/>
      <c r="C137" s="11"/>
      <c r="D137" s="11"/>
      <c r="E137" s="19"/>
      <c r="J137" s="5"/>
      <c r="L137" s="9"/>
      <c r="N137" s="9"/>
    </row>
    <row r="138" spans="1:14" x14ac:dyDescent="0.2">
      <c r="A138" s="11"/>
      <c r="B138" s="11"/>
      <c r="C138" s="11"/>
      <c r="D138" s="11"/>
      <c r="E138" s="19"/>
      <c r="J138" s="5"/>
      <c r="L138" s="9"/>
      <c r="N138" s="9"/>
    </row>
    <row r="139" spans="1:14" x14ac:dyDescent="0.2">
      <c r="A139" s="11"/>
      <c r="B139" s="11"/>
      <c r="C139" s="11"/>
      <c r="D139" s="11"/>
      <c r="E139" s="19"/>
      <c r="J139" s="5"/>
      <c r="L139" s="9"/>
      <c r="N139" s="9"/>
    </row>
    <row r="140" spans="1:14" x14ac:dyDescent="0.2">
      <c r="A140" s="11"/>
      <c r="B140" s="11"/>
      <c r="C140" s="11"/>
      <c r="D140" s="11"/>
      <c r="E140" s="19"/>
      <c r="J140" s="5"/>
      <c r="L140" s="9"/>
      <c r="N140" s="9"/>
    </row>
    <row r="141" spans="1:14" x14ac:dyDescent="0.2">
      <c r="A141" s="11"/>
      <c r="B141" s="11"/>
      <c r="C141" s="11"/>
      <c r="D141" s="11"/>
      <c r="E141" s="19"/>
      <c r="J141" s="5"/>
      <c r="L141" s="9"/>
      <c r="N141" s="9"/>
    </row>
    <row r="142" spans="1:14" x14ac:dyDescent="0.2">
      <c r="A142" s="11"/>
      <c r="B142" s="11"/>
      <c r="C142" s="11"/>
      <c r="D142" s="11"/>
      <c r="E142" s="19"/>
      <c r="J142" s="5"/>
      <c r="L142" s="9"/>
      <c r="N142" s="9"/>
    </row>
    <row r="143" spans="1:14" x14ac:dyDescent="0.2">
      <c r="A143" s="11"/>
      <c r="B143" s="11"/>
      <c r="C143" s="11"/>
      <c r="D143" s="11"/>
      <c r="E143" s="19"/>
      <c r="J143" s="5"/>
      <c r="L143" s="9"/>
      <c r="N143" s="9"/>
    </row>
    <row r="144" spans="1:14" x14ac:dyDescent="0.2">
      <c r="A144" s="11"/>
      <c r="B144" s="11"/>
      <c r="C144" s="11"/>
      <c r="D144" s="11"/>
      <c r="E144" s="19"/>
      <c r="J144" s="5"/>
      <c r="L144" s="9"/>
      <c r="N144" s="9"/>
    </row>
    <row r="145" spans="1:14" x14ac:dyDescent="0.2">
      <c r="A145" s="11"/>
      <c r="B145" s="11"/>
      <c r="C145" s="11"/>
      <c r="D145" s="11"/>
      <c r="E145" s="19"/>
      <c r="J145" s="5"/>
      <c r="L145" s="9"/>
      <c r="N145" s="9"/>
    </row>
    <row r="146" spans="1:14" x14ac:dyDescent="0.2">
      <c r="A146" s="11"/>
      <c r="B146" s="11"/>
      <c r="C146" s="11"/>
      <c r="D146" s="11"/>
      <c r="E146" s="19"/>
      <c r="J146" s="5"/>
      <c r="L146" s="9"/>
      <c r="N146" s="9"/>
    </row>
    <row r="147" spans="1:14" x14ac:dyDescent="0.2">
      <c r="A147" s="11"/>
      <c r="B147" s="11"/>
      <c r="C147" s="11"/>
      <c r="D147" s="11"/>
      <c r="E147" s="19"/>
      <c r="J147" s="5"/>
      <c r="L147" s="9"/>
      <c r="N147" s="9"/>
    </row>
    <row r="148" spans="1:14" x14ac:dyDescent="0.2">
      <c r="A148" s="11"/>
      <c r="B148" s="14"/>
      <c r="C148" s="14"/>
      <c r="D148" s="14"/>
      <c r="E148" s="19"/>
      <c r="J148" s="5"/>
      <c r="L148" s="9"/>
      <c r="N148" s="9"/>
    </row>
    <row r="149" spans="1:14" x14ac:dyDescent="0.2">
      <c r="A149" s="11"/>
      <c r="B149" s="11"/>
      <c r="C149" s="11"/>
      <c r="D149" s="11"/>
      <c r="E149" s="19"/>
      <c r="J149" s="5"/>
      <c r="L149" s="9"/>
      <c r="N149" s="9"/>
    </row>
    <row r="150" spans="1:14" x14ac:dyDescent="0.2">
      <c r="A150" s="11"/>
      <c r="B150" s="11"/>
      <c r="C150" s="11"/>
      <c r="D150" s="11"/>
      <c r="E150" s="19"/>
      <c r="J150" s="5"/>
      <c r="L150" s="9"/>
      <c r="N150" s="9"/>
    </row>
    <row r="151" spans="1:14" x14ac:dyDescent="0.2">
      <c r="A151" s="11"/>
      <c r="B151" s="14"/>
      <c r="C151" s="14"/>
      <c r="D151" s="14"/>
      <c r="E151" s="19"/>
      <c r="J151" s="5"/>
      <c r="L151" s="9"/>
      <c r="N151" s="9"/>
    </row>
    <row r="152" spans="1:14" x14ac:dyDescent="0.2">
      <c r="A152" s="11"/>
      <c r="B152" s="11"/>
      <c r="C152" s="11"/>
      <c r="D152" s="11"/>
      <c r="E152" s="19"/>
      <c r="J152" s="5"/>
      <c r="L152" s="9"/>
      <c r="N152" s="9"/>
    </row>
    <row r="153" spans="1:14" x14ac:dyDescent="0.2">
      <c r="A153" s="11"/>
      <c r="B153" s="11"/>
      <c r="C153" s="11"/>
      <c r="D153" s="11"/>
      <c r="E153" s="19"/>
      <c r="J153" s="5"/>
      <c r="L153" s="9"/>
      <c r="N153" s="9"/>
    </row>
    <row r="154" spans="1:14" x14ac:dyDescent="0.2">
      <c r="A154" s="11"/>
      <c r="B154" s="11"/>
      <c r="C154" s="11"/>
      <c r="D154" s="11"/>
      <c r="E154" s="15"/>
      <c r="J154" s="5"/>
      <c r="L154" s="9"/>
      <c r="N154" s="9"/>
    </row>
    <row r="155" spans="1:14" x14ac:dyDescent="0.2">
      <c r="A155" s="11"/>
      <c r="B155" s="11"/>
      <c r="C155" s="11"/>
      <c r="D155" s="11"/>
      <c r="E155" s="15"/>
      <c r="J155" s="5"/>
      <c r="L155" s="9"/>
      <c r="N155" s="9"/>
    </row>
    <row r="156" spans="1:14" x14ac:dyDescent="0.2">
      <c r="A156" s="11"/>
      <c r="B156" s="14"/>
      <c r="C156" s="14"/>
      <c r="D156" s="14"/>
      <c r="E156" s="19"/>
      <c r="J156" s="5"/>
      <c r="L156" s="9"/>
      <c r="N156" s="9"/>
    </row>
    <row r="157" spans="1:14" x14ac:dyDescent="0.2">
      <c r="A157" s="11"/>
      <c r="B157" s="11"/>
      <c r="C157" s="11"/>
      <c r="D157" s="11"/>
      <c r="E157" s="19"/>
      <c r="J157" s="5"/>
      <c r="L157" s="9"/>
      <c r="N157" s="9"/>
    </row>
    <row r="158" spans="1:14" x14ac:dyDescent="0.2">
      <c r="A158" s="11"/>
      <c r="B158" s="11"/>
      <c r="C158" s="11"/>
      <c r="D158" s="11"/>
      <c r="E158" s="19"/>
      <c r="J158" s="5"/>
      <c r="L158" s="9"/>
      <c r="N158" s="9"/>
    </row>
    <row r="159" spans="1:14" x14ac:dyDescent="0.2">
      <c r="A159" s="16"/>
      <c r="E159" s="19"/>
      <c r="J159" s="5"/>
      <c r="L159" s="9"/>
      <c r="N159" s="9"/>
    </row>
    <row r="160" spans="1:14" x14ac:dyDescent="0.2">
      <c r="A160" s="11"/>
      <c r="B160" s="11"/>
      <c r="C160" s="11"/>
      <c r="D160" s="11"/>
      <c r="E160" s="19"/>
      <c r="J160" s="5"/>
      <c r="L160" s="9"/>
      <c r="N160" s="9"/>
    </row>
    <row r="161" spans="1:14" x14ac:dyDescent="0.2">
      <c r="A161" s="11"/>
      <c r="B161" s="14"/>
      <c r="C161" s="14"/>
      <c r="D161" s="14"/>
      <c r="E161" s="19"/>
      <c r="J161" s="5"/>
      <c r="L161" s="9"/>
      <c r="N161" s="9"/>
    </row>
    <row r="162" spans="1:14" x14ac:dyDescent="0.2">
      <c r="A162" s="11"/>
      <c r="B162" s="11"/>
      <c r="C162" s="11"/>
      <c r="D162" s="11"/>
      <c r="E162" s="19"/>
      <c r="J162" s="5"/>
      <c r="L162" s="9"/>
      <c r="N162" s="9"/>
    </row>
    <row r="163" spans="1:14" x14ac:dyDescent="0.2">
      <c r="A163" s="11"/>
      <c r="B163" s="11"/>
      <c r="C163" s="11"/>
      <c r="D163" s="11"/>
      <c r="E163" s="19"/>
      <c r="J163" s="5"/>
      <c r="L163" s="9"/>
      <c r="N163" s="9"/>
    </row>
    <row r="164" spans="1:14" x14ac:dyDescent="0.2">
      <c r="A164" s="11"/>
      <c r="B164" s="11"/>
      <c r="C164" s="11"/>
      <c r="D164" s="11"/>
      <c r="E164" s="19"/>
      <c r="J164" s="5"/>
      <c r="L164" s="9"/>
      <c r="N164" s="9"/>
    </row>
    <row r="165" spans="1:14" x14ac:dyDescent="0.2">
      <c r="A165" s="11"/>
      <c r="B165" s="11"/>
      <c r="C165" s="11"/>
      <c r="D165" s="11"/>
      <c r="E165" s="19"/>
      <c r="J165" s="5"/>
      <c r="L165" s="9"/>
      <c r="N165" s="9"/>
    </row>
    <row r="166" spans="1:14" x14ac:dyDescent="0.2">
      <c r="A166" s="11"/>
      <c r="B166" s="11"/>
      <c r="C166" s="11"/>
      <c r="D166" s="11"/>
      <c r="E166" s="19"/>
      <c r="J166" s="5"/>
      <c r="L166" s="9"/>
      <c r="N166" s="9"/>
    </row>
    <row r="167" spans="1:14" x14ac:dyDescent="0.2">
      <c r="A167" s="11"/>
      <c r="B167" s="11"/>
      <c r="C167" s="11"/>
      <c r="D167" s="11"/>
      <c r="E167" s="19"/>
      <c r="J167" s="5"/>
      <c r="L167" s="9"/>
      <c r="N167" s="9"/>
    </row>
    <row r="168" spans="1:14" x14ac:dyDescent="0.2">
      <c r="A168" s="11"/>
      <c r="B168" s="11"/>
      <c r="C168" s="11"/>
      <c r="D168" s="11"/>
      <c r="E168" s="19"/>
      <c r="J168" s="5"/>
      <c r="L168" s="9"/>
      <c r="N168" s="9"/>
    </row>
    <row r="169" spans="1:14" x14ac:dyDescent="0.2">
      <c r="A169" s="11"/>
      <c r="B169" s="11"/>
      <c r="C169" s="11"/>
      <c r="D169" s="11"/>
      <c r="E169" s="19"/>
      <c r="J169" s="5"/>
      <c r="L169" s="9"/>
      <c r="N169" s="9"/>
    </row>
    <row r="170" spans="1:14" x14ac:dyDescent="0.2">
      <c r="A170" s="11"/>
      <c r="B170" s="11"/>
      <c r="C170" s="11"/>
      <c r="D170" s="11"/>
      <c r="E170" s="19"/>
      <c r="J170" s="5"/>
      <c r="L170" s="9"/>
      <c r="N170" s="9"/>
    </row>
    <row r="171" spans="1:14" x14ac:dyDescent="0.2">
      <c r="A171" s="11"/>
      <c r="B171" s="11"/>
      <c r="C171" s="11"/>
      <c r="D171" s="11"/>
      <c r="E171" s="19"/>
      <c r="J171" s="5"/>
      <c r="L171" s="9"/>
      <c r="N171" s="9"/>
    </row>
    <row r="172" spans="1:14" x14ac:dyDescent="0.2">
      <c r="A172" s="11"/>
      <c r="B172" s="11"/>
      <c r="C172" s="11"/>
      <c r="D172" s="11"/>
      <c r="E172" s="19"/>
      <c r="J172" s="5"/>
      <c r="L172" s="9"/>
      <c r="N172" s="9"/>
    </row>
    <row r="173" spans="1:14" x14ac:dyDescent="0.2">
      <c r="A173" s="11"/>
      <c r="B173" s="11"/>
      <c r="C173" s="11"/>
      <c r="D173" s="11"/>
      <c r="E173" s="19"/>
      <c r="J173" s="5"/>
      <c r="L173" s="9"/>
      <c r="N173" s="9"/>
    </row>
    <row r="174" spans="1:14" x14ac:dyDescent="0.2">
      <c r="A174" s="11"/>
      <c r="B174" s="11"/>
      <c r="C174" s="11"/>
      <c r="D174" s="11"/>
      <c r="E174" s="19"/>
      <c r="J174" s="5"/>
      <c r="L174" s="9"/>
      <c r="N174" s="9"/>
    </row>
    <row r="175" spans="1:14" x14ac:dyDescent="0.2">
      <c r="A175" s="11"/>
      <c r="B175" s="11"/>
      <c r="C175" s="11"/>
      <c r="D175" s="11"/>
      <c r="E175" s="19"/>
      <c r="J175" s="5"/>
      <c r="L175" s="9"/>
      <c r="N175" s="9"/>
    </row>
    <row r="176" spans="1:14" x14ac:dyDescent="0.2">
      <c r="A176" s="11"/>
      <c r="B176" s="11"/>
      <c r="C176" s="11"/>
      <c r="D176" s="11"/>
      <c r="E176" s="19"/>
      <c r="J176" s="5"/>
      <c r="L176" s="9"/>
      <c r="N176" s="9"/>
    </row>
    <row r="177" spans="1:14" x14ac:dyDescent="0.2">
      <c r="A177" s="11"/>
      <c r="B177" s="11"/>
      <c r="C177" s="11"/>
      <c r="D177" s="11"/>
      <c r="E177" s="19"/>
      <c r="J177" s="5"/>
      <c r="L177" s="9"/>
      <c r="N177" s="9"/>
    </row>
    <row r="178" spans="1:14" x14ac:dyDescent="0.2">
      <c r="A178" s="11"/>
      <c r="B178" s="11"/>
      <c r="C178" s="11"/>
      <c r="D178" s="11"/>
      <c r="E178" s="19"/>
      <c r="J178" s="5"/>
      <c r="L178" s="9"/>
      <c r="N178" s="9"/>
    </row>
    <row r="179" spans="1:14" x14ac:dyDescent="0.2">
      <c r="A179" s="11"/>
      <c r="B179" s="11"/>
      <c r="C179" s="11"/>
      <c r="D179" s="11"/>
      <c r="E179" s="19"/>
      <c r="J179" s="5"/>
      <c r="L179" s="9"/>
      <c r="N179" s="9"/>
    </row>
    <row r="180" spans="1:14" x14ac:dyDescent="0.2">
      <c r="A180" s="11"/>
      <c r="B180" s="11"/>
      <c r="C180" s="11"/>
      <c r="D180" s="11"/>
      <c r="E180" s="19"/>
      <c r="J180" s="5"/>
      <c r="L180" s="9"/>
      <c r="N180" s="9"/>
    </row>
    <row r="181" spans="1:14" x14ac:dyDescent="0.2">
      <c r="A181" s="11"/>
      <c r="B181" s="11"/>
      <c r="C181" s="11"/>
      <c r="D181" s="11"/>
      <c r="E181" s="19"/>
      <c r="J181" s="5"/>
      <c r="L181" s="9"/>
      <c r="N181" s="9"/>
    </row>
    <row r="182" spans="1:14" x14ac:dyDescent="0.2">
      <c r="A182" s="11"/>
      <c r="B182" s="11"/>
      <c r="C182" s="11"/>
      <c r="D182" s="11"/>
      <c r="E182" s="19"/>
      <c r="J182" s="5"/>
      <c r="L182" s="9"/>
      <c r="N182" s="9"/>
    </row>
    <row r="183" spans="1:14" x14ac:dyDescent="0.2">
      <c r="A183" s="11"/>
      <c r="B183" s="11"/>
      <c r="C183" s="11"/>
      <c r="D183" s="11"/>
      <c r="E183" s="19"/>
      <c r="J183" s="5"/>
      <c r="L183" s="9"/>
      <c r="N183" s="9"/>
    </row>
    <row r="184" spans="1:14" x14ac:dyDescent="0.2">
      <c r="A184" s="11"/>
      <c r="B184" s="11"/>
      <c r="C184" s="11"/>
      <c r="D184" s="11"/>
      <c r="E184" s="19"/>
      <c r="J184" s="5"/>
      <c r="L184" s="9"/>
      <c r="N184" s="9"/>
    </row>
    <row r="185" spans="1:14" x14ac:dyDescent="0.2">
      <c r="A185" s="11"/>
      <c r="B185" s="11"/>
      <c r="C185" s="11"/>
      <c r="D185" s="11"/>
      <c r="E185" s="19"/>
      <c r="J185" s="5"/>
      <c r="L185" s="9"/>
      <c r="N185" s="9"/>
    </row>
    <row r="186" spans="1:14" x14ac:dyDescent="0.2">
      <c r="A186" s="11"/>
      <c r="B186" s="11"/>
      <c r="C186" s="11"/>
      <c r="D186" s="11"/>
      <c r="E186" s="19"/>
      <c r="J186" s="5"/>
      <c r="L186" s="9"/>
      <c r="N186" s="9"/>
    </row>
    <row r="187" spans="1:14" x14ac:dyDescent="0.2">
      <c r="A187" s="11"/>
      <c r="B187" s="11"/>
      <c r="C187" s="11"/>
      <c r="D187" s="11"/>
      <c r="E187" s="19"/>
      <c r="J187" s="5"/>
      <c r="L187" s="9"/>
      <c r="N187" s="9"/>
    </row>
    <row r="188" spans="1:14" x14ac:dyDescent="0.2">
      <c r="A188" s="11"/>
      <c r="B188" s="11"/>
      <c r="C188" s="11"/>
      <c r="D188" s="11"/>
      <c r="E188" s="19"/>
      <c r="J188" s="5"/>
      <c r="L188" s="9"/>
      <c r="N188" s="9"/>
    </row>
    <row r="189" spans="1:14" x14ac:dyDescent="0.2">
      <c r="A189" s="11"/>
      <c r="B189" s="11"/>
      <c r="C189" s="11"/>
      <c r="D189" s="11"/>
      <c r="E189" s="19"/>
      <c r="J189" s="5"/>
      <c r="L189" s="9"/>
      <c r="N189" s="9"/>
    </row>
    <row r="190" spans="1:14" x14ac:dyDescent="0.2">
      <c r="A190" s="11"/>
      <c r="B190" s="11"/>
      <c r="C190" s="11"/>
      <c r="D190" s="11"/>
      <c r="E190" s="19"/>
      <c r="J190" s="5"/>
      <c r="L190" s="9"/>
      <c r="N190" s="9"/>
    </row>
    <row r="191" spans="1:14" x14ac:dyDescent="0.2">
      <c r="A191" s="11"/>
      <c r="B191" s="11"/>
      <c r="C191" s="11"/>
      <c r="D191" s="11"/>
      <c r="E191" s="19"/>
      <c r="J191" s="5"/>
      <c r="L191" s="9"/>
      <c r="N191" s="9"/>
    </row>
    <row r="192" spans="1:14" x14ac:dyDescent="0.2">
      <c r="A192" s="11"/>
      <c r="B192" s="11"/>
      <c r="C192" s="11"/>
      <c r="D192" s="11"/>
      <c r="E192" s="19"/>
      <c r="J192" s="5"/>
      <c r="L192" s="9"/>
      <c r="N192" s="9"/>
    </row>
    <row r="193" spans="1:14" x14ac:dyDescent="0.2">
      <c r="A193" s="11"/>
      <c r="B193" s="11"/>
      <c r="C193" s="11"/>
      <c r="D193" s="11"/>
      <c r="E193" s="19"/>
      <c r="J193" s="5"/>
      <c r="L193" s="9"/>
      <c r="N193" s="9"/>
    </row>
    <row r="194" spans="1:14" x14ac:dyDescent="0.2">
      <c r="A194" s="11"/>
      <c r="B194" s="11"/>
      <c r="C194" s="11"/>
      <c r="D194" s="11"/>
      <c r="E194" s="19"/>
      <c r="J194" s="5"/>
      <c r="L194" s="9"/>
      <c r="N194" s="9"/>
    </row>
    <row r="195" spans="1:14" x14ac:dyDescent="0.2">
      <c r="A195" s="11"/>
      <c r="B195" s="11"/>
      <c r="C195" s="11"/>
      <c r="D195" s="11"/>
      <c r="E195" s="19"/>
      <c r="J195" s="5"/>
      <c r="L195" s="9"/>
      <c r="N195" s="9"/>
    </row>
    <row r="196" spans="1:14" x14ac:dyDescent="0.2">
      <c r="A196" s="11"/>
      <c r="B196" s="11"/>
      <c r="C196" s="11"/>
      <c r="D196" s="11"/>
      <c r="E196" s="19"/>
      <c r="J196" s="5"/>
      <c r="L196" s="9"/>
      <c r="N196" s="9"/>
    </row>
    <row r="197" spans="1:14" x14ac:dyDescent="0.2">
      <c r="A197" s="11"/>
      <c r="B197" s="11"/>
      <c r="C197" s="11"/>
      <c r="D197" s="11"/>
      <c r="E197" s="19"/>
      <c r="J197" s="5"/>
      <c r="L197" s="9"/>
      <c r="N197" s="9"/>
    </row>
    <row r="198" spans="1:14" x14ac:dyDescent="0.2">
      <c r="A198" s="11"/>
      <c r="B198" s="11"/>
      <c r="C198" s="11"/>
      <c r="D198" s="11"/>
      <c r="E198" s="19"/>
      <c r="J198" s="5"/>
      <c r="L198" s="9"/>
      <c r="N198" s="9"/>
    </row>
    <row r="199" spans="1:14" x14ac:dyDescent="0.2">
      <c r="A199" s="11"/>
      <c r="B199" s="11"/>
      <c r="C199" s="11"/>
      <c r="D199" s="11"/>
      <c r="E199" s="19"/>
      <c r="J199" s="5"/>
      <c r="L199" s="9"/>
      <c r="N199" s="9"/>
    </row>
    <row r="200" spans="1:14" x14ac:dyDescent="0.2">
      <c r="A200" s="11"/>
      <c r="B200" s="11"/>
      <c r="C200" s="11"/>
      <c r="D200" s="11"/>
      <c r="E200" s="19"/>
      <c r="J200" s="5"/>
      <c r="L200" s="9"/>
      <c r="N200" s="9"/>
    </row>
    <row r="201" spans="1:14" x14ac:dyDescent="0.2">
      <c r="A201" s="11"/>
      <c r="B201" s="11"/>
      <c r="C201" s="11"/>
      <c r="D201" s="11"/>
      <c r="E201" s="19"/>
      <c r="J201" s="5"/>
      <c r="L201" s="9"/>
      <c r="N201" s="9"/>
    </row>
    <row r="202" spans="1:14" x14ac:dyDescent="0.2">
      <c r="A202" s="11"/>
      <c r="B202" s="11"/>
      <c r="C202" s="11"/>
      <c r="D202" s="11"/>
      <c r="E202" s="19"/>
      <c r="J202" s="5"/>
      <c r="L202" s="9"/>
      <c r="N202" s="9"/>
    </row>
    <row r="203" spans="1:14" x14ac:dyDescent="0.2">
      <c r="A203" s="11"/>
      <c r="B203" s="11"/>
      <c r="C203" s="11"/>
      <c r="D203" s="11"/>
      <c r="E203" s="19"/>
      <c r="J203" s="5"/>
      <c r="L203" s="9"/>
      <c r="N203" s="9"/>
    </row>
    <row r="204" spans="1:14" x14ac:dyDescent="0.2">
      <c r="A204" s="11"/>
      <c r="B204" s="11"/>
      <c r="C204" s="11"/>
      <c r="D204" s="11"/>
      <c r="E204" s="19"/>
      <c r="J204" s="5"/>
      <c r="L204" s="9"/>
      <c r="N204" s="9"/>
    </row>
    <row r="205" spans="1:14" x14ac:dyDescent="0.2">
      <c r="A205" s="11"/>
      <c r="B205" s="11"/>
      <c r="C205" s="11"/>
      <c r="D205" s="11"/>
      <c r="E205" s="19"/>
      <c r="J205" s="5"/>
      <c r="L205" s="9"/>
      <c r="N205" s="9"/>
    </row>
    <row r="206" spans="1:14" x14ac:dyDescent="0.2">
      <c r="A206" s="11"/>
      <c r="B206" s="11"/>
      <c r="C206" s="11"/>
      <c r="D206" s="11"/>
      <c r="E206" s="19"/>
      <c r="J206" s="5"/>
      <c r="L206" s="9"/>
      <c r="N206" s="9"/>
    </row>
    <row r="207" spans="1:14" x14ac:dyDescent="0.2">
      <c r="A207" s="11"/>
      <c r="B207" s="11"/>
      <c r="C207" s="11"/>
      <c r="D207" s="11"/>
      <c r="E207" s="19"/>
      <c r="J207" s="5"/>
      <c r="L207" s="9"/>
      <c r="N207" s="9"/>
    </row>
    <row r="208" spans="1:14" x14ac:dyDescent="0.2">
      <c r="A208" s="11"/>
      <c r="B208" s="11"/>
      <c r="C208" s="11"/>
      <c r="D208" s="11"/>
      <c r="E208" s="19"/>
      <c r="J208" s="5"/>
      <c r="L208" s="9"/>
      <c r="N208" s="9"/>
    </row>
    <row r="209" spans="1:14" x14ac:dyDescent="0.2">
      <c r="A209" s="11"/>
      <c r="B209" s="11"/>
      <c r="C209" s="11"/>
      <c r="D209" s="11"/>
      <c r="E209" s="19"/>
      <c r="J209" s="5"/>
      <c r="L209" s="9"/>
      <c r="N209" s="9"/>
    </row>
    <row r="210" spans="1:14" x14ac:dyDescent="0.2">
      <c r="A210" s="11"/>
      <c r="B210" s="11"/>
      <c r="C210" s="11"/>
      <c r="D210" s="11"/>
      <c r="E210" s="19"/>
      <c r="J210" s="5"/>
      <c r="L210" s="9"/>
      <c r="N210" s="9"/>
    </row>
    <row r="211" spans="1:14" x14ac:dyDescent="0.2">
      <c r="A211" s="11"/>
      <c r="B211" s="11"/>
      <c r="C211" s="11"/>
      <c r="D211" s="11"/>
      <c r="E211" s="19"/>
      <c r="J211" s="5"/>
      <c r="L211" s="9"/>
      <c r="N211" s="9"/>
    </row>
    <row r="212" spans="1:14" x14ac:dyDescent="0.2">
      <c r="A212" s="11"/>
      <c r="B212" s="11"/>
      <c r="C212" s="11"/>
      <c r="D212" s="11"/>
      <c r="E212" s="19"/>
      <c r="J212" s="5"/>
      <c r="L212" s="9"/>
      <c r="N212" s="9"/>
    </row>
    <row r="213" spans="1:14" x14ac:dyDescent="0.2">
      <c r="A213" s="11"/>
      <c r="B213" s="11"/>
      <c r="C213" s="11"/>
      <c r="D213" s="11"/>
      <c r="E213" s="19"/>
      <c r="J213" s="5"/>
      <c r="L213" s="9"/>
      <c r="N213" s="9"/>
    </row>
    <row r="214" spans="1:14" x14ac:dyDescent="0.2">
      <c r="A214" s="11"/>
      <c r="B214" s="11"/>
      <c r="C214" s="11"/>
      <c r="D214" s="11"/>
      <c r="E214" s="19"/>
      <c r="J214" s="5"/>
      <c r="L214" s="9"/>
      <c r="N214" s="9"/>
    </row>
    <row r="215" spans="1:14" x14ac:dyDescent="0.2">
      <c r="A215" s="11"/>
      <c r="B215" s="11"/>
      <c r="C215" s="11"/>
      <c r="D215" s="11"/>
      <c r="E215" s="19"/>
      <c r="J215" s="5"/>
      <c r="L215" s="9"/>
      <c r="N215" s="9"/>
    </row>
    <row r="216" spans="1:14" x14ac:dyDescent="0.2">
      <c r="A216" s="11"/>
      <c r="B216" s="11"/>
      <c r="C216" s="11"/>
      <c r="D216" s="11"/>
      <c r="E216" s="19"/>
      <c r="J216" s="5"/>
      <c r="L216" s="9"/>
      <c r="N216" s="9"/>
    </row>
    <row r="217" spans="1:14" x14ac:dyDescent="0.2">
      <c r="A217" s="11"/>
      <c r="B217" s="11"/>
      <c r="C217" s="11"/>
      <c r="D217" s="11"/>
      <c r="E217" s="19"/>
      <c r="J217" s="5"/>
      <c r="L217" s="9"/>
      <c r="N217" s="9"/>
    </row>
    <row r="218" spans="1:14" x14ac:dyDescent="0.2">
      <c r="A218" s="11"/>
      <c r="B218" s="11"/>
      <c r="C218" s="11"/>
      <c r="D218" s="11"/>
      <c r="E218" s="19"/>
      <c r="J218" s="5"/>
      <c r="L218" s="9"/>
      <c r="N218" s="9"/>
    </row>
    <row r="219" spans="1:14" x14ac:dyDescent="0.2">
      <c r="A219" s="11"/>
      <c r="B219" s="11"/>
      <c r="C219" s="11"/>
      <c r="D219" s="11"/>
      <c r="E219" s="19"/>
      <c r="J219" s="5"/>
      <c r="L219" s="9"/>
      <c r="N219" s="9"/>
    </row>
    <row r="220" spans="1:14" x14ac:dyDescent="0.2">
      <c r="A220" s="11"/>
      <c r="B220" s="11"/>
      <c r="C220" s="11"/>
      <c r="D220" s="11"/>
      <c r="E220" s="19"/>
      <c r="J220" s="5"/>
      <c r="L220" s="9"/>
      <c r="N220" s="9"/>
    </row>
    <row r="221" spans="1:14" x14ac:dyDescent="0.2">
      <c r="A221" s="11"/>
      <c r="B221" s="11"/>
      <c r="C221" s="11"/>
      <c r="D221" s="11"/>
      <c r="E221" s="19"/>
      <c r="J221" s="5"/>
      <c r="L221" s="9"/>
      <c r="N221" s="9"/>
    </row>
    <row r="222" spans="1:14" x14ac:dyDescent="0.2">
      <c r="A222" s="11"/>
      <c r="B222" s="11"/>
      <c r="C222" s="11"/>
      <c r="D222" s="11"/>
      <c r="E222" s="19"/>
      <c r="J222" s="5"/>
      <c r="L222" s="9"/>
      <c r="N222" s="9"/>
    </row>
    <row r="223" spans="1:14" x14ac:dyDescent="0.2">
      <c r="A223" s="11"/>
      <c r="B223" s="11"/>
      <c r="C223" s="11"/>
      <c r="D223" s="11"/>
      <c r="E223" s="19"/>
      <c r="J223" s="5"/>
      <c r="L223" s="9"/>
      <c r="N223" s="9"/>
    </row>
    <row r="224" spans="1:14" x14ac:dyDescent="0.2">
      <c r="A224" s="11"/>
      <c r="B224" s="11"/>
      <c r="C224" s="11"/>
      <c r="D224" s="11"/>
      <c r="E224" s="19"/>
      <c r="J224" s="5"/>
      <c r="L224" s="9"/>
      <c r="N224" s="9"/>
    </row>
    <row r="225" spans="1:14" x14ac:dyDescent="0.2">
      <c r="A225" s="11"/>
      <c r="B225" s="11"/>
      <c r="C225" s="11"/>
      <c r="D225" s="11"/>
      <c r="E225" s="19"/>
      <c r="J225" s="5"/>
      <c r="L225" s="9"/>
      <c r="N225" s="9"/>
    </row>
    <row r="226" spans="1:14" x14ac:dyDescent="0.2">
      <c r="A226" s="11"/>
      <c r="B226" s="11"/>
      <c r="C226" s="11"/>
      <c r="D226" s="11"/>
      <c r="E226" s="19"/>
      <c r="J226" s="5"/>
      <c r="L226" s="9"/>
      <c r="N226" s="9"/>
    </row>
    <row r="227" spans="1:14" x14ac:dyDescent="0.2">
      <c r="A227" s="11"/>
      <c r="B227" s="11"/>
      <c r="C227" s="11"/>
      <c r="D227" s="11"/>
      <c r="E227" s="19"/>
      <c r="J227" s="5"/>
      <c r="L227" s="9"/>
      <c r="N227" s="9"/>
    </row>
    <row r="228" spans="1:14" x14ac:dyDescent="0.2">
      <c r="A228" s="11"/>
      <c r="B228" s="11"/>
      <c r="C228" s="11"/>
      <c r="D228" s="11"/>
      <c r="E228" s="19"/>
      <c r="J228" s="5"/>
      <c r="L228" s="9"/>
      <c r="N228" s="9"/>
    </row>
    <row r="229" spans="1:14" x14ac:dyDescent="0.2">
      <c r="A229" s="11"/>
      <c r="B229" s="11"/>
      <c r="C229" s="11"/>
      <c r="D229" s="11"/>
      <c r="E229" s="19"/>
      <c r="J229" s="5"/>
      <c r="L229" s="9"/>
      <c r="N229" s="9"/>
    </row>
    <row r="230" spans="1:14" x14ac:dyDescent="0.2">
      <c r="A230" s="11"/>
      <c r="B230" s="11"/>
      <c r="C230" s="11"/>
      <c r="D230" s="11"/>
      <c r="E230" s="19"/>
      <c r="J230" s="5"/>
      <c r="L230" s="9"/>
      <c r="N230" s="9"/>
    </row>
    <row r="231" spans="1:14" x14ac:dyDescent="0.2">
      <c r="A231" s="11"/>
      <c r="B231" s="11"/>
      <c r="C231" s="11"/>
      <c r="D231" s="11"/>
      <c r="E231" s="19"/>
      <c r="J231" s="5"/>
      <c r="L231" s="9"/>
      <c r="N231" s="9"/>
    </row>
    <row r="232" spans="1:14" x14ac:dyDescent="0.2">
      <c r="A232" s="11"/>
      <c r="B232" s="11"/>
      <c r="C232" s="11"/>
      <c r="D232" s="11"/>
      <c r="E232" s="19"/>
      <c r="J232" s="5"/>
      <c r="L232" s="9"/>
      <c r="N232" s="9"/>
    </row>
    <row r="233" spans="1:14" x14ac:dyDescent="0.2">
      <c r="A233" s="11"/>
      <c r="B233" s="11"/>
      <c r="C233" s="11"/>
      <c r="D233" s="11"/>
      <c r="E233" s="19"/>
      <c r="J233" s="5"/>
      <c r="L233" s="9"/>
      <c r="N233" s="9"/>
    </row>
    <row r="234" spans="1:14" x14ac:dyDescent="0.2">
      <c r="A234" s="11"/>
      <c r="B234" s="11"/>
      <c r="C234" s="11"/>
      <c r="D234" s="11"/>
      <c r="E234" s="19"/>
      <c r="J234" s="5"/>
      <c r="L234" s="9"/>
      <c r="N234" s="9"/>
    </row>
    <row r="235" spans="1:14" x14ac:dyDescent="0.2">
      <c r="A235" s="11"/>
      <c r="B235" s="11"/>
      <c r="C235" s="11"/>
      <c r="D235" s="11"/>
      <c r="E235" s="19"/>
      <c r="J235" s="5"/>
      <c r="L235" s="9"/>
      <c r="N235" s="9"/>
    </row>
    <row r="236" spans="1:14" x14ac:dyDescent="0.2">
      <c r="A236" s="11"/>
      <c r="B236" s="11"/>
      <c r="C236" s="11"/>
      <c r="D236" s="11"/>
      <c r="E236" s="19"/>
      <c r="J236" s="5"/>
      <c r="L236" s="9"/>
      <c r="N236" s="9"/>
    </row>
    <row r="237" spans="1:14" x14ac:dyDescent="0.2">
      <c r="A237" s="11"/>
      <c r="B237" s="11"/>
      <c r="C237" s="11"/>
      <c r="D237" s="11"/>
      <c r="E237" s="19"/>
      <c r="J237" s="5"/>
      <c r="L237" s="9"/>
      <c r="N237" s="9"/>
    </row>
    <row r="238" spans="1:14" x14ac:dyDescent="0.2">
      <c r="A238" s="11"/>
      <c r="B238" s="11"/>
      <c r="C238" s="11"/>
      <c r="D238" s="11"/>
      <c r="E238" s="19"/>
      <c r="J238" s="5"/>
      <c r="L238" s="9"/>
      <c r="N238" s="9"/>
    </row>
    <row r="239" spans="1:14" x14ac:dyDescent="0.2">
      <c r="A239" s="11"/>
      <c r="B239" s="11"/>
      <c r="C239" s="11"/>
      <c r="D239" s="11"/>
      <c r="E239" s="19"/>
      <c r="J239" s="5"/>
      <c r="L239" s="9"/>
      <c r="N239" s="9"/>
    </row>
    <row r="240" spans="1:14" x14ac:dyDescent="0.2">
      <c r="A240" s="11"/>
      <c r="B240" s="11"/>
      <c r="C240" s="11"/>
      <c r="D240" s="11"/>
      <c r="E240" s="19"/>
      <c r="J240" s="5"/>
      <c r="L240" s="9"/>
      <c r="N240" s="9"/>
    </row>
    <row r="241" spans="1:14" x14ac:dyDescent="0.2">
      <c r="A241" s="11"/>
      <c r="B241" s="11"/>
      <c r="C241" s="11"/>
      <c r="D241" s="11"/>
      <c r="E241" s="19"/>
      <c r="J241" s="5"/>
      <c r="L241" s="9"/>
      <c r="N241" s="9"/>
    </row>
    <row r="242" spans="1:14" x14ac:dyDescent="0.2">
      <c r="A242" s="11"/>
      <c r="B242" s="11"/>
      <c r="C242" s="11"/>
      <c r="D242" s="11"/>
      <c r="E242" s="19"/>
      <c r="J242" s="5"/>
      <c r="L242" s="9"/>
      <c r="N242" s="9"/>
    </row>
    <row r="243" spans="1:14" x14ac:dyDescent="0.2">
      <c r="A243" s="11"/>
      <c r="B243" s="11"/>
      <c r="C243" s="11"/>
      <c r="D243" s="11"/>
      <c r="E243" s="19"/>
      <c r="J243" s="5"/>
      <c r="L243" s="9"/>
      <c r="N243" s="9"/>
    </row>
    <row r="244" spans="1:14" x14ac:dyDescent="0.2">
      <c r="A244" s="11"/>
      <c r="B244" s="14"/>
      <c r="C244" s="14"/>
      <c r="D244" s="14"/>
      <c r="E244" s="19"/>
      <c r="J244" s="5"/>
      <c r="L244" s="9"/>
      <c r="N244" s="9"/>
    </row>
    <row r="245" spans="1:14" x14ac:dyDescent="0.2">
      <c r="A245" s="11"/>
      <c r="B245" s="11"/>
      <c r="C245" s="11"/>
      <c r="D245" s="11"/>
      <c r="E245" s="19"/>
      <c r="J245" s="5"/>
      <c r="L245" s="9"/>
      <c r="N245" s="9"/>
    </row>
    <row r="246" spans="1:14" x14ac:dyDescent="0.2">
      <c r="A246" s="11"/>
      <c r="B246" s="11"/>
      <c r="C246" s="11"/>
      <c r="D246" s="11"/>
      <c r="E246" s="19"/>
      <c r="J246" s="5"/>
      <c r="L246" s="9"/>
      <c r="N246" s="9"/>
    </row>
    <row r="247" spans="1:14" x14ac:dyDescent="0.2">
      <c r="A247" s="11"/>
      <c r="B247" s="11"/>
      <c r="C247" s="11"/>
      <c r="D247" s="11"/>
      <c r="E247" s="19"/>
      <c r="J247" s="5"/>
      <c r="L247" s="9"/>
      <c r="N247" s="9"/>
    </row>
    <row r="248" spans="1:14" x14ac:dyDescent="0.2">
      <c r="A248" s="11"/>
      <c r="B248" s="11"/>
      <c r="C248" s="11"/>
      <c r="D248" s="11"/>
      <c r="E248" s="19"/>
      <c r="J248" s="5"/>
      <c r="L248" s="9"/>
      <c r="N248" s="9"/>
    </row>
    <row r="249" spans="1:14" x14ac:dyDescent="0.2">
      <c r="A249" s="11"/>
      <c r="B249" s="11"/>
      <c r="C249" s="11"/>
      <c r="D249" s="11"/>
      <c r="E249" s="19"/>
      <c r="J249" s="5"/>
      <c r="L249" s="9"/>
      <c r="N249" s="9"/>
    </row>
    <row r="250" spans="1:14" x14ac:dyDescent="0.2">
      <c r="A250" s="11"/>
      <c r="B250" s="11"/>
      <c r="C250" s="11"/>
      <c r="D250" s="11"/>
      <c r="E250" s="19"/>
      <c r="J250" s="5"/>
      <c r="L250" s="9"/>
      <c r="N250" s="9"/>
    </row>
    <row r="251" spans="1:14" x14ac:dyDescent="0.2">
      <c r="A251" s="11"/>
      <c r="B251" s="11"/>
      <c r="C251" s="11"/>
      <c r="D251" s="11"/>
      <c r="E251" s="19"/>
      <c r="J251" s="5"/>
      <c r="L251" s="9"/>
      <c r="N251" s="9"/>
    </row>
    <row r="252" spans="1:14" x14ac:dyDescent="0.2">
      <c r="A252" s="11"/>
      <c r="B252" s="11"/>
      <c r="C252" s="11"/>
      <c r="D252" s="11"/>
      <c r="E252" s="19"/>
      <c r="J252" s="5"/>
      <c r="L252" s="9"/>
      <c r="N252" s="9"/>
    </row>
    <row r="253" spans="1:14" x14ac:dyDescent="0.2">
      <c r="A253" s="11"/>
      <c r="B253" s="11"/>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9"/>
  <sheetViews>
    <sheetView zoomScaleNormal="100" workbookViewId="0">
      <pane ySplit="4" topLeftCell="A5" activePane="bottomLeft" state="frozen"/>
      <selection activeCell="D4" sqref="D4:XFD4"/>
      <selection pane="bottomLeft" activeCell="J1" sqref="J1"/>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111" customFormat="1" ht="15" x14ac:dyDescent="0.25">
      <c r="A1" s="110" t="s">
        <v>48</v>
      </c>
      <c r="B1" s="299" t="s">
        <v>15</v>
      </c>
      <c r="C1" s="112" t="s">
        <v>49</v>
      </c>
      <c r="D1" s="300" t="s">
        <v>126</v>
      </c>
      <c r="E1" s="110" t="s">
        <v>226</v>
      </c>
      <c r="F1" s="299" t="s">
        <v>213</v>
      </c>
      <c r="G1" s="110" t="s">
        <v>9</v>
      </c>
      <c r="H1" s="299" t="s">
        <v>228</v>
      </c>
      <c r="I1" s="107" t="s">
        <v>327</v>
      </c>
      <c r="J1" s="297" t="b">
        <v>0</v>
      </c>
    </row>
    <row r="2" spans="1:11" s="128" customFormat="1" ht="15" x14ac:dyDescent="0.25">
      <c r="A2" s="127" t="s">
        <v>580</v>
      </c>
      <c r="B2" s="177" t="s">
        <v>579</v>
      </c>
      <c r="C2" s="177" t="s">
        <v>215</v>
      </c>
      <c r="D2" s="177" t="s">
        <v>619</v>
      </c>
      <c r="F2" s="292" t="s">
        <v>501</v>
      </c>
      <c r="G2" s="293"/>
      <c r="H2" s="293"/>
      <c r="I2" s="294"/>
      <c r="J2" s="129"/>
      <c r="K2" s="130"/>
    </row>
    <row r="3" spans="1:11" s="128" customFormat="1" ht="15" x14ac:dyDescent="0.25">
      <c r="A3" s="177" t="s">
        <v>620</v>
      </c>
      <c r="B3" s="177" t="s">
        <v>576</v>
      </c>
      <c r="C3" s="177" t="s">
        <v>502</v>
      </c>
      <c r="D3" s="177" t="s">
        <v>578</v>
      </c>
      <c r="F3" s="131" t="s">
        <v>502</v>
      </c>
      <c r="G3" s="132"/>
      <c r="H3" s="132"/>
      <c r="I3" s="132"/>
      <c r="J3" s="129"/>
      <c r="K3" s="130"/>
    </row>
    <row r="4" spans="1:11" s="62" customFormat="1" ht="15" x14ac:dyDescent="0.25">
      <c r="A4" s="123" t="s">
        <v>6</v>
      </c>
      <c r="B4" s="123" t="s">
        <v>226</v>
      </c>
      <c r="C4" s="124" t="s">
        <v>9</v>
      </c>
      <c r="D4" s="125" t="s">
        <v>50</v>
      </c>
      <c r="E4" s="125" t="s">
        <v>503</v>
      </c>
      <c r="F4" s="133" t="s">
        <v>500</v>
      </c>
      <c r="G4" s="132"/>
      <c r="H4" s="132"/>
      <c r="I4" s="132"/>
      <c r="J4" s="63"/>
    </row>
    <row r="5" spans="1:11" customFormat="1" ht="15" x14ac:dyDescent="0.25">
      <c r="A5" s="102" t="s">
        <v>342</v>
      </c>
      <c r="B5" s="102" t="s">
        <v>343</v>
      </c>
      <c r="G5" s="132"/>
      <c r="H5" s="132"/>
      <c r="I5" s="132"/>
    </row>
    <row r="6" spans="1:11" customFormat="1" ht="15" x14ac:dyDescent="0.25">
      <c r="A6" s="102" t="s">
        <v>344</v>
      </c>
      <c r="B6" s="102" t="s">
        <v>345</v>
      </c>
      <c r="G6" s="132"/>
      <c r="H6" s="132"/>
      <c r="I6" s="132"/>
    </row>
    <row r="7" spans="1:11" customFormat="1" ht="15" x14ac:dyDescent="0.25">
      <c r="A7" s="102" t="s">
        <v>346</v>
      </c>
      <c r="B7" s="102" t="s">
        <v>347</v>
      </c>
      <c r="G7" s="132"/>
      <c r="H7" s="132"/>
      <c r="I7" s="132"/>
    </row>
    <row r="8" spans="1:11" customFormat="1" ht="15" x14ac:dyDescent="0.25">
      <c r="A8" s="102" t="s">
        <v>348</v>
      </c>
      <c r="B8" s="102" t="s">
        <v>349</v>
      </c>
      <c r="G8" s="132"/>
      <c r="H8" s="132"/>
      <c r="I8" s="132"/>
    </row>
    <row r="9" spans="1:11" customFormat="1" ht="15" x14ac:dyDescent="0.25">
      <c r="A9" s="102" t="s">
        <v>350</v>
      </c>
      <c r="B9" s="102" t="s">
        <v>351</v>
      </c>
      <c r="G9" s="132"/>
      <c r="H9" s="132"/>
      <c r="I9" s="132"/>
    </row>
    <row r="10" spans="1:11" customFormat="1" ht="15" x14ac:dyDescent="0.25">
      <c r="A10" s="102" t="s">
        <v>352</v>
      </c>
      <c r="B10" s="102" t="s">
        <v>353</v>
      </c>
      <c r="G10" s="132"/>
      <c r="H10" s="132"/>
      <c r="I10" s="132"/>
    </row>
    <row r="11" spans="1:11" customFormat="1" ht="15" x14ac:dyDescent="0.25">
      <c r="A11" s="102" t="s">
        <v>354</v>
      </c>
      <c r="B11" s="102" t="s">
        <v>355</v>
      </c>
      <c r="G11" s="132"/>
      <c r="H11" s="132"/>
      <c r="I11" s="132"/>
    </row>
    <row r="12" spans="1:11" customFormat="1" ht="15" x14ac:dyDescent="0.25">
      <c r="A12" s="102" t="s">
        <v>356</v>
      </c>
      <c r="B12" s="102" t="s">
        <v>357</v>
      </c>
      <c r="G12" s="132"/>
      <c r="H12" s="132"/>
      <c r="I12" s="132"/>
    </row>
    <row r="13" spans="1:11" customFormat="1" ht="15" x14ac:dyDescent="0.25">
      <c r="A13" s="102" t="s">
        <v>272</v>
      </c>
      <c r="B13" s="102" t="s">
        <v>273</v>
      </c>
      <c r="G13" s="132"/>
      <c r="H13" s="132"/>
      <c r="I13" s="132"/>
    </row>
    <row r="14" spans="1:11" customFormat="1" ht="15" x14ac:dyDescent="0.25">
      <c r="A14" s="102" t="s">
        <v>358</v>
      </c>
      <c r="B14" s="102" t="s">
        <v>359</v>
      </c>
      <c r="G14" s="132"/>
      <c r="H14" s="132"/>
      <c r="I14" s="132"/>
    </row>
    <row r="15" spans="1:11" customFormat="1" ht="15" x14ac:dyDescent="0.25">
      <c r="A15" s="102" t="s">
        <v>266</v>
      </c>
      <c r="B15" s="102" t="s">
        <v>267</v>
      </c>
      <c r="G15" s="132"/>
      <c r="H15" s="132"/>
      <c r="I15" s="132"/>
    </row>
    <row r="16" spans="1:11" customFormat="1" ht="15" x14ac:dyDescent="0.25">
      <c r="A16" s="102" t="s">
        <v>360</v>
      </c>
      <c r="B16" s="102" t="s">
        <v>361</v>
      </c>
      <c r="G16" s="132"/>
      <c r="H16" s="132"/>
      <c r="I16" s="132"/>
    </row>
    <row r="17" spans="1:9" customFormat="1" ht="15" x14ac:dyDescent="0.25">
      <c r="A17" s="102" t="s">
        <v>362</v>
      </c>
      <c r="B17" s="102" t="s">
        <v>363</v>
      </c>
      <c r="G17" s="132"/>
      <c r="H17" s="132"/>
      <c r="I17" s="132"/>
    </row>
    <row r="18" spans="1:9" customFormat="1" ht="15" x14ac:dyDescent="0.25">
      <c r="A18" s="102" t="s">
        <v>364</v>
      </c>
      <c r="B18" s="102" t="s">
        <v>365</v>
      </c>
      <c r="G18" s="132"/>
      <c r="H18" s="132"/>
      <c r="I18" s="132"/>
    </row>
    <row r="19" spans="1:9" customFormat="1" ht="15" x14ac:dyDescent="0.25">
      <c r="A19" s="102" t="s">
        <v>366</v>
      </c>
      <c r="B19" s="102" t="s">
        <v>367</v>
      </c>
      <c r="G19" s="132"/>
      <c r="H19" s="132"/>
      <c r="I19" s="132"/>
    </row>
    <row r="20" spans="1:9" customFormat="1" ht="15" x14ac:dyDescent="0.25">
      <c r="A20" s="102" t="s">
        <v>368</v>
      </c>
      <c r="B20" s="102" t="s">
        <v>369</v>
      </c>
      <c r="G20" s="132"/>
      <c r="H20" s="132"/>
      <c r="I20" s="132"/>
    </row>
    <row r="21" spans="1:9" customFormat="1" ht="15" x14ac:dyDescent="0.25">
      <c r="A21" s="102" t="s">
        <v>370</v>
      </c>
      <c r="B21" s="102" t="s">
        <v>371</v>
      </c>
      <c r="G21" s="132"/>
      <c r="H21" s="132"/>
      <c r="I21" s="132"/>
    </row>
    <row r="22" spans="1:9" customFormat="1" ht="15" x14ac:dyDescent="0.25">
      <c r="A22" s="102" t="s">
        <v>372</v>
      </c>
      <c r="B22" s="102" t="s">
        <v>373</v>
      </c>
      <c r="G22" s="132"/>
      <c r="H22" s="132"/>
      <c r="I22" s="132"/>
    </row>
    <row r="23" spans="1:9" customFormat="1" ht="15" x14ac:dyDescent="0.25">
      <c r="A23" s="102" t="s">
        <v>374</v>
      </c>
      <c r="B23" s="102" t="s">
        <v>375</v>
      </c>
      <c r="G23" s="132"/>
      <c r="H23" s="132"/>
      <c r="I23" s="132"/>
    </row>
    <row r="24" spans="1:9" customFormat="1" ht="15" x14ac:dyDescent="0.25">
      <c r="A24" s="102" t="s">
        <v>376</v>
      </c>
      <c r="B24" s="102" t="s">
        <v>377</v>
      </c>
      <c r="G24" s="132"/>
      <c r="H24" s="132"/>
      <c r="I24" s="132"/>
    </row>
    <row r="25" spans="1:9" customFormat="1" ht="15" x14ac:dyDescent="0.25">
      <c r="A25" s="102" t="s">
        <v>378</v>
      </c>
      <c r="B25" s="102" t="s">
        <v>379</v>
      </c>
      <c r="G25" s="132"/>
      <c r="H25" s="132"/>
      <c r="I25" s="132"/>
    </row>
    <row r="26" spans="1:9" customFormat="1" ht="15" x14ac:dyDescent="0.25">
      <c r="A26" s="102" t="s">
        <v>380</v>
      </c>
      <c r="B26" s="102" t="s">
        <v>381</v>
      </c>
      <c r="G26" s="132"/>
      <c r="H26" s="132"/>
      <c r="I26" s="132"/>
    </row>
    <row r="27" spans="1:9" customFormat="1" ht="15" x14ac:dyDescent="0.25">
      <c r="A27" s="102" t="s">
        <v>382</v>
      </c>
      <c r="B27" s="102" t="s">
        <v>383</v>
      </c>
      <c r="G27" s="132"/>
      <c r="H27" s="132"/>
      <c r="I27" s="132"/>
    </row>
    <row r="28" spans="1:9" customFormat="1" ht="15" x14ac:dyDescent="0.25">
      <c r="A28" s="102" t="s">
        <v>384</v>
      </c>
      <c r="B28" s="102" t="s">
        <v>385</v>
      </c>
      <c r="G28" s="132"/>
      <c r="H28" s="132"/>
      <c r="I28" s="132"/>
    </row>
    <row r="29" spans="1:9" customFormat="1" ht="15" x14ac:dyDescent="0.25">
      <c r="A29" s="102" t="s">
        <v>386</v>
      </c>
      <c r="B29" s="102" t="s">
        <v>387</v>
      </c>
      <c r="G29" s="132"/>
      <c r="H29" s="132"/>
      <c r="I29" s="132"/>
    </row>
    <row r="30" spans="1:9" ht="15" x14ac:dyDescent="0.25">
      <c r="A30" s="102" t="s">
        <v>270</v>
      </c>
      <c r="B30" s="102" t="s">
        <v>271</v>
      </c>
      <c r="C30" s="11"/>
      <c r="D30" s="19"/>
      <c r="G30" s="132"/>
      <c r="H30" s="132"/>
      <c r="I30" s="132"/>
    </row>
    <row r="31" spans="1:9" ht="15" x14ac:dyDescent="0.25">
      <c r="A31" s="102" t="s">
        <v>388</v>
      </c>
      <c r="B31" s="102" t="s">
        <v>389</v>
      </c>
      <c r="C31" s="11"/>
      <c r="D31" s="19"/>
      <c r="G31" s="132"/>
      <c r="H31" s="132"/>
      <c r="I31" s="132"/>
    </row>
    <row r="32" spans="1:9" ht="15" x14ac:dyDescent="0.25">
      <c r="A32" s="102" t="s">
        <v>390</v>
      </c>
      <c r="B32" s="102" t="s">
        <v>391</v>
      </c>
      <c r="C32" s="11"/>
      <c r="D32" s="19"/>
      <c r="G32" s="132"/>
      <c r="H32" s="132"/>
      <c r="I32" s="132"/>
    </row>
    <row r="33" spans="1:10" ht="15" x14ac:dyDescent="0.25">
      <c r="A33" s="102" t="s">
        <v>392</v>
      </c>
      <c r="B33" s="102" t="s">
        <v>393</v>
      </c>
      <c r="C33" s="11"/>
      <c r="D33" s="19"/>
      <c r="G33" s="132"/>
      <c r="H33" s="132"/>
      <c r="I33" s="132"/>
    </row>
    <row r="34" spans="1:10" ht="15" x14ac:dyDescent="0.25">
      <c r="A34" s="102" t="s">
        <v>394</v>
      </c>
      <c r="B34" s="102" t="s">
        <v>395</v>
      </c>
      <c r="C34" s="11"/>
      <c r="D34" s="19"/>
      <c r="G34" s="132"/>
      <c r="H34" s="132"/>
      <c r="I34" s="132"/>
    </row>
    <row r="35" spans="1:10" s="12" customFormat="1" ht="15" x14ac:dyDescent="0.25">
      <c r="A35" s="102" t="s">
        <v>396</v>
      </c>
      <c r="B35" s="102" t="s">
        <v>397</v>
      </c>
      <c r="C35" s="11"/>
      <c r="D35" s="19"/>
      <c r="F35" s="10"/>
      <c r="G35" s="132"/>
      <c r="H35" s="132"/>
      <c r="I35" s="132"/>
      <c r="J35" s="18"/>
    </row>
    <row r="36" spans="1:10" s="12" customFormat="1" ht="15" x14ac:dyDescent="0.25">
      <c r="A36" s="102" t="s">
        <v>398</v>
      </c>
      <c r="B36" s="102" t="s">
        <v>399</v>
      </c>
      <c r="C36" s="11"/>
      <c r="D36" s="19"/>
      <c r="F36" s="10"/>
      <c r="G36" s="132"/>
      <c r="H36" s="132"/>
      <c r="I36" s="132"/>
      <c r="J36" s="18"/>
    </row>
    <row r="37" spans="1:10" s="12" customFormat="1" ht="15" x14ac:dyDescent="0.25">
      <c r="A37" s="102" t="s">
        <v>400</v>
      </c>
      <c r="B37" s="102" t="s">
        <v>401</v>
      </c>
      <c r="C37" s="9"/>
      <c r="D37" s="19"/>
      <c r="F37" s="10"/>
      <c r="G37" s="132"/>
      <c r="H37" s="132"/>
      <c r="I37" s="132"/>
      <c r="J37" s="18"/>
    </row>
    <row r="38" spans="1:10" ht="15" x14ac:dyDescent="0.25">
      <c r="A38" s="102" t="s">
        <v>402</v>
      </c>
      <c r="B38" s="102" t="s">
        <v>403</v>
      </c>
      <c r="C38" s="11"/>
      <c r="D38" s="19"/>
      <c r="G38" s="132"/>
      <c r="H38" s="132"/>
      <c r="I38" s="132"/>
    </row>
    <row r="39" spans="1:10" s="12" customFormat="1" ht="15" x14ac:dyDescent="0.25">
      <c r="A39" s="102" t="s">
        <v>404</v>
      </c>
      <c r="B39" s="102" t="s">
        <v>405</v>
      </c>
      <c r="C39" s="11"/>
      <c r="D39" s="19"/>
      <c r="F39" s="10"/>
      <c r="G39" s="132"/>
      <c r="H39" s="132"/>
      <c r="I39" s="132"/>
      <c r="J39" s="18"/>
    </row>
    <row r="40" spans="1:10" s="12" customFormat="1" ht="15" x14ac:dyDescent="0.25">
      <c r="A40" s="102" t="s">
        <v>406</v>
      </c>
      <c r="B40" s="102" t="s">
        <v>407</v>
      </c>
      <c r="C40" s="11"/>
      <c r="D40" s="19"/>
      <c r="G40" s="132"/>
      <c r="H40" s="132"/>
      <c r="I40" s="132"/>
    </row>
    <row r="41" spans="1:10" ht="15" x14ac:dyDescent="0.25">
      <c r="A41" s="102" t="s">
        <v>408</v>
      </c>
      <c r="B41" s="102" t="s">
        <v>409</v>
      </c>
      <c r="C41" s="11"/>
      <c r="D41" s="19"/>
      <c r="G41" s="132"/>
      <c r="H41" s="132"/>
      <c r="I41" s="132"/>
    </row>
    <row r="42" spans="1:10" ht="15" x14ac:dyDescent="0.25">
      <c r="A42" s="102" t="s">
        <v>410</v>
      </c>
      <c r="B42" s="102" t="s">
        <v>411</v>
      </c>
      <c r="C42" s="11"/>
      <c r="D42" s="19"/>
      <c r="G42" s="132"/>
      <c r="H42" s="132"/>
      <c r="I42" s="132"/>
    </row>
    <row r="43" spans="1:10" ht="15" x14ac:dyDescent="0.25">
      <c r="A43" s="102" t="s">
        <v>412</v>
      </c>
      <c r="B43" s="102" t="s">
        <v>413</v>
      </c>
      <c r="C43" s="11"/>
      <c r="D43" s="19"/>
      <c r="G43" s="132"/>
      <c r="H43" s="132"/>
      <c r="I43" s="132"/>
    </row>
    <row r="44" spans="1:10" ht="15" x14ac:dyDescent="0.25">
      <c r="A44" s="102" t="s">
        <v>275</v>
      </c>
      <c r="B44" s="102" t="s">
        <v>414</v>
      </c>
      <c r="C44" s="11"/>
      <c r="D44" s="19"/>
      <c r="G44" s="132"/>
      <c r="H44" s="132"/>
      <c r="I44" s="132"/>
    </row>
    <row r="45" spans="1:10" ht="15" x14ac:dyDescent="0.25">
      <c r="A45" s="102" t="s">
        <v>415</v>
      </c>
      <c r="B45" s="102" t="s">
        <v>416</v>
      </c>
      <c r="C45" s="11"/>
      <c r="D45" s="19"/>
      <c r="G45" s="132"/>
      <c r="H45" s="132"/>
      <c r="I45" s="132"/>
    </row>
    <row r="46" spans="1:10" ht="15" x14ac:dyDescent="0.25">
      <c r="A46" s="102" t="s">
        <v>268</v>
      </c>
      <c r="B46" s="102" t="s">
        <v>269</v>
      </c>
      <c r="C46" s="11"/>
      <c r="D46" s="19"/>
      <c r="G46" s="132"/>
      <c r="H46" s="132"/>
      <c r="I46" s="132"/>
    </row>
    <row r="47" spans="1:10" ht="15" x14ac:dyDescent="0.25">
      <c r="A47" s="102" t="s">
        <v>417</v>
      </c>
      <c r="B47" s="102" t="s">
        <v>418</v>
      </c>
      <c r="C47" s="11"/>
      <c r="D47" s="19"/>
      <c r="G47" s="132"/>
      <c r="H47" s="132"/>
      <c r="I47" s="132"/>
    </row>
    <row r="48" spans="1:10" ht="15" x14ac:dyDescent="0.25">
      <c r="A48" s="102" t="s">
        <v>419</v>
      </c>
      <c r="B48" s="102" t="s">
        <v>420</v>
      </c>
      <c r="C48" s="11"/>
      <c r="D48" s="19"/>
      <c r="G48" s="132"/>
      <c r="H48" s="132"/>
      <c r="I48" s="132"/>
    </row>
    <row r="49" spans="1:9" ht="15" x14ac:dyDescent="0.25">
      <c r="A49" s="102" t="s">
        <v>421</v>
      </c>
      <c r="B49" s="102" t="s">
        <v>274</v>
      </c>
      <c r="C49" s="11"/>
      <c r="D49" s="19"/>
      <c r="G49" s="132"/>
      <c r="H49" s="132"/>
      <c r="I49" s="132"/>
    </row>
    <row r="50" spans="1:9" ht="15" x14ac:dyDescent="0.25">
      <c r="A50" s="102" t="s">
        <v>422</v>
      </c>
      <c r="B50" s="102" t="s">
        <v>423</v>
      </c>
      <c r="C50" s="11"/>
      <c r="D50" s="19"/>
      <c r="G50" s="132"/>
      <c r="H50" s="132"/>
      <c r="I50" s="132"/>
    </row>
    <row r="51" spans="1:9" x14ac:dyDescent="0.2">
      <c r="A51" s="11"/>
      <c r="B51" s="11"/>
      <c r="C51" s="11"/>
      <c r="D51" s="19"/>
      <c r="I51" s="32"/>
    </row>
    <row r="52" spans="1:9" x14ac:dyDescent="0.2">
      <c r="A52" s="11"/>
      <c r="B52" s="11"/>
      <c r="C52" s="11"/>
      <c r="D52" s="19"/>
      <c r="I52" s="32"/>
    </row>
    <row r="53" spans="1:9" x14ac:dyDescent="0.2">
      <c r="A53" s="11"/>
      <c r="B53" s="11"/>
      <c r="C53" s="11"/>
      <c r="D53" s="19"/>
      <c r="I53" s="32"/>
    </row>
    <row r="54" spans="1:9" x14ac:dyDescent="0.2">
      <c r="A54" s="7"/>
      <c r="B54" s="7"/>
      <c r="C54" s="7"/>
      <c r="D54" s="20"/>
      <c r="I54" s="32"/>
    </row>
    <row r="55" spans="1:9" x14ac:dyDescent="0.2">
      <c r="A55" s="11"/>
      <c r="B55" s="11"/>
      <c r="C55" s="11"/>
      <c r="D55" s="19"/>
      <c r="I55" s="32"/>
    </row>
    <row r="56" spans="1:9" x14ac:dyDescent="0.2">
      <c r="A56" s="11"/>
      <c r="B56" s="11"/>
      <c r="C56" s="11"/>
      <c r="D56" s="19"/>
      <c r="I56" s="32"/>
    </row>
    <row r="57" spans="1:9" x14ac:dyDescent="0.2">
      <c r="A57" s="11"/>
      <c r="B57" s="11"/>
      <c r="C57" s="11"/>
      <c r="D57" s="19"/>
      <c r="I57" s="32"/>
    </row>
    <row r="58" spans="1:9" x14ac:dyDescent="0.2">
      <c r="A58" s="11"/>
      <c r="B58" s="11"/>
      <c r="C58" s="11"/>
      <c r="D58" s="19"/>
      <c r="I58" s="32"/>
    </row>
    <row r="59" spans="1:9" x14ac:dyDescent="0.2">
      <c r="A59" s="11"/>
      <c r="B59" s="11"/>
      <c r="C59" s="11"/>
      <c r="D59" s="19"/>
      <c r="I59" s="32"/>
    </row>
    <row r="60" spans="1:9" x14ac:dyDescent="0.2">
      <c r="A60" s="11"/>
      <c r="B60" s="11"/>
      <c r="C60" s="11"/>
      <c r="D60" s="19"/>
      <c r="I60" s="32"/>
    </row>
    <row r="61" spans="1:9" x14ac:dyDescent="0.2">
      <c r="A61" s="11"/>
      <c r="B61" s="11"/>
      <c r="C61" s="11"/>
      <c r="D61" s="19"/>
      <c r="I61" s="32"/>
    </row>
    <row r="62" spans="1:9" x14ac:dyDescent="0.2">
      <c r="A62" s="11"/>
      <c r="B62" s="11"/>
      <c r="C62" s="11"/>
      <c r="D62" s="19"/>
      <c r="I62" s="32"/>
    </row>
    <row r="63" spans="1:9" x14ac:dyDescent="0.2">
      <c r="A63" s="11"/>
      <c r="B63" s="11"/>
      <c r="C63" s="11"/>
      <c r="D63" s="19"/>
      <c r="I63" s="32"/>
    </row>
    <row r="64" spans="1:9" x14ac:dyDescent="0.2">
      <c r="A64" s="11"/>
      <c r="B64" s="11"/>
      <c r="C64" s="11"/>
      <c r="D64" s="19"/>
      <c r="I64" s="32"/>
    </row>
    <row r="65" spans="1:9" x14ac:dyDescent="0.2">
      <c r="A65" s="11"/>
      <c r="B65" s="11"/>
      <c r="C65" s="11"/>
      <c r="D65" s="19"/>
      <c r="I65" s="32"/>
    </row>
    <row r="66" spans="1:9" x14ac:dyDescent="0.2">
      <c r="A66" s="11"/>
      <c r="B66" s="11"/>
      <c r="C66" s="11"/>
      <c r="D66" s="19"/>
      <c r="I66" s="32"/>
    </row>
    <row r="67" spans="1:9" x14ac:dyDescent="0.2">
      <c r="A67" s="11"/>
      <c r="B67" s="11"/>
      <c r="C67" s="11"/>
      <c r="D67" s="19"/>
      <c r="I67" s="32"/>
    </row>
    <row r="68" spans="1:9" x14ac:dyDescent="0.2">
      <c r="A68" s="11"/>
      <c r="B68" s="11"/>
      <c r="C68" s="11"/>
      <c r="D68" s="19"/>
      <c r="I68" s="32"/>
    </row>
    <row r="69" spans="1:9" x14ac:dyDescent="0.2">
      <c r="A69" s="11"/>
      <c r="B69" s="11"/>
      <c r="C69" s="11"/>
      <c r="D69" s="19"/>
      <c r="I69" s="32"/>
    </row>
    <row r="70" spans="1:9" x14ac:dyDescent="0.2">
      <c r="A70" s="11"/>
      <c r="B70" s="11"/>
      <c r="C70" s="11"/>
      <c r="D70" s="19"/>
      <c r="I70" s="32"/>
    </row>
    <row r="71" spans="1:9" x14ac:dyDescent="0.2">
      <c r="A71" s="11"/>
      <c r="B71" s="11"/>
      <c r="C71" s="11"/>
      <c r="D71" s="19"/>
      <c r="I71" s="32"/>
    </row>
    <row r="72" spans="1:9" x14ac:dyDescent="0.2">
      <c r="A72" s="11"/>
      <c r="B72" s="11"/>
      <c r="C72" s="11"/>
      <c r="D72" s="19"/>
      <c r="I72" s="32"/>
    </row>
    <row r="73" spans="1:9" x14ac:dyDescent="0.2">
      <c r="A73" s="11"/>
      <c r="B73" s="11"/>
      <c r="C73" s="11"/>
      <c r="D73" s="19"/>
      <c r="I73" s="32"/>
    </row>
    <row r="74" spans="1:9" x14ac:dyDescent="0.2">
      <c r="A74" s="11"/>
      <c r="B74" s="11"/>
      <c r="C74" s="11"/>
      <c r="D74" s="19"/>
      <c r="I74" s="32"/>
    </row>
    <row r="75" spans="1:9" x14ac:dyDescent="0.2">
      <c r="A75" s="11"/>
      <c r="B75" s="11"/>
      <c r="C75" s="11"/>
      <c r="D75" s="19"/>
      <c r="I75" s="32"/>
    </row>
    <row r="76" spans="1:9" x14ac:dyDescent="0.2">
      <c r="A76" s="11"/>
      <c r="B76" s="11"/>
      <c r="C76" s="11"/>
      <c r="D76" s="19"/>
      <c r="I76" s="32"/>
    </row>
    <row r="77" spans="1:9" x14ac:dyDescent="0.2">
      <c r="A77" s="11"/>
      <c r="B77" s="11"/>
      <c r="C77" s="11"/>
      <c r="D77" s="19"/>
      <c r="I77" s="32"/>
    </row>
    <row r="78" spans="1:9" x14ac:dyDescent="0.2">
      <c r="A78" s="11"/>
      <c r="B78" s="11"/>
      <c r="C78" s="11"/>
      <c r="D78" s="19"/>
      <c r="I78" s="32"/>
    </row>
    <row r="79" spans="1:9" x14ac:dyDescent="0.2">
      <c r="A79" s="11"/>
      <c r="B79" s="11"/>
      <c r="C79" s="11"/>
      <c r="D79" s="19"/>
      <c r="I79" s="32"/>
    </row>
    <row r="80" spans="1:9" x14ac:dyDescent="0.2">
      <c r="A80" s="11"/>
      <c r="B80" s="11"/>
      <c r="C80" s="11"/>
      <c r="D80" s="19"/>
      <c r="I80" s="32"/>
    </row>
    <row r="81" spans="1:9" x14ac:dyDescent="0.2">
      <c r="A81" s="11"/>
      <c r="B81" s="11"/>
      <c r="C81" s="11"/>
      <c r="D81" s="19"/>
      <c r="I81" s="32"/>
    </row>
    <row r="82" spans="1:9" x14ac:dyDescent="0.2">
      <c r="A82" s="11"/>
      <c r="B82" s="11"/>
      <c r="C82" s="11"/>
      <c r="D82" s="19"/>
      <c r="I82" s="32"/>
    </row>
    <row r="83" spans="1:9" x14ac:dyDescent="0.2">
      <c r="A83" s="11"/>
      <c r="B83" s="11"/>
      <c r="C83" s="11"/>
      <c r="I83" s="32"/>
    </row>
    <row r="84" spans="1:9" x14ac:dyDescent="0.2">
      <c r="A84" s="11"/>
      <c r="B84" s="11"/>
      <c r="C84" s="11"/>
      <c r="D84" s="19"/>
      <c r="I84" s="32"/>
    </row>
    <row r="85" spans="1:9" x14ac:dyDescent="0.2">
      <c r="A85" s="11"/>
      <c r="B85" s="11"/>
      <c r="C85" s="11"/>
      <c r="D85" s="19"/>
      <c r="I85" s="32"/>
    </row>
    <row r="86" spans="1:9" x14ac:dyDescent="0.2">
      <c r="A86" s="11"/>
      <c r="B86" s="11"/>
      <c r="C86" s="11"/>
      <c r="D86" s="19"/>
      <c r="I86" s="32"/>
    </row>
    <row r="87" spans="1:9" x14ac:dyDescent="0.2">
      <c r="A87" s="11"/>
      <c r="B87" s="11"/>
      <c r="C87" s="11"/>
      <c r="D87" s="19"/>
      <c r="I87" s="32"/>
    </row>
    <row r="88" spans="1:9" x14ac:dyDescent="0.2">
      <c r="A88" s="11"/>
      <c r="B88" s="11"/>
      <c r="C88" s="11"/>
      <c r="D88" s="19"/>
      <c r="I88" s="32"/>
    </row>
    <row r="89" spans="1:9" x14ac:dyDescent="0.2">
      <c r="A89" s="11"/>
      <c r="B89" s="11"/>
      <c r="C89" s="11"/>
      <c r="D89" s="19"/>
      <c r="I89" s="32"/>
    </row>
    <row r="90" spans="1:9" x14ac:dyDescent="0.2">
      <c r="A90" s="11"/>
      <c r="B90" s="11"/>
      <c r="C90" s="11"/>
      <c r="D90" s="19"/>
      <c r="I90" s="32"/>
    </row>
    <row r="91" spans="1:9" x14ac:dyDescent="0.2">
      <c r="A91" s="11"/>
      <c r="B91" s="11"/>
      <c r="C91" s="11"/>
      <c r="D91" s="19"/>
      <c r="I91" s="32"/>
    </row>
    <row r="92" spans="1:9" x14ac:dyDescent="0.2">
      <c r="A92" s="11"/>
      <c r="B92" s="11"/>
      <c r="C92" s="11"/>
      <c r="D92" s="19"/>
      <c r="I92" s="32"/>
    </row>
    <row r="93" spans="1:9" x14ac:dyDescent="0.2">
      <c r="A93" s="11"/>
      <c r="B93" s="11"/>
      <c r="C93" s="11"/>
      <c r="D93" s="19"/>
      <c r="I93" s="32"/>
    </row>
    <row r="94" spans="1:9" x14ac:dyDescent="0.2">
      <c r="A94" s="11"/>
      <c r="B94" s="11"/>
      <c r="C94" s="11"/>
      <c r="D94" s="19"/>
      <c r="I94" s="32"/>
    </row>
    <row r="95" spans="1:9" x14ac:dyDescent="0.2">
      <c r="A95" s="11"/>
      <c r="B95" s="11"/>
      <c r="C95" s="11"/>
      <c r="D95" s="19"/>
      <c r="I95" s="32"/>
    </row>
    <row r="96" spans="1:9" x14ac:dyDescent="0.2">
      <c r="A96" s="11"/>
      <c r="B96" s="11"/>
      <c r="C96" s="11"/>
      <c r="D96" s="19"/>
      <c r="I96" s="32"/>
    </row>
    <row r="97" spans="1:9" x14ac:dyDescent="0.2">
      <c r="A97" s="11"/>
      <c r="B97" s="11"/>
      <c r="C97" s="11"/>
      <c r="D97" s="19"/>
      <c r="I97" s="32"/>
    </row>
    <row r="98" spans="1:9" x14ac:dyDescent="0.2">
      <c r="A98" s="11"/>
      <c r="B98" s="11"/>
      <c r="C98" s="11"/>
      <c r="D98" s="19"/>
      <c r="I98" s="32"/>
    </row>
    <row r="99" spans="1:9" x14ac:dyDescent="0.2">
      <c r="A99" s="11"/>
      <c r="B99" s="11"/>
      <c r="C99" s="11"/>
      <c r="D99" s="19"/>
      <c r="I99" s="32"/>
    </row>
    <row r="100" spans="1:9" x14ac:dyDescent="0.2">
      <c r="A100" s="11"/>
      <c r="B100" s="11"/>
      <c r="C100" s="11"/>
      <c r="D100" s="19"/>
      <c r="I100" s="32"/>
    </row>
    <row r="101" spans="1:9" ht="12" customHeight="1" x14ac:dyDescent="0.2">
      <c r="A101" s="11"/>
      <c r="B101" s="11"/>
      <c r="C101" s="11"/>
      <c r="D101" s="19"/>
      <c r="I101" s="32"/>
    </row>
    <row r="102" spans="1:9" ht="12" customHeight="1" x14ac:dyDescent="0.2">
      <c r="A102" s="11"/>
      <c r="B102" s="11"/>
      <c r="C102" s="11"/>
      <c r="D102" s="19"/>
      <c r="I102" s="32"/>
    </row>
    <row r="103" spans="1:9" x14ac:dyDescent="0.2">
      <c r="A103" s="11"/>
      <c r="B103" s="11"/>
      <c r="C103" s="11"/>
      <c r="D103" s="19"/>
      <c r="I103" s="32"/>
    </row>
    <row r="104" spans="1:9" x14ac:dyDescent="0.2">
      <c r="A104" s="11"/>
      <c r="B104" s="11"/>
      <c r="C104" s="11"/>
      <c r="D104" s="19"/>
      <c r="I104" s="32"/>
    </row>
    <row r="105" spans="1:9" x14ac:dyDescent="0.2">
      <c r="A105" s="11"/>
      <c r="B105" s="11"/>
      <c r="C105" s="11"/>
      <c r="D105" s="19"/>
      <c r="I105" s="32"/>
    </row>
    <row r="106" spans="1:9" x14ac:dyDescent="0.2">
      <c r="A106" s="11"/>
      <c r="B106" s="11"/>
      <c r="C106" s="11"/>
      <c r="D106" s="19"/>
      <c r="I106" s="32"/>
    </row>
    <row r="107" spans="1:9" x14ac:dyDescent="0.2">
      <c r="A107" s="11"/>
      <c r="B107" s="11"/>
      <c r="C107" s="11"/>
      <c r="D107" s="19"/>
      <c r="I107" s="32"/>
    </row>
    <row r="108" spans="1:9" x14ac:dyDescent="0.2">
      <c r="A108" s="11"/>
      <c r="B108" s="11"/>
      <c r="C108" s="11"/>
      <c r="D108" s="19"/>
      <c r="I108" s="32"/>
    </row>
    <row r="109" spans="1:9" x14ac:dyDescent="0.2">
      <c r="A109" s="11"/>
      <c r="B109" s="11"/>
      <c r="C109" s="11"/>
      <c r="D109" s="19"/>
      <c r="I109" s="32"/>
    </row>
    <row r="110" spans="1:9" x14ac:dyDescent="0.2">
      <c r="A110" s="11"/>
      <c r="B110" s="11"/>
      <c r="C110" s="11"/>
      <c r="D110" s="19"/>
      <c r="I110" s="32"/>
    </row>
    <row r="111" spans="1:9" x14ac:dyDescent="0.2">
      <c r="A111" s="11"/>
      <c r="B111" s="11"/>
      <c r="C111" s="11"/>
      <c r="D111" s="19"/>
      <c r="I111" s="32"/>
    </row>
    <row r="112" spans="1:9" x14ac:dyDescent="0.2">
      <c r="A112" s="11"/>
      <c r="B112" s="11"/>
      <c r="C112" s="11"/>
      <c r="D112" s="19"/>
      <c r="I112" s="32"/>
    </row>
    <row r="113" spans="1:9" x14ac:dyDescent="0.2">
      <c r="A113" s="11"/>
      <c r="B113" s="11"/>
      <c r="C113" s="11"/>
      <c r="D113" s="19"/>
      <c r="I113" s="32"/>
    </row>
    <row r="114" spans="1:9" x14ac:dyDescent="0.2">
      <c r="A114" s="11"/>
      <c r="B114" s="11"/>
      <c r="C114" s="11"/>
      <c r="D114" s="19"/>
      <c r="I114" s="32"/>
    </row>
    <row r="115" spans="1:9" x14ac:dyDescent="0.2">
      <c r="A115" s="11"/>
      <c r="B115" s="11"/>
      <c r="C115" s="11"/>
      <c r="D115" s="19"/>
      <c r="I115" s="32"/>
    </row>
    <row r="116" spans="1:9" x14ac:dyDescent="0.2">
      <c r="A116" s="11"/>
      <c r="B116" s="11"/>
      <c r="C116" s="11"/>
      <c r="D116" s="19"/>
      <c r="I116" s="32"/>
    </row>
    <row r="117" spans="1:9" x14ac:dyDescent="0.2">
      <c r="A117" s="11"/>
      <c r="B117" s="11"/>
      <c r="C117" s="11"/>
      <c r="D117" s="19"/>
      <c r="I117" s="32"/>
    </row>
    <row r="118" spans="1:9" x14ac:dyDescent="0.2">
      <c r="A118" s="11"/>
      <c r="B118" s="11"/>
      <c r="C118" s="11"/>
      <c r="D118" s="19"/>
      <c r="I118" s="32"/>
    </row>
    <row r="119" spans="1:9" x14ac:dyDescent="0.2">
      <c r="A119" s="11"/>
      <c r="B119" s="11"/>
      <c r="C119" s="11"/>
      <c r="D119" s="19"/>
      <c r="I119" s="32"/>
    </row>
    <row r="120" spans="1:9" x14ac:dyDescent="0.2">
      <c r="A120" s="11"/>
      <c r="B120" s="11"/>
      <c r="C120" s="11"/>
      <c r="D120" s="19"/>
      <c r="I120" s="32"/>
    </row>
    <row r="121" spans="1:9" x14ac:dyDescent="0.2">
      <c r="A121" s="11"/>
      <c r="B121" s="11"/>
      <c r="C121" s="11"/>
      <c r="D121" s="19"/>
      <c r="I121" s="32"/>
    </row>
    <row r="122" spans="1:9" x14ac:dyDescent="0.2">
      <c r="A122" s="11"/>
      <c r="B122" s="11"/>
      <c r="C122" s="11"/>
      <c r="D122" s="19"/>
      <c r="I122" s="32"/>
    </row>
    <row r="123" spans="1:9" x14ac:dyDescent="0.2">
      <c r="A123" s="11"/>
      <c r="B123" s="11"/>
      <c r="C123" s="11"/>
      <c r="D123" s="19"/>
      <c r="I123" s="32"/>
    </row>
    <row r="124" spans="1:9" x14ac:dyDescent="0.2">
      <c r="A124" s="11"/>
      <c r="B124" s="11"/>
      <c r="C124" s="11"/>
      <c r="D124" s="19"/>
      <c r="I124" s="32"/>
    </row>
    <row r="125" spans="1:9" x14ac:dyDescent="0.2">
      <c r="A125" s="11"/>
      <c r="B125" s="11"/>
      <c r="C125" s="11"/>
      <c r="D125" s="19"/>
      <c r="I125" s="32"/>
    </row>
    <row r="126" spans="1:9" x14ac:dyDescent="0.2">
      <c r="A126" s="11"/>
      <c r="B126" s="11"/>
      <c r="C126" s="11"/>
      <c r="D126" s="19"/>
      <c r="I126" s="32"/>
    </row>
    <row r="127" spans="1:9" x14ac:dyDescent="0.2">
      <c r="A127" s="11"/>
      <c r="B127" s="11"/>
      <c r="C127" s="11"/>
      <c r="D127" s="19"/>
      <c r="I127" s="32"/>
    </row>
    <row r="128" spans="1:9" x14ac:dyDescent="0.2">
      <c r="A128" s="11"/>
      <c r="B128" s="11"/>
      <c r="C128" s="11"/>
      <c r="D128" s="19"/>
      <c r="I128" s="32"/>
    </row>
    <row r="129" spans="1:9" x14ac:dyDescent="0.2">
      <c r="A129" s="11"/>
      <c r="B129" s="11"/>
      <c r="C129" s="11"/>
      <c r="D129" s="19"/>
      <c r="I129" s="32"/>
    </row>
    <row r="130" spans="1:9" x14ac:dyDescent="0.2">
      <c r="A130" s="11"/>
      <c r="B130" s="11"/>
      <c r="C130" s="11"/>
      <c r="D130" s="19"/>
      <c r="I130" s="32"/>
    </row>
    <row r="131" spans="1:9" x14ac:dyDescent="0.2">
      <c r="A131" s="11"/>
      <c r="B131" s="11"/>
      <c r="C131" s="11"/>
      <c r="D131" s="19"/>
      <c r="I131" s="32"/>
    </row>
    <row r="132" spans="1:9" x14ac:dyDescent="0.2">
      <c r="A132" s="11"/>
      <c r="B132" s="11"/>
      <c r="C132" s="11"/>
      <c r="D132" s="19"/>
      <c r="I132" s="32"/>
    </row>
    <row r="133" spans="1:9" x14ac:dyDescent="0.2">
      <c r="A133" s="11"/>
      <c r="B133" s="11"/>
      <c r="C133" s="11"/>
      <c r="D133" s="19"/>
      <c r="I133" s="32"/>
    </row>
    <row r="134" spans="1:9" x14ac:dyDescent="0.2">
      <c r="A134" s="11"/>
      <c r="B134" s="11"/>
      <c r="C134" s="11"/>
      <c r="D134" s="19"/>
      <c r="I134" s="32"/>
    </row>
    <row r="135" spans="1:9" x14ac:dyDescent="0.2">
      <c r="A135" s="11"/>
      <c r="B135" s="11"/>
      <c r="C135" s="11"/>
      <c r="D135" s="19"/>
      <c r="I135" s="32"/>
    </row>
    <row r="136" spans="1:9" x14ac:dyDescent="0.2">
      <c r="A136" s="11"/>
      <c r="B136" s="11"/>
      <c r="C136" s="11"/>
      <c r="D136" s="19"/>
      <c r="I136" s="32"/>
    </row>
    <row r="137" spans="1:9" x14ac:dyDescent="0.2">
      <c r="A137" s="11"/>
      <c r="B137" s="11"/>
      <c r="C137" s="11"/>
      <c r="D137" s="19"/>
      <c r="I137" s="32"/>
    </row>
    <row r="138" spans="1:9" x14ac:dyDescent="0.2">
      <c r="A138" s="11"/>
      <c r="B138" s="11"/>
      <c r="C138" s="11"/>
      <c r="D138" s="19"/>
      <c r="I138" s="32"/>
    </row>
    <row r="139" spans="1:9" x14ac:dyDescent="0.2">
      <c r="A139" s="11"/>
      <c r="B139" s="11"/>
      <c r="C139" s="11"/>
      <c r="D139" s="19"/>
      <c r="I139" s="32"/>
    </row>
    <row r="140" spans="1:9" x14ac:dyDescent="0.2">
      <c r="A140" s="11"/>
      <c r="B140" s="11"/>
      <c r="C140" s="11"/>
      <c r="D140" s="19"/>
      <c r="I140" s="32"/>
    </row>
    <row r="141" spans="1:9" x14ac:dyDescent="0.2">
      <c r="A141" s="11"/>
      <c r="B141" s="11"/>
      <c r="C141" s="11"/>
      <c r="D141" s="19"/>
      <c r="I141" s="32"/>
    </row>
    <row r="142" spans="1:9" x14ac:dyDescent="0.2">
      <c r="A142" s="11"/>
      <c r="B142" s="11"/>
      <c r="C142" s="11"/>
      <c r="D142" s="19"/>
      <c r="I142" s="32"/>
    </row>
    <row r="143" spans="1:9" x14ac:dyDescent="0.2">
      <c r="A143" s="11"/>
      <c r="B143" s="11"/>
      <c r="C143" s="11"/>
      <c r="D143" s="19"/>
      <c r="I143" s="32"/>
    </row>
    <row r="144" spans="1:9" x14ac:dyDescent="0.2">
      <c r="A144" s="11"/>
      <c r="B144" s="11"/>
      <c r="C144" s="11"/>
      <c r="D144" s="19"/>
      <c r="I144" s="32"/>
    </row>
    <row r="145" spans="1:9" x14ac:dyDescent="0.2">
      <c r="A145" s="11"/>
      <c r="B145" s="11"/>
      <c r="C145" s="11"/>
      <c r="D145" s="19"/>
      <c r="I145" s="32"/>
    </row>
    <row r="146" spans="1:9" x14ac:dyDescent="0.2">
      <c r="A146" s="11"/>
      <c r="B146" s="11"/>
      <c r="C146" s="11"/>
      <c r="D146" s="19"/>
      <c r="I146" s="32"/>
    </row>
    <row r="147" spans="1:9" x14ac:dyDescent="0.2">
      <c r="A147" s="11"/>
      <c r="B147" s="14"/>
      <c r="C147" s="14"/>
      <c r="D147" s="19"/>
      <c r="I147" s="32"/>
    </row>
    <row r="148" spans="1:9" x14ac:dyDescent="0.2">
      <c r="A148" s="11"/>
      <c r="B148" s="11"/>
      <c r="C148" s="11"/>
      <c r="D148" s="19"/>
      <c r="I148" s="32"/>
    </row>
    <row r="149" spans="1:9" x14ac:dyDescent="0.2">
      <c r="A149" s="11"/>
      <c r="B149" s="11"/>
      <c r="C149" s="11"/>
      <c r="D149" s="19"/>
      <c r="I149" s="32"/>
    </row>
    <row r="150" spans="1:9" x14ac:dyDescent="0.2">
      <c r="A150" s="11"/>
      <c r="B150" s="14"/>
      <c r="C150" s="14"/>
      <c r="D150" s="19"/>
      <c r="I150" s="32"/>
    </row>
    <row r="151" spans="1:9" x14ac:dyDescent="0.2">
      <c r="A151" s="11"/>
      <c r="B151" s="11"/>
      <c r="C151" s="11"/>
      <c r="D151" s="19"/>
      <c r="I151" s="32"/>
    </row>
    <row r="152" spans="1:9" x14ac:dyDescent="0.2">
      <c r="A152" s="11"/>
      <c r="B152" s="11"/>
      <c r="C152" s="11"/>
      <c r="D152" s="19"/>
      <c r="I152" s="32"/>
    </row>
    <row r="153" spans="1:9" x14ac:dyDescent="0.2">
      <c r="A153" s="11"/>
      <c r="B153" s="11"/>
      <c r="C153" s="11"/>
      <c r="D153" s="15"/>
      <c r="I153" s="32"/>
    </row>
    <row r="154" spans="1:9" x14ac:dyDescent="0.2">
      <c r="A154" s="11"/>
      <c r="B154" s="11"/>
      <c r="C154" s="11"/>
      <c r="D154" s="15"/>
      <c r="I154" s="32"/>
    </row>
    <row r="155" spans="1:9" x14ac:dyDescent="0.2">
      <c r="A155" s="11"/>
      <c r="B155" s="14"/>
      <c r="C155" s="14"/>
      <c r="D155" s="19"/>
      <c r="I155" s="32"/>
    </row>
    <row r="156" spans="1:9" x14ac:dyDescent="0.2">
      <c r="A156" s="11"/>
      <c r="B156" s="11"/>
      <c r="C156" s="11"/>
      <c r="D156" s="19"/>
      <c r="I156" s="32"/>
    </row>
    <row r="157" spans="1:9" x14ac:dyDescent="0.2">
      <c r="A157" s="11"/>
      <c r="B157" s="11"/>
      <c r="C157" s="11"/>
      <c r="D157" s="19"/>
      <c r="I157" s="32"/>
    </row>
    <row r="158" spans="1:9" x14ac:dyDescent="0.2">
      <c r="A158" s="16"/>
      <c r="D158" s="19"/>
      <c r="I158" s="32"/>
    </row>
    <row r="159" spans="1:9" x14ac:dyDescent="0.2">
      <c r="A159" s="11"/>
      <c r="B159" s="11"/>
      <c r="C159" s="11"/>
      <c r="D159" s="19"/>
      <c r="I159" s="32"/>
    </row>
    <row r="160" spans="1:9" x14ac:dyDescent="0.2">
      <c r="A160" s="11"/>
      <c r="B160" s="14"/>
      <c r="C160" s="14"/>
      <c r="D160" s="19"/>
      <c r="I160" s="32"/>
    </row>
    <row r="161" spans="1:9" x14ac:dyDescent="0.2">
      <c r="A161" s="11"/>
      <c r="B161" s="11"/>
      <c r="C161" s="11"/>
      <c r="D161" s="19"/>
      <c r="I161" s="32"/>
    </row>
    <row r="162" spans="1:9" x14ac:dyDescent="0.2">
      <c r="A162" s="11"/>
      <c r="B162" s="11"/>
      <c r="C162" s="11"/>
      <c r="D162" s="19"/>
      <c r="I162" s="32"/>
    </row>
    <row r="163" spans="1:9" x14ac:dyDescent="0.2">
      <c r="A163" s="11"/>
      <c r="B163" s="11"/>
      <c r="C163" s="11"/>
      <c r="D163" s="19"/>
      <c r="I163" s="32"/>
    </row>
    <row r="164" spans="1:9" x14ac:dyDescent="0.2">
      <c r="A164" s="11"/>
      <c r="B164" s="11"/>
      <c r="C164" s="11"/>
      <c r="D164" s="19"/>
      <c r="I164" s="32"/>
    </row>
    <row r="165" spans="1:9" x14ac:dyDescent="0.2">
      <c r="A165" s="11"/>
      <c r="B165" s="11"/>
      <c r="C165" s="11"/>
      <c r="D165" s="19"/>
      <c r="I165" s="32"/>
    </row>
    <row r="166" spans="1:9" x14ac:dyDescent="0.2">
      <c r="A166" s="11"/>
      <c r="B166" s="11"/>
      <c r="C166" s="11"/>
      <c r="D166" s="19"/>
      <c r="I166" s="32"/>
    </row>
    <row r="167" spans="1:9" x14ac:dyDescent="0.2">
      <c r="A167" s="11"/>
      <c r="B167" s="11"/>
      <c r="C167" s="11"/>
      <c r="D167" s="19"/>
      <c r="I167" s="32"/>
    </row>
    <row r="168" spans="1:9" x14ac:dyDescent="0.2">
      <c r="A168" s="11"/>
      <c r="B168" s="11"/>
      <c r="C168" s="11"/>
      <c r="D168" s="19"/>
      <c r="I168" s="32"/>
    </row>
    <row r="169" spans="1:9" x14ac:dyDescent="0.2">
      <c r="A169" s="11"/>
      <c r="B169" s="11"/>
      <c r="C169" s="11"/>
      <c r="D169" s="19"/>
      <c r="I169" s="32"/>
    </row>
    <row r="170" spans="1:9" x14ac:dyDescent="0.2">
      <c r="A170" s="11"/>
      <c r="B170" s="11"/>
      <c r="C170" s="11"/>
      <c r="D170" s="19"/>
      <c r="I170" s="32"/>
    </row>
    <row r="171" spans="1:9" x14ac:dyDescent="0.2">
      <c r="A171" s="11"/>
      <c r="B171" s="11"/>
      <c r="C171" s="11"/>
      <c r="D171" s="19"/>
      <c r="I171" s="32"/>
    </row>
    <row r="172" spans="1:9" x14ac:dyDescent="0.2">
      <c r="A172" s="11"/>
      <c r="B172" s="11"/>
      <c r="C172" s="11"/>
      <c r="D172" s="19"/>
      <c r="I172" s="32"/>
    </row>
    <row r="173" spans="1:9" x14ac:dyDescent="0.2">
      <c r="A173" s="11"/>
      <c r="B173" s="11"/>
      <c r="C173" s="11"/>
      <c r="D173" s="19"/>
      <c r="I173" s="32"/>
    </row>
    <row r="174" spans="1:9" x14ac:dyDescent="0.2">
      <c r="A174" s="11"/>
      <c r="B174" s="11"/>
      <c r="C174" s="11"/>
      <c r="D174" s="19"/>
      <c r="I174" s="32"/>
    </row>
    <row r="175" spans="1:9" x14ac:dyDescent="0.2">
      <c r="A175" s="11"/>
      <c r="B175" s="11"/>
      <c r="C175" s="11"/>
      <c r="D175" s="19"/>
      <c r="I175" s="32"/>
    </row>
    <row r="176" spans="1:9" x14ac:dyDescent="0.2">
      <c r="A176" s="11"/>
      <c r="B176" s="11"/>
      <c r="C176" s="11"/>
      <c r="D176" s="19"/>
      <c r="I176" s="32"/>
    </row>
    <row r="177" spans="1:9" x14ac:dyDescent="0.2">
      <c r="A177" s="11"/>
      <c r="B177" s="11"/>
      <c r="C177" s="11"/>
      <c r="D177" s="19"/>
      <c r="I177" s="32"/>
    </row>
    <row r="178" spans="1:9" x14ac:dyDescent="0.2">
      <c r="A178" s="11"/>
      <c r="B178" s="11"/>
      <c r="C178" s="11"/>
      <c r="D178" s="19"/>
      <c r="I178" s="32"/>
    </row>
    <row r="179" spans="1:9" x14ac:dyDescent="0.2">
      <c r="A179" s="11"/>
      <c r="B179" s="11"/>
      <c r="C179" s="11"/>
      <c r="D179" s="19"/>
      <c r="I179" s="32"/>
    </row>
    <row r="180" spans="1:9" x14ac:dyDescent="0.2">
      <c r="A180" s="11"/>
      <c r="B180" s="11"/>
      <c r="C180" s="11"/>
      <c r="D180" s="19"/>
      <c r="I180" s="32"/>
    </row>
    <row r="181" spans="1:9" x14ac:dyDescent="0.2">
      <c r="A181" s="11"/>
      <c r="B181" s="11"/>
      <c r="C181" s="11"/>
      <c r="D181" s="19"/>
      <c r="I181" s="32"/>
    </row>
    <row r="182" spans="1:9" x14ac:dyDescent="0.2">
      <c r="A182" s="11"/>
      <c r="B182" s="11"/>
      <c r="C182" s="11"/>
      <c r="D182" s="19"/>
      <c r="I182" s="32"/>
    </row>
    <row r="183" spans="1:9" x14ac:dyDescent="0.2">
      <c r="A183" s="11"/>
      <c r="B183" s="11"/>
      <c r="C183" s="11"/>
      <c r="D183" s="19"/>
      <c r="I183" s="32"/>
    </row>
    <row r="184" spans="1:9" x14ac:dyDescent="0.2">
      <c r="A184" s="11"/>
      <c r="B184" s="11"/>
      <c r="C184" s="11"/>
      <c r="D184" s="19"/>
      <c r="I184" s="32"/>
    </row>
    <row r="185" spans="1:9" x14ac:dyDescent="0.2">
      <c r="A185" s="11"/>
      <c r="B185" s="11"/>
      <c r="C185" s="11"/>
      <c r="D185" s="19"/>
      <c r="I185" s="32"/>
    </row>
    <row r="186" spans="1:9" x14ac:dyDescent="0.2">
      <c r="A186" s="11"/>
      <c r="B186" s="11"/>
      <c r="C186" s="11"/>
      <c r="D186" s="19"/>
      <c r="I186" s="32"/>
    </row>
    <row r="187" spans="1:9" x14ac:dyDescent="0.2">
      <c r="A187" s="11"/>
      <c r="B187" s="11"/>
      <c r="C187" s="11"/>
      <c r="D187" s="19"/>
      <c r="I187" s="32"/>
    </row>
    <row r="188" spans="1:9" x14ac:dyDescent="0.2">
      <c r="A188" s="11"/>
      <c r="B188" s="11"/>
      <c r="C188" s="11"/>
      <c r="D188" s="19"/>
      <c r="I188" s="32"/>
    </row>
    <row r="189" spans="1:9" x14ac:dyDescent="0.2">
      <c r="A189" s="11"/>
      <c r="B189" s="11"/>
      <c r="C189" s="11"/>
      <c r="D189" s="19"/>
      <c r="I189" s="32"/>
    </row>
    <row r="190" spans="1:9" x14ac:dyDescent="0.2">
      <c r="A190" s="11"/>
      <c r="B190" s="11"/>
      <c r="C190" s="11"/>
      <c r="D190" s="19"/>
      <c r="I190" s="32"/>
    </row>
    <row r="191" spans="1:9" x14ac:dyDescent="0.2">
      <c r="A191" s="11"/>
      <c r="B191" s="11"/>
      <c r="C191" s="11"/>
      <c r="D191" s="19"/>
      <c r="I191" s="32"/>
    </row>
    <row r="192" spans="1:9" x14ac:dyDescent="0.2">
      <c r="A192" s="11"/>
      <c r="B192" s="11"/>
      <c r="C192" s="11"/>
      <c r="D192" s="19"/>
      <c r="I192" s="32"/>
    </row>
    <row r="193" spans="1:9" x14ac:dyDescent="0.2">
      <c r="A193" s="11"/>
      <c r="B193" s="11"/>
      <c r="C193" s="11"/>
      <c r="D193" s="19"/>
      <c r="I193" s="32"/>
    </row>
    <row r="194" spans="1:9" x14ac:dyDescent="0.2">
      <c r="A194" s="11"/>
      <c r="B194" s="11"/>
      <c r="C194" s="11"/>
      <c r="D194" s="19"/>
      <c r="I194" s="32"/>
    </row>
    <row r="195" spans="1:9" x14ac:dyDescent="0.2">
      <c r="A195" s="11"/>
      <c r="B195" s="11"/>
      <c r="C195" s="11"/>
      <c r="D195" s="19"/>
      <c r="I195" s="32"/>
    </row>
    <row r="196" spans="1:9" x14ac:dyDescent="0.2">
      <c r="A196" s="11"/>
      <c r="B196" s="11"/>
      <c r="C196" s="11"/>
      <c r="D196" s="19"/>
      <c r="I196" s="32"/>
    </row>
    <row r="197" spans="1:9" x14ac:dyDescent="0.2">
      <c r="A197" s="11"/>
      <c r="B197" s="11"/>
      <c r="C197" s="11"/>
      <c r="D197" s="19"/>
      <c r="I197" s="32"/>
    </row>
    <row r="198" spans="1:9" x14ac:dyDescent="0.2">
      <c r="A198" s="11"/>
      <c r="B198" s="11"/>
      <c r="C198" s="11"/>
      <c r="D198" s="19"/>
      <c r="I198" s="32"/>
    </row>
    <row r="199" spans="1:9" x14ac:dyDescent="0.2">
      <c r="A199" s="11"/>
      <c r="B199" s="11"/>
      <c r="C199" s="11"/>
      <c r="D199" s="19"/>
      <c r="I199" s="32"/>
    </row>
    <row r="200" spans="1:9" x14ac:dyDescent="0.2">
      <c r="A200" s="11"/>
      <c r="B200" s="11"/>
      <c r="C200" s="11"/>
      <c r="D200" s="19"/>
      <c r="I200" s="32"/>
    </row>
    <row r="201" spans="1:9" x14ac:dyDescent="0.2">
      <c r="A201" s="11"/>
      <c r="B201" s="11"/>
      <c r="C201" s="11"/>
      <c r="D201" s="19"/>
      <c r="I201" s="32"/>
    </row>
    <row r="202" spans="1:9" x14ac:dyDescent="0.2">
      <c r="A202" s="11"/>
      <c r="B202" s="11"/>
      <c r="C202" s="11"/>
      <c r="D202" s="19"/>
      <c r="I202" s="32"/>
    </row>
    <row r="203" spans="1:9" x14ac:dyDescent="0.2">
      <c r="A203" s="11"/>
      <c r="B203" s="11"/>
      <c r="C203" s="11"/>
      <c r="D203" s="19"/>
      <c r="I203" s="32"/>
    </row>
    <row r="204" spans="1:9" x14ac:dyDescent="0.2">
      <c r="A204" s="11"/>
      <c r="B204" s="11"/>
      <c r="C204" s="11"/>
      <c r="D204" s="19"/>
      <c r="I204" s="32"/>
    </row>
    <row r="205" spans="1:9" x14ac:dyDescent="0.2">
      <c r="A205" s="11"/>
      <c r="B205" s="11"/>
      <c r="C205" s="11"/>
      <c r="D205" s="19"/>
      <c r="I205" s="32"/>
    </row>
    <row r="206" spans="1:9" x14ac:dyDescent="0.2">
      <c r="A206" s="11"/>
      <c r="B206" s="11"/>
      <c r="C206" s="11"/>
      <c r="D206" s="19"/>
      <c r="I206" s="32"/>
    </row>
    <row r="207" spans="1:9" x14ac:dyDescent="0.2">
      <c r="A207" s="11"/>
      <c r="B207" s="11"/>
      <c r="C207" s="11"/>
      <c r="D207" s="19"/>
      <c r="I207" s="32"/>
    </row>
    <row r="208" spans="1:9" x14ac:dyDescent="0.2">
      <c r="A208" s="11"/>
      <c r="B208" s="11"/>
      <c r="C208" s="11"/>
      <c r="D208" s="19"/>
      <c r="I208" s="32"/>
    </row>
    <row r="209" spans="1:9" x14ac:dyDescent="0.2">
      <c r="A209" s="11"/>
      <c r="B209" s="11"/>
      <c r="C209" s="11"/>
      <c r="D209" s="19"/>
      <c r="I209" s="32"/>
    </row>
    <row r="210" spans="1:9" x14ac:dyDescent="0.2">
      <c r="A210" s="11"/>
      <c r="B210" s="11"/>
      <c r="C210" s="11"/>
      <c r="D210" s="19"/>
      <c r="I210" s="32"/>
    </row>
    <row r="211" spans="1:9" x14ac:dyDescent="0.2">
      <c r="A211" s="11"/>
      <c r="B211" s="11"/>
      <c r="C211" s="11"/>
      <c r="D211" s="19"/>
      <c r="I211" s="32"/>
    </row>
    <row r="212" spans="1:9" x14ac:dyDescent="0.2">
      <c r="A212" s="11"/>
      <c r="B212" s="11"/>
      <c r="C212" s="11"/>
      <c r="D212" s="19"/>
      <c r="I212" s="32"/>
    </row>
    <row r="213" spans="1:9" x14ac:dyDescent="0.2">
      <c r="A213" s="11"/>
      <c r="B213" s="11"/>
      <c r="C213" s="11"/>
      <c r="D213" s="19"/>
      <c r="I213" s="32"/>
    </row>
    <row r="214" spans="1:9" x14ac:dyDescent="0.2">
      <c r="A214" s="11"/>
      <c r="B214" s="11"/>
      <c r="C214" s="11"/>
      <c r="D214" s="19"/>
      <c r="I214" s="32"/>
    </row>
    <row r="215" spans="1:9" x14ac:dyDescent="0.2">
      <c r="A215" s="11"/>
      <c r="B215" s="11"/>
      <c r="C215" s="11"/>
      <c r="D215" s="19"/>
      <c r="I215" s="32"/>
    </row>
    <row r="216" spans="1:9" x14ac:dyDescent="0.2">
      <c r="A216" s="11"/>
      <c r="B216" s="11"/>
      <c r="C216" s="11"/>
      <c r="D216" s="19"/>
      <c r="I216" s="32"/>
    </row>
    <row r="217" spans="1:9" x14ac:dyDescent="0.2">
      <c r="A217" s="11"/>
      <c r="B217" s="11"/>
      <c r="C217" s="11"/>
      <c r="D217" s="19"/>
      <c r="I217" s="32"/>
    </row>
    <row r="218" spans="1:9" x14ac:dyDescent="0.2">
      <c r="A218" s="11"/>
      <c r="B218" s="11"/>
      <c r="C218" s="11"/>
      <c r="D218" s="19"/>
      <c r="I218" s="32"/>
    </row>
    <row r="219" spans="1:9" x14ac:dyDescent="0.2">
      <c r="A219" s="11"/>
      <c r="B219" s="11"/>
      <c r="C219" s="11"/>
      <c r="D219" s="19"/>
      <c r="I219" s="32"/>
    </row>
    <row r="220" spans="1:9" x14ac:dyDescent="0.2">
      <c r="A220" s="11"/>
      <c r="B220" s="11"/>
      <c r="C220" s="11"/>
      <c r="D220" s="19"/>
      <c r="I220" s="32"/>
    </row>
    <row r="221" spans="1:9" x14ac:dyDescent="0.2">
      <c r="A221" s="11"/>
      <c r="B221" s="11"/>
      <c r="C221" s="11"/>
      <c r="D221" s="19"/>
      <c r="I221" s="32"/>
    </row>
    <row r="222" spans="1:9" x14ac:dyDescent="0.2">
      <c r="A222" s="11"/>
      <c r="B222" s="11"/>
      <c r="C222" s="11"/>
      <c r="D222" s="19"/>
      <c r="I222" s="32"/>
    </row>
    <row r="223" spans="1:9" x14ac:dyDescent="0.2">
      <c r="A223" s="11"/>
      <c r="B223" s="11"/>
      <c r="C223" s="11"/>
      <c r="D223" s="19"/>
      <c r="I223" s="32"/>
    </row>
    <row r="224" spans="1:9" x14ac:dyDescent="0.2">
      <c r="A224" s="11"/>
      <c r="B224" s="11"/>
      <c r="C224" s="11"/>
      <c r="D224" s="19"/>
      <c r="I224" s="32"/>
    </row>
    <row r="225" spans="1:9" x14ac:dyDescent="0.2">
      <c r="A225" s="11"/>
      <c r="B225" s="11"/>
      <c r="C225" s="11"/>
      <c r="D225" s="19"/>
      <c r="I225" s="32"/>
    </row>
    <row r="226" spans="1:9" x14ac:dyDescent="0.2">
      <c r="A226" s="11"/>
      <c r="B226" s="11"/>
      <c r="C226" s="11"/>
      <c r="D226" s="19"/>
      <c r="I226" s="32"/>
    </row>
    <row r="227" spans="1:9" x14ac:dyDescent="0.2">
      <c r="A227" s="11"/>
      <c r="B227" s="11"/>
      <c r="C227" s="11"/>
      <c r="D227" s="19"/>
      <c r="I227" s="32"/>
    </row>
    <row r="228" spans="1:9" x14ac:dyDescent="0.2">
      <c r="A228" s="11"/>
      <c r="B228" s="11"/>
      <c r="C228" s="11"/>
      <c r="D228" s="19"/>
      <c r="I228" s="32"/>
    </row>
    <row r="229" spans="1:9" x14ac:dyDescent="0.2">
      <c r="A229" s="11"/>
      <c r="B229" s="11"/>
      <c r="C229" s="11"/>
      <c r="D229" s="19"/>
      <c r="I229" s="32"/>
    </row>
    <row r="230" spans="1:9" x14ac:dyDescent="0.2">
      <c r="A230" s="11"/>
      <c r="B230" s="11"/>
      <c r="C230" s="11"/>
      <c r="D230" s="19"/>
      <c r="I230" s="32"/>
    </row>
    <row r="231" spans="1:9" x14ac:dyDescent="0.2">
      <c r="A231" s="11"/>
      <c r="B231" s="11"/>
      <c r="C231" s="11"/>
      <c r="D231" s="19"/>
      <c r="I231" s="32"/>
    </row>
    <row r="232" spans="1:9" x14ac:dyDescent="0.2">
      <c r="A232" s="11"/>
      <c r="B232" s="11"/>
      <c r="C232" s="11"/>
      <c r="D232" s="19"/>
      <c r="I232" s="32"/>
    </row>
    <row r="233" spans="1:9" x14ac:dyDescent="0.2">
      <c r="A233" s="11"/>
      <c r="B233" s="11"/>
      <c r="C233" s="11"/>
      <c r="D233" s="19"/>
      <c r="I233" s="32"/>
    </row>
    <row r="234" spans="1:9" x14ac:dyDescent="0.2">
      <c r="A234" s="11"/>
      <c r="B234" s="11"/>
      <c r="C234" s="11"/>
      <c r="D234" s="19"/>
      <c r="I234" s="32"/>
    </row>
    <row r="235" spans="1:9" x14ac:dyDescent="0.2">
      <c r="A235" s="11"/>
      <c r="B235" s="11"/>
      <c r="C235" s="11"/>
      <c r="D235" s="19"/>
      <c r="I235" s="32"/>
    </row>
    <row r="236" spans="1:9" x14ac:dyDescent="0.2">
      <c r="A236" s="11"/>
      <c r="B236" s="11"/>
      <c r="C236" s="11"/>
      <c r="D236" s="19"/>
      <c r="I236" s="32"/>
    </row>
    <row r="237" spans="1:9" x14ac:dyDescent="0.2">
      <c r="A237" s="11"/>
      <c r="B237" s="11"/>
      <c r="C237" s="11"/>
      <c r="D237" s="19"/>
      <c r="I237" s="32"/>
    </row>
    <row r="238" spans="1:9" x14ac:dyDescent="0.2">
      <c r="A238" s="11"/>
      <c r="B238" s="11"/>
      <c r="C238" s="11"/>
      <c r="D238" s="19"/>
      <c r="I238" s="32"/>
    </row>
    <row r="239" spans="1:9" x14ac:dyDescent="0.2">
      <c r="A239" s="11"/>
      <c r="B239" s="11"/>
      <c r="C239" s="11"/>
      <c r="D239" s="19"/>
      <c r="I239" s="32"/>
    </row>
    <row r="240" spans="1:9" x14ac:dyDescent="0.2">
      <c r="A240" s="11"/>
      <c r="B240" s="11"/>
      <c r="C240" s="11"/>
      <c r="D240" s="19"/>
      <c r="I240" s="32"/>
    </row>
    <row r="241" spans="1:9" x14ac:dyDescent="0.2">
      <c r="A241" s="11"/>
      <c r="B241" s="11"/>
      <c r="C241" s="11"/>
      <c r="D241" s="19"/>
      <c r="I241" s="32"/>
    </row>
    <row r="242" spans="1:9" x14ac:dyDescent="0.2">
      <c r="A242" s="11"/>
      <c r="B242" s="11"/>
      <c r="C242" s="11"/>
      <c r="D242" s="19"/>
      <c r="I242" s="32"/>
    </row>
    <row r="243" spans="1:9" x14ac:dyDescent="0.2">
      <c r="A243" s="11"/>
      <c r="B243" s="14"/>
      <c r="C243" s="14"/>
      <c r="D243" s="19"/>
      <c r="I243" s="32"/>
    </row>
    <row r="244" spans="1:9" x14ac:dyDescent="0.2">
      <c r="A244" s="11"/>
      <c r="B244" s="11"/>
      <c r="C244" s="11"/>
      <c r="D244" s="19"/>
      <c r="I244" s="32"/>
    </row>
    <row r="245" spans="1:9" x14ac:dyDescent="0.2">
      <c r="A245" s="11"/>
      <c r="B245" s="11"/>
      <c r="C245" s="11"/>
      <c r="D245" s="19"/>
      <c r="I245" s="32"/>
    </row>
    <row r="246" spans="1:9" x14ac:dyDescent="0.2">
      <c r="A246" s="11"/>
      <c r="B246" s="11"/>
      <c r="C246" s="11"/>
      <c r="D246" s="19"/>
      <c r="I246" s="32"/>
    </row>
    <row r="247" spans="1:9" x14ac:dyDescent="0.2">
      <c r="A247" s="11"/>
      <c r="B247" s="11"/>
      <c r="C247" s="11"/>
      <c r="D247" s="19"/>
      <c r="I247" s="32"/>
    </row>
    <row r="248" spans="1:9" x14ac:dyDescent="0.2">
      <c r="A248" s="11"/>
      <c r="B248" s="11"/>
      <c r="C248" s="11"/>
      <c r="D248" s="19"/>
      <c r="I248" s="32"/>
    </row>
    <row r="249" spans="1:9" x14ac:dyDescent="0.2">
      <c r="A249" s="11"/>
      <c r="B249" s="11"/>
      <c r="C249" s="11"/>
      <c r="D249" s="19"/>
      <c r="I249" s="32"/>
    </row>
    <row r="250" spans="1:9" x14ac:dyDescent="0.2">
      <c r="A250" s="11"/>
      <c r="B250" s="11"/>
      <c r="C250" s="11"/>
      <c r="D250" s="19"/>
      <c r="I250" s="32"/>
    </row>
    <row r="251" spans="1:9" x14ac:dyDescent="0.2">
      <c r="A251" s="11"/>
      <c r="B251" s="11"/>
      <c r="C251" s="11"/>
      <c r="D251" s="19"/>
      <c r="I251" s="32"/>
    </row>
    <row r="252" spans="1:9" x14ac:dyDescent="0.2">
      <c r="A252" s="11"/>
      <c r="B252" s="11"/>
      <c r="C252" s="11"/>
      <c r="D252" s="19"/>
      <c r="I252" s="32"/>
    </row>
    <row r="253" spans="1:9" x14ac:dyDescent="0.2">
      <c r="A253" s="11"/>
      <c r="B253" s="11"/>
      <c r="C253" s="11"/>
      <c r="D253" s="19"/>
      <c r="I253" s="32"/>
    </row>
    <row r="254" spans="1:9" x14ac:dyDescent="0.2">
      <c r="A254" s="11"/>
      <c r="B254" s="11"/>
      <c r="C254" s="11"/>
      <c r="D254" s="19"/>
      <c r="I254" s="32"/>
    </row>
    <row r="255" spans="1:9" x14ac:dyDescent="0.2">
      <c r="A255" s="11"/>
      <c r="B255" s="11"/>
      <c r="C255" s="11"/>
      <c r="D255" s="19"/>
      <c r="I255" s="32"/>
    </row>
    <row r="256" spans="1:9" x14ac:dyDescent="0.2">
      <c r="A256" s="11"/>
      <c r="B256" s="11"/>
      <c r="C256" s="11"/>
      <c r="D256" s="19"/>
      <c r="I256" s="32"/>
    </row>
    <row r="257" spans="1:9" x14ac:dyDescent="0.2">
      <c r="A257" s="11"/>
      <c r="B257" s="11"/>
      <c r="C257" s="11"/>
      <c r="D257" s="19"/>
      <c r="I257" s="32"/>
    </row>
    <row r="258" spans="1:9" x14ac:dyDescent="0.2">
      <c r="A258" s="11"/>
      <c r="B258" s="11"/>
      <c r="C258" s="11"/>
      <c r="D258" s="19"/>
      <c r="I258" s="32"/>
    </row>
    <row r="259" spans="1:9" x14ac:dyDescent="0.2">
      <c r="A259" s="11"/>
      <c r="B259" s="11"/>
      <c r="C259" s="11"/>
      <c r="D259" s="19"/>
      <c r="I259" s="32"/>
    </row>
    <row r="260" spans="1:9" x14ac:dyDescent="0.2">
      <c r="A260" s="11"/>
      <c r="B260" s="11"/>
      <c r="C260" s="11"/>
      <c r="D260" s="19"/>
      <c r="I260" s="32"/>
    </row>
    <row r="261" spans="1:9" x14ac:dyDescent="0.2">
      <c r="A261" s="11"/>
      <c r="B261" s="11"/>
      <c r="C261" s="11"/>
      <c r="D261" s="19"/>
      <c r="I261" s="32"/>
    </row>
    <row r="262" spans="1:9" x14ac:dyDescent="0.2">
      <c r="A262" s="11"/>
      <c r="B262" s="11"/>
      <c r="C262" s="11"/>
      <c r="D262" s="19"/>
      <c r="I262" s="32"/>
    </row>
    <row r="263" spans="1:9" x14ac:dyDescent="0.2">
      <c r="A263" s="11"/>
      <c r="B263" s="11"/>
      <c r="C263" s="11"/>
      <c r="D263" s="19"/>
      <c r="I263" s="32"/>
    </row>
    <row r="264" spans="1:9" x14ac:dyDescent="0.2">
      <c r="A264" s="11"/>
      <c r="B264" s="11"/>
      <c r="C264" s="11"/>
      <c r="D264" s="19"/>
      <c r="I264" s="32"/>
    </row>
    <row r="265" spans="1:9" x14ac:dyDescent="0.2">
      <c r="A265" s="11"/>
      <c r="B265" s="11"/>
      <c r="C265" s="11"/>
      <c r="D265" s="19"/>
      <c r="I265" s="32"/>
    </row>
    <row r="266" spans="1:9" x14ac:dyDescent="0.2">
      <c r="A266" s="11"/>
      <c r="B266" s="11"/>
      <c r="C266" s="11"/>
      <c r="D266" s="19"/>
      <c r="I266" s="32"/>
    </row>
    <row r="267" spans="1:9" x14ac:dyDescent="0.2">
      <c r="A267" s="11"/>
      <c r="B267" s="14"/>
      <c r="C267" s="14"/>
      <c r="D267" s="19"/>
      <c r="I267" s="32"/>
    </row>
    <row r="268" spans="1:9" x14ac:dyDescent="0.2">
      <c r="A268" s="11"/>
      <c r="B268" s="11"/>
      <c r="C268" s="11"/>
      <c r="D268" s="19"/>
      <c r="I268" s="32"/>
    </row>
    <row r="269" spans="1:9" x14ac:dyDescent="0.2">
      <c r="A269" s="11"/>
      <c r="B269" s="11"/>
      <c r="C269" s="11"/>
      <c r="D269" s="19"/>
      <c r="I269" s="32"/>
    </row>
    <row r="270" spans="1:9" x14ac:dyDescent="0.2">
      <c r="A270" s="11"/>
      <c r="B270" s="11"/>
      <c r="C270" s="11"/>
      <c r="D270" s="19"/>
      <c r="I270" s="32"/>
    </row>
    <row r="271" spans="1:9" x14ac:dyDescent="0.2">
      <c r="A271" s="11"/>
      <c r="B271" s="14"/>
      <c r="C271" s="14"/>
      <c r="D271" s="19"/>
      <c r="I271" s="32"/>
    </row>
    <row r="272" spans="1:9" x14ac:dyDescent="0.2">
      <c r="A272" s="11"/>
      <c r="B272" s="11"/>
      <c r="C272" s="11"/>
      <c r="D272" s="19"/>
      <c r="I272" s="32"/>
    </row>
    <row r="273" spans="1:9" x14ac:dyDescent="0.2">
      <c r="A273" s="11"/>
      <c r="B273" s="11"/>
      <c r="C273" s="11"/>
      <c r="D273" s="19"/>
      <c r="I273" s="32"/>
    </row>
    <row r="274" spans="1:9" x14ac:dyDescent="0.2">
      <c r="A274" s="11"/>
      <c r="B274" s="11"/>
      <c r="C274" s="11"/>
      <c r="D274" s="19"/>
      <c r="I274" s="32"/>
    </row>
    <row r="275" spans="1:9" x14ac:dyDescent="0.2">
      <c r="A275" s="11"/>
      <c r="B275" s="14"/>
      <c r="C275" s="14"/>
      <c r="D275" s="19"/>
      <c r="I275" s="32"/>
    </row>
    <row r="276" spans="1:9" x14ac:dyDescent="0.2">
      <c r="A276" s="11"/>
      <c r="B276" s="11"/>
      <c r="C276" s="11"/>
      <c r="D276" s="19"/>
      <c r="I276" s="32"/>
    </row>
    <row r="277" spans="1:9" x14ac:dyDescent="0.2">
      <c r="A277" s="11"/>
      <c r="B277" s="11"/>
      <c r="C277" s="11"/>
      <c r="D277" s="19"/>
      <c r="I277" s="32"/>
    </row>
    <row r="278" spans="1:9" x14ac:dyDescent="0.2">
      <c r="A278" s="11"/>
      <c r="B278" s="14"/>
      <c r="C278" s="14"/>
      <c r="D278" s="19"/>
      <c r="I278" s="32"/>
    </row>
    <row r="279" spans="1:9" x14ac:dyDescent="0.2">
      <c r="A279" s="11"/>
      <c r="B279" s="11"/>
      <c r="C279" s="11"/>
      <c r="D279" s="19"/>
      <c r="I279" s="32"/>
    </row>
    <row r="280" spans="1:9" x14ac:dyDescent="0.2">
      <c r="A280" s="11"/>
      <c r="B280" s="11"/>
      <c r="C280" s="11"/>
      <c r="D280" s="19"/>
      <c r="I280" s="32"/>
    </row>
    <row r="281" spans="1:9" x14ac:dyDescent="0.2">
      <c r="A281" s="11"/>
      <c r="B281" s="14"/>
      <c r="C281" s="14"/>
      <c r="D281" s="19"/>
      <c r="I281" s="32"/>
    </row>
    <row r="282" spans="1:9" x14ac:dyDescent="0.2">
      <c r="A282" s="11"/>
      <c r="B282" s="11"/>
      <c r="C282" s="11"/>
      <c r="D282" s="19"/>
      <c r="I282" s="32"/>
    </row>
    <row r="283" spans="1:9" x14ac:dyDescent="0.2">
      <c r="A283" s="11"/>
      <c r="B283" s="11"/>
      <c r="C283" s="11"/>
      <c r="D283" s="19"/>
      <c r="I283" s="32"/>
    </row>
    <row r="284" spans="1:9" x14ac:dyDescent="0.2">
      <c r="A284" s="11"/>
      <c r="B284" s="11"/>
      <c r="C284" s="11"/>
      <c r="D284" s="19"/>
      <c r="I284" s="32"/>
    </row>
    <row r="285" spans="1:9" x14ac:dyDescent="0.2">
      <c r="A285" s="11"/>
      <c r="B285" s="11"/>
      <c r="C285" s="11"/>
      <c r="D285" s="19"/>
      <c r="I285" s="32"/>
    </row>
    <row r="286" spans="1:9" x14ac:dyDescent="0.2">
      <c r="A286" s="11"/>
      <c r="B286" s="11"/>
      <c r="C286" s="11"/>
      <c r="D286" s="19"/>
      <c r="I286" s="32"/>
    </row>
    <row r="287" spans="1:9" x14ac:dyDescent="0.2">
      <c r="A287" s="11"/>
      <c r="B287" s="11"/>
      <c r="C287" s="11"/>
      <c r="D287" s="19"/>
      <c r="I287" s="32"/>
    </row>
    <row r="288" spans="1:9" x14ac:dyDescent="0.2">
      <c r="A288" s="11"/>
      <c r="B288" s="11"/>
      <c r="C288" s="11"/>
      <c r="D288" s="19"/>
      <c r="I288" s="32"/>
    </row>
    <row r="289" spans="1:9" x14ac:dyDescent="0.2">
      <c r="A289" s="11"/>
      <c r="B289" s="11"/>
      <c r="C289" s="11"/>
      <c r="D289" s="19"/>
      <c r="I289" s="32"/>
    </row>
    <row r="290" spans="1:9" x14ac:dyDescent="0.2">
      <c r="A290" s="11"/>
      <c r="B290" s="11"/>
      <c r="C290" s="11"/>
      <c r="D290" s="19"/>
      <c r="I290" s="32"/>
    </row>
    <row r="291" spans="1:9" x14ac:dyDescent="0.2">
      <c r="A291" s="11"/>
      <c r="B291" s="11"/>
      <c r="C291" s="11"/>
      <c r="D291" s="19"/>
      <c r="I291" s="32"/>
    </row>
    <row r="292" spans="1:9" x14ac:dyDescent="0.2">
      <c r="A292" s="11"/>
      <c r="B292" s="11"/>
      <c r="C292" s="11"/>
      <c r="D292" s="19"/>
      <c r="I292" s="32"/>
    </row>
    <row r="293" spans="1:9" x14ac:dyDescent="0.2">
      <c r="A293" s="11"/>
      <c r="B293" s="11"/>
      <c r="C293" s="11"/>
      <c r="D293" s="19"/>
      <c r="I293" s="32"/>
    </row>
    <row r="294" spans="1:9" x14ac:dyDescent="0.2">
      <c r="A294" s="11"/>
      <c r="B294" s="11"/>
      <c r="C294" s="11"/>
      <c r="D294" s="19"/>
      <c r="I294" s="32"/>
    </row>
    <row r="295" spans="1:9" x14ac:dyDescent="0.2">
      <c r="A295" s="11"/>
      <c r="B295" s="11"/>
      <c r="C295" s="11"/>
      <c r="D295" s="19"/>
      <c r="I295" s="32"/>
    </row>
    <row r="296" spans="1:9" x14ac:dyDescent="0.2">
      <c r="A296" s="11"/>
      <c r="B296" s="14"/>
      <c r="C296" s="14"/>
      <c r="D296" s="19"/>
      <c r="I296" s="32"/>
    </row>
    <row r="297" spans="1:9" x14ac:dyDescent="0.2">
      <c r="A297" s="11"/>
      <c r="B297" s="11"/>
      <c r="C297" s="11"/>
      <c r="D297" s="19"/>
      <c r="I297" s="32"/>
    </row>
    <row r="298" spans="1:9" x14ac:dyDescent="0.2">
      <c r="A298" s="11"/>
      <c r="B298" s="11"/>
      <c r="C298" s="11"/>
      <c r="D298" s="19"/>
      <c r="I298" s="32"/>
    </row>
    <row r="299" spans="1:9" x14ac:dyDescent="0.2">
      <c r="A299" s="11"/>
      <c r="B299" s="11"/>
      <c r="C299" s="11"/>
      <c r="D299" s="19"/>
      <c r="I299" s="32"/>
    </row>
    <row r="300" spans="1:9" x14ac:dyDescent="0.2">
      <c r="A300" s="11"/>
      <c r="B300" s="14"/>
      <c r="C300" s="14"/>
      <c r="D300" s="19"/>
      <c r="I300" s="32"/>
    </row>
    <row r="301" spans="1:9" x14ac:dyDescent="0.2">
      <c r="A301" s="11"/>
      <c r="B301" s="11"/>
      <c r="C301" s="11"/>
      <c r="D301" s="19"/>
      <c r="I301" s="32"/>
    </row>
    <row r="302" spans="1:9" x14ac:dyDescent="0.2">
      <c r="A302" s="11"/>
      <c r="B302" s="11"/>
      <c r="C302" s="11"/>
      <c r="D302" s="19"/>
      <c r="I302" s="32"/>
    </row>
    <row r="303" spans="1:9" x14ac:dyDescent="0.2">
      <c r="A303" s="11"/>
      <c r="B303" s="11"/>
      <c r="C303" s="11"/>
      <c r="D303" s="19"/>
      <c r="I303" s="32"/>
    </row>
    <row r="304" spans="1:9" x14ac:dyDescent="0.2">
      <c r="A304" s="11"/>
      <c r="B304" s="14"/>
      <c r="C304" s="14"/>
      <c r="D304" s="19"/>
      <c r="I304" s="32"/>
    </row>
    <row r="305" spans="1:9" x14ac:dyDescent="0.2">
      <c r="A305" s="11"/>
      <c r="B305" s="11"/>
      <c r="C305" s="11"/>
      <c r="D305" s="19"/>
      <c r="I305" s="32"/>
    </row>
    <row r="306" spans="1:9" x14ac:dyDescent="0.2">
      <c r="A306" s="11"/>
      <c r="B306" s="14"/>
      <c r="C306" s="14"/>
      <c r="D306" s="19"/>
      <c r="I306" s="32"/>
    </row>
    <row r="307" spans="1:9" x14ac:dyDescent="0.2">
      <c r="A307" s="11"/>
      <c r="B307" s="11"/>
      <c r="C307" s="11"/>
      <c r="D307" s="19"/>
      <c r="I307" s="32"/>
    </row>
    <row r="308" spans="1:9" x14ac:dyDescent="0.2">
      <c r="A308" s="11"/>
      <c r="B308" s="11"/>
      <c r="C308" s="11"/>
      <c r="D308" s="19"/>
      <c r="I308" s="32"/>
    </row>
    <row r="309" spans="1:9" x14ac:dyDescent="0.2">
      <c r="A309" s="11"/>
      <c r="B309" s="11"/>
      <c r="C309" s="11"/>
      <c r="D309" s="19"/>
      <c r="I309" s="32"/>
    </row>
    <row r="310" spans="1:9" x14ac:dyDescent="0.2">
      <c r="A310" s="11"/>
      <c r="B310" s="11"/>
      <c r="C310" s="11"/>
      <c r="D310" s="19"/>
      <c r="I310" s="32"/>
    </row>
    <row r="311" spans="1:9" x14ac:dyDescent="0.2">
      <c r="A311" s="11"/>
      <c r="B311" s="11"/>
      <c r="C311" s="11"/>
      <c r="D311" s="19"/>
      <c r="I311" s="32"/>
    </row>
    <row r="312" spans="1:9" x14ac:dyDescent="0.2">
      <c r="A312" s="11"/>
      <c r="B312" s="11"/>
      <c r="C312" s="11"/>
      <c r="D312" s="15"/>
      <c r="I312" s="32"/>
    </row>
    <row r="313" spans="1:9" x14ac:dyDescent="0.2">
      <c r="A313" s="11"/>
      <c r="B313" s="11"/>
      <c r="C313" s="11"/>
      <c r="D313" s="19"/>
      <c r="I313" s="32"/>
    </row>
    <row r="314" spans="1:9" x14ac:dyDescent="0.2">
      <c r="A314" s="11"/>
      <c r="B314" s="11"/>
      <c r="C314" s="11"/>
      <c r="D314" s="19"/>
      <c r="I314" s="32"/>
    </row>
    <row r="315" spans="1:9" x14ac:dyDescent="0.2">
      <c r="A315" s="11"/>
      <c r="B315" s="11"/>
      <c r="C315" s="11"/>
      <c r="D315" s="19"/>
      <c r="I315" s="32"/>
    </row>
    <row r="316" spans="1:9" x14ac:dyDescent="0.2">
      <c r="A316" s="11"/>
      <c r="B316" s="11"/>
      <c r="C316" s="11"/>
      <c r="D316" s="19"/>
      <c r="I316" s="32"/>
    </row>
    <row r="317" spans="1:9" x14ac:dyDescent="0.2">
      <c r="A317" s="11"/>
      <c r="B317" s="11"/>
      <c r="C317" s="11"/>
      <c r="D317" s="19"/>
      <c r="I317" s="32"/>
    </row>
    <row r="318" spans="1:9" x14ac:dyDescent="0.2">
      <c r="A318" s="11"/>
      <c r="B318" s="11"/>
      <c r="C318" s="11"/>
      <c r="D318" s="19"/>
      <c r="I318" s="32"/>
    </row>
    <row r="319" spans="1:9" x14ac:dyDescent="0.2">
      <c r="A319" s="11"/>
      <c r="B319" s="11"/>
      <c r="C319" s="11"/>
      <c r="D319" s="19"/>
      <c r="I319" s="32"/>
    </row>
    <row r="320" spans="1:9" x14ac:dyDescent="0.2">
      <c r="A320" s="11"/>
      <c r="B320" s="11"/>
      <c r="C320" s="11"/>
      <c r="D320" s="19"/>
      <c r="I320" s="32"/>
    </row>
    <row r="321" spans="1:9" x14ac:dyDescent="0.2">
      <c r="A321" s="11"/>
      <c r="B321" s="11"/>
      <c r="C321" s="11"/>
      <c r="D321" s="19"/>
      <c r="I321" s="32"/>
    </row>
    <row r="322" spans="1:9" x14ac:dyDescent="0.2">
      <c r="A322" s="11"/>
      <c r="B322" s="11"/>
      <c r="C322" s="11"/>
      <c r="D322" s="19"/>
      <c r="I322" s="32"/>
    </row>
    <row r="323" spans="1:9" x14ac:dyDescent="0.2">
      <c r="A323" s="11"/>
      <c r="B323" s="14"/>
      <c r="C323" s="14"/>
      <c r="D323" s="19"/>
      <c r="I323" s="32"/>
    </row>
    <row r="324" spans="1:9" x14ac:dyDescent="0.2">
      <c r="A324" s="11"/>
      <c r="B324" s="11"/>
      <c r="C324" s="11"/>
      <c r="D324" s="19"/>
      <c r="I324" s="32"/>
    </row>
    <row r="325" spans="1:9" x14ac:dyDescent="0.2">
      <c r="A325" s="11"/>
      <c r="B325" s="11"/>
      <c r="C325" s="11"/>
      <c r="D325" s="19"/>
      <c r="I325" s="32"/>
    </row>
    <row r="326" spans="1:9" x14ac:dyDescent="0.2">
      <c r="A326" s="11"/>
      <c r="B326" s="11"/>
      <c r="C326" s="11"/>
      <c r="D326" s="19"/>
      <c r="I326" s="32"/>
    </row>
    <row r="327" spans="1:9" x14ac:dyDescent="0.2">
      <c r="A327" s="11"/>
      <c r="B327" s="11"/>
      <c r="C327" s="11"/>
      <c r="D327" s="19"/>
      <c r="I327" s="32"/>
    </row>
    <row r="328" spans="1:9" x14ac:dyDescent="0.2">
      <c r="A328" s="11"/>
      <c r="B328" s="11"/>
      <c r="C328" s="11"/>
      <c r="D328" s="19"/>
      <c r="I328" s="32"/>
    </row>
    <row r="329" spans="1:9" x14ac:dyDescent="0.2">
      <c r="A329" s="11"/>
      <c r="B329" s="8"/>
      <c r="C329" s="8"/>
      <c r="D329" s="19"/>
      <c r="I329" s="32"/>
    </row>
    <row r="330" spans="1:9" x14ac:dyDescent="0.2">
      <c r="A330" s="11"/>
      <c r="B330" s="11"/>
      <c r="C330" s="11"/>
      <c r="D330" s="19"/>
      <c r="I330" s="32"/>
    </row>
    <row r="331" spans="1:9" x14ac:dyDescent="0.2">
      <c r="A331" s="11"/>
      <c r="B331" s="11"/>
      <c r="C331" s="11"/>
      <c r="D331" s="19"/>
      <c r="I331" s="32"/>
    </row>
    <row r="332" spans="1:9" x14ac:dyDescent="0.2">
      <c r="A332" s="11"/>
      <c r="B332" s="11"/>
      <c r="C332" s="11"/>
      <c r="D332" s="19"/>
      <c r="I332" s="32"/>
    </row>
    <row r="333" spans="1:9" x14ac:dyDescent="0.2">
      <c r="A333" s="11"/>
      <c r="B333" s="11"/>
      <c r="C333" s="11"/>
      <c r="D333" s="19"/>
      <c r="I333" s="32"/>
    </row>
    <row r="334" spans="1:9" x14ac:dyDescent="0.2">
      <c r="A334" s="11"/>
      <c r="B334" s="11"/>
      <c r="C334" s="11"/>
      <c r="D334" s="19"/>
      <c r="I334" s="32"/>
    </row>
    <row r="335" spans="1:9" x14ac:dyDescent="0.2">
      <c r="A335" s="11"/>
      <c r="B335" s="11"/>
      <c r="C335" s="11"/>
      <c r="D335" s="19"/>
      <c r="I335" s="32"/>
    </row>
    <row r="336" spans="1:9" x14ac:dyDescent="0.2">
      <c r="A336" s="11"/>
      <c r="B336" s="11"/>
      <c r="C336" s="11"/>
      <c r="D336" s="19"/>
      <c r="I336" s="32"/>
    </row>
    <row r="337" spans="1:9" x14ac:dyDescent="0.2">
      <c r="A337" s="11"/>
      <c r="B337" s="11"/>
      <c r="C337" s="11"/>
      <c r="D337" s="19"/>
      <c r="I337" s="32"/>
    </row>
    <row r="338" spans="1:9" x14ac:dyDescent="0.2">
      <c r="A338" s="11"/>
      <c r="B338" s="11"/>
      <c r="C338" s="11"/>
      <c r="D338" s="19"/>
      <c r="I338" s="32"/>
    </row>
    <row r="339" spans="1:9" x14ac:dyDescent="0.2">
      <c r="A339" s="11"/>
      <c r="B339" s="11"/>
      <c r="C339" s="11"/>
      <c r="D339" s="19"/>
      <c r="I339" s="32"/>
    </row>
    <row r="340" spans="1:9" x14ac:dyDescent="0.2">
      <c r="A340" s="11"/>
      <c r="B340" s="11"/>
      <c r="C340" s="11"/>
      <c r="D340" s="19"/>
      <c r="I340" s="32"/>
    </row>
    <row r="341" spans="1:9" x14ac:dyDescent="0.2">
      <c r="A341" s="11"/>
      <c r="B341" s="11"/>
      <c r="C341" s="11"/>
      <c r="D341" s="19"/>
      <c r="I341" s="32"/>
    </row>
    <row r="342" spans="1:9" x14ac:dyDescent="0.2">
      <c r="A342" s="11"/>
      <c r="B342" s="11"/>
      <c r="C342" s="11"/>
      <c r="D342" s="19"/>
      <c r="I342" s="32"/>
    </row>
    <row r="343" spans="1:9" x14ac:dyDescent="0.2">
      <c r="A343" s="11"/>
      <c r="B343" s="11"/>
      <c r="C343" s="11"/>
      <c r="D343" s="19"/>
      <c r="I343" s="32"/>
    </row>
    <row r="344" spans="1:9" x14ac:dyDescent="0.2">
      <c r="A344" s="11"/>
      <c r="B344" s="11"/>
      <c r="C344" s="11"/>
      <c r="D344" s="19"/>
      <c r="I344" s="32"/>
    </row>
    <row r="345" spans="1:9" x14ac:dyDescent="0.2">
      <c r="A345" s="11"/>
      <c r="B345" s="11"/>
      <c r="C345" s="11"/>
      <c r="D345" s="19"/>
      <c r="I345" s="32"/>
    </row>
    <row r="346" spans="1:9" x14ac:dyDescent="0.2">
      <c r="A346" s="11"/>
      <c r="B346" s="11"/>
      <c r="C346" s="11"/>
      <c r="D346" s="19"/>
      <c r="I346" s="32"/>
    </row>
    <row r="347" spans="1:9" x14ac:dyDescent="0.2">
      <c r="A347" s="11"/>
      <c r="B347" s="11"/>
      <c r="C347" s="11"/>
      <c r="D347" s="19"/>
      <c r="I347" s="32"/>
    </row>
    <row r="348" spans="1:9" x14ac:dyDescent="0.2">
      <c r="A348" s="11"/>
      <c r="B348" s="11"/>
      <c r="C348" s="11"/>
      <c r="D348" s="19"/>
      <c r="I348" s="32"/>
    </row>
    <row r="349" spans="1:9" x14ac:dyDescent="0.2">
      <c r="A349" s="11"/>
      <c r="B349" s="11"/>
      <c r="C349" s="11"/>
      <c r="D349" s="19"/>
      <c r="I349" s="32"/>
    </row>
    <row r="350" spans="1:9" x14ac:dyDescent="0.2">
      <c r="A350" s="11"/>
      <c r="B350" s="11"/>
      <c r="C350" s="11"/>
      <c r="D350" s="19"/>
      <c r="I350" s="32"/>
    </row>
    <row r="351" spans="1:9" x14ac:dyDescent="0.2">
      <c r="A351" s="11"/>
      <c r="B351" s="11"/>
      <c r="C351" s="11"/>
      <c r="D351" s="19"/>
      <c r="I351" s="32"/>
    </row>
    <row r="352" spans="1:9" x14ac:dyDescent="0.2">
      <c r="A352" s="11"/>
      <c r="B352" s="11"/>
      <c r="C352" s="11"/>
      <c r="D352" s="19"/>
      <c r="I352" s="32"/>
    </row>
    <row r="353" spans="1:9" x14ac:dyDescent="0.2">
      <c r="A353" s="11"/>
      <c r="B353" s="11"/>
      <c r="C353" s="11"/>
      <c r="D353" s="19"/>
      <c r="I353" s="32"/>
    </row>
    <row r="354" spans="1:9" x14ac:dyDescent="0.2">
      <c r="A354" s="11"/>
      <c r="B354" s="11"/>
      <c r="C354" s="11"/>
      <c r="D354" s="19"/>
      <c r="I354" s="32"/>
    </row>
    <row r="355" spans="1:9" x14ac:dyDescent="0.2">
      <c r="A355" s="11"/>
      <c r="B355" s="11"/>
      <c r="C355" s="11"/>
      <c r="D355" s="19"/>
      <c r="I355" s="32"/>
    </row>
    <row r="356" spans="1:9" x14ac:dyDescent="0.2">
      <c r="A356" s="11"/>
      <c r="B356" s="11"/>
      <c r="C356" s="11"/>
      <c r="D356" s="19"/>
      <c r="I356" s="32"/>
    </row>
    <row r="357" spans="1:9" x14ac:dyDescent="0.2">
      <c r="A357" s="11"/>
      <c r="B357" s="11"/>
      <c r="C357" s="11"/>
      <c r="D357" s="19"/>
      <c r="I357" s="32"/>
    </row>
    <row r="358" spans="1:9" x14ac:dyDescent="0.2">
      <c r="A358" s="11"/>
      <c r="B358" s="11"/>
      <c r="C358" s="11"/>
      <c r="D358" s="19"/>
      <c r="I358" s="32"/>
    </row>
    <row r="359" spans="1:9" x14ac:dyDescent="0.2">
      <c r="A359" s="11"/>
      <c r="B359" s="11"/>
      <c r="C359" s="11"/>
      <c r="D359" s="19"/>
      <c r="I359" s="32"/>
    </row>
    <row r="360" spans="1:9" x14ac:dyDescent="0.2">
      <c r="A360" s="11"/>
      <c r="B360" s="11"/>
      <c r="C360" s="11"/>
      <c r="D360" s="19"/>
      <c r="I360" s="32"/>
    </row>
    <row r="361" spans="1:9" x14ac:dyDescent="0.2">
      <c r="A361" s="11"/>
      <c r="B361" s="11"/>
      <c r="C361" s="11"/>
      <c r="D361" s="19"/>
      <c r="I361" s="32"/>
    </row>
    <row r="362" spans="1:9" x14ac:dyDescent="0.2">
      <c r="A362" s="11"/>
      <c r="B362" s="11"/>
      <c r="C362" s="11"/>
      <c r="D362" s="19"/>
      <c r="I362" s="32"/>
    </row>
    <row r="363" spans="1:9" x14ac:dyDescent="0.2">
      <c r="A363" s="11"/>
      <c r="B363" s="11"/>
      <c r="C363" s="11"/>
      <c r="D363" s="19"/>
      <c r="I363" s="32"/>
    </row>
    <row r="364" spans="1:9" x14ac:dyDescent="0.2">
      <c r="A364" s="11"/>
      <c r="B364" s="11"/>
      <c r="C364" s="11"/>
      <c r="D364" s="19"/>
      <c r="I364" s="32"/>
    </row>
    <row r="365" spans="1:9" x14ac:dyDescent="0.2">
      <c r="A365" s="11"/>
      <c r="B365" s="11"/>
      <c r="C365" s="11"/>
      <c r="D365" s="19"/>
      <c r="I365" s="32"/>
    </row>
    <row r="366" spans="1:9" x14ac:dyDescent="0.2">
      <c r="A366" s="11"/>
      <c r="B366" s="11"/>
      <c r="C366" s="11"/>
      <c r="D366" s="19"/>
      <c r="I366" s="32"/>
    </row>
    <row r="367" spans="1:9" x14ac:dyDescent="0.2">
      <c r="A367" s="11"/>
      <c r="B367" s="11"/>
      <c r="C367" s="11"/>
      <c r="D367" s="19"/>
      <c r="I367" s="32"/>
    </row>
    <row r="368" spans="1:9" x14ac:dyDescent="0.2">
      <c r="A368" s="11"/>
      <c r="B368" s="11"/>
      <c r="C368" s="11"/>
      <c r="D368" s="19"/>
      <c r="I368" s="32"/>
    </row>
    <row r="369" spans="1:9" x14ac:dyDescent="0.2">
      <c r="A369" s="11"/>
      <c r="B369" s="11"/>
      <c r="C369" s="11"/>
      <c r="D369" s="19"/>
      <c r="I369" s="32"/>
    </row>
    <row r="370" spans="1:9" x14ac:dyDescent="0.2">
      <c r="A370" s="11"/>
      <c r="B370" s="11"/>
      <c r="C370" s="11"/>
      <c r="D370" s="19"/>
      <c r="I370" s="32"/>
    </row>
    <row r="371" spans="1:9" x14ac:dyDescent="0.2">
      <c r="A371" s="11"/>
      <c r="B371" s="11"/>
      <c r="C371" s="11"/>
      <c r="D371" s="19"/>
      <c r="I371" s="32"/>
    </row>
    <row r="372" spans="1:9" x14ac:dyDescent="0.2">
      <c r="A372" s="11"/>
      <c r="B372" s="11"/>
      <c r="C372" s="11"/>
      <c r="D372" s="19"/>
      <c r="I372" s="32"/>
    </row>
    <row r="373" spans="1:9" x14ac:dyDescent="0.2">
      <c r="A373" s="11"/>
      <c r="B373" s="11"/>
      <c r="C373" s="11"/>
      <c r="D373" s="19"/>
      <c r="I373" s="32"/>
    </row>
    <row r="374" spans="1:9" x14ac:dyDescent="0.2">
      <c r="A374" s="11"/>
      <c r="B374" s="11"/>
      <c r="C374" s="11"/>
      <c r="D374" s="19"/>
      <c r="I374" s="32"/>
    </row>
    <row r="375" spans="1:9" x14ac:dyDescent="0.2">
      <c r="A375" s="11"/>
      <c r="B375" s="11"/>
      <c r="C375" s="11"/>
      <c r="D375" s="19"/>
      <c r="I375" s="32"/>
    </row>
    <row r="376" spans="1:9" x14ac:dyDescent="0.2">
      <c r="A376" s="11"/>
      <c r="B376" s="11"/>
      <c r="C376" s="11"/>
      <c r="D376" s="19"/>
      <c r="I376" s="32"/>
    </row>
    <row r="377" spans="1:9" x14ac:dyDescent="0.2">
      <c r="A377" s="11"/>
      <c r="B377" s="11"/>
      <c r="C377" s="11"/>
      <c r="D377" s="19"/>
      <c r="I377" s="32"/>
    </row>
    <row r="378" spans="1:9" x14ac:dyDescent="0.2">
      <c r="A378" s="11"/>
      <c r="B378" s="11"/>
      <c r="C378" s="11"/>
      <c r="D378" s="19"/>
      <c r="I378" s="32"/>
    </row>
    <row r="379" spans="1:9" x14ac:dyDescent="0.2">
      <c r="A379" s="11"/>
      <c r="B379" s="11"/>
      <c r="C379" s="11"/>
      <c r="D379" s="19"/>
      <c r="I379" s="32"/>
    </row>
    <row r="380" spans="1:9" x14ac:dyDescent="0.2">
      <c r="A380" s="11"/>
      <c r="B380" s="11"/>
      <c r="C380" s="11"/>
      <c r="D380" s="19"/>
      <c r="I380" s="32"/>
    </row>
    <row r="381" spans="1:9" x14ac:dyDescent="0.2">
      <c r="A381" s="11"/>
      <c r="B381" s="11"/>
      <c r="C381" s="11"/>
      <c r="D381" s="19"/>
      <c r="I381" s="32"/>
    </row>
    <row r="382" spans="1:9" x14ac:dyDescent="0.2">
      <c r="A382" s="11"/>
      <c r="B382" s="11"/>
      <c r="C382" s="11"/>
      <c r="D382" s="19"/>
      <c r="I382" s="32"/>
    </row>
    <row r="383" spans="1:9" x14ac:dyDescent="0.2">
      <c r="A383" s="11"/>
      <c r="B383" s="11"/>
      <c r="C383" s="11"/>
      <c r="D383" s="19"/>
      <c r="I383" s="32"/>
    </row>
    <row r="384" spans="1:9" x14ac:dyDescent="0.2">
      <c r="A384" s="11"/>
      <c r="B384" s="11"/>
      <c r="C384" s="11"/>
      <c r="D384" s="19"/>
      <c r="I384" s="32"/>
    </row>
    <row r="385" spans="1:9" x14ac:dyDescent="0.2">
      <c r="A385" s="11"/>
      <c r="B385" s="11"/>
      <c r="C385" s="11"/>
      <c r="D385" s="19"/>
      <c r="I385" s="32"/>
    </row>
    <row r="386" spans="1:9" x14ac:dyDescent="0.2">
      <c r="A386" s="11"/>
      <c r="B386" s="11"/>
      <c r="C386" s="11"/>
      <c r="D386" s="19"/>
      <c r="I386" s="32"/>
    </row>
    <row r="387" spans="1:9" x14ac:dyDescent="0.2">
      <c r="A387" s="11"/>
      <c r="B387" s="11"/>
      <c r="C387" s="11"/>
      <c r="D387" s="19"/>
      <c r="I387" s="32"/>
    </row>
    <row r="388" spans="1:9" x14ac:dyDescent="0.2">
      <c r="A388" s="11"/>
      <c r="B388" s="11"/>
      <c r="C388" s="11"/>
      <c r="D388" s="19"/>
      <c r="I388" s="32"/>
    </row>
    <row r="389" spans="1:9" x14ac:dyDescent="0.2">
      <c r="A389" s="11"/>
      <c r="B389" s="11"/>
      <c r="C389" s="11"/>
      <c r="D389" s="19"/>
      <c r="I389" s="32"/>
    </row>
    <row r="390" spans="1:9" x14ac:dyDescent="0.2">
      <c r="A390" s="11"/>
      <c r="B390" s="11"/>
      <c r="C390" s="11"/>
      <c r="D390" s="19"/>
      <c r="I390" s="32"/>
    </row>
    <row r="391" spans="1:9" x14ac:dyDescent="0.2">
      <c r="A391" s="11"/>
      <c r="B391" s="11"/>
      <c r="C391" s="11"/>
      <c r="D391" s="19"/>
      <c r="I391" s="32"/>
    </row>
    <row r="392" spans="1:9" x14ac:dyDescent="0.2">
      <c r="A392" s="11"/>
      <c r="B392" s="11"/>
      <c r="C392" s="11"/>
      <c r="D392" s="19"/>
      <c r="I392" s="32"/>
    </row>
    <row r="393" spans="1:9" x14ac:dyDescent="0.2">
      <c r="A393" s="11"/>
      <c r="B393" s="11"/>
      <c r="C393" s="11"/>
      <c r="D393" s="19"/>
      <c r="I393" s="32"/>
    </row>
    <row r="394" spans="1:9" x14ac:dyDescent="0.2">
      <c r="A394" s="11"/>
      <c r="B394" s="11"/>
      <c r="C394" s="11"/>
      <c r="D394" s="19"/>
      <c r="I394" s="32"/>
    </row>
    <row r="395" spans="1:9" x14ac:dyDescent="0.2">
      <c r="A395" s="11"/>
      <c r="B395" s="11"/>
      <c r="C395" s="11"/>
      <c r="D395" s="19"/>
      <c r="I395" s="32"/>
    </row>
    <row r="396" spans="1:9" x14ac:dyDescent="0.2">
      <c r="A396" s="11"/>
      <c r="B396" s="11"/>
      <c r="C396" s="11"/>
      <c r="D396" s="19"/>
      <c r="I396" s="32"/>
    </row>
    <row r="397" spans="1:9" x14ac:dyDescent="0.2">
      <c r="A397" s="11"/>
      <c r="B397" s="11"/>
      <c r="C397" s="11"/>
      <c r="D397" s="19"/>
      <c r="I397" s="32"/>
    </row>
    <row r="398" spans="1:9" x14ac:dyDescent="0.2">
      <c r="A398" s="11"/>
      <c r="B398" s="11"/>
      <c r="C398" s="11"/>
      <c r="D398" s="19"/>
      <c r="I398" s="32"/>
    </row>
    <row r="399" spans="1:9" x14ac:dyDescent="0.2">
      <c r="A399" s="11"/>
      <c r="B399" s="11"/>
      <c r="C399" s="11"/>
      <c r="D399" s="19"/>
      <c r="I399" s="32"/>
    </row>
    <row r="400" spans="1:9" x14ac:dyDescent="0.2">
      <c r="A400" s="11"/>
      <c r="B400" s="11"/>
      <c r="C400" s="11"/>
      <c r="D400" s="19"/>
      <c r="I400" s="32"/>
    </row>
    <row r="401" spans="1:9" x14ac:dyDescent="0.2">
      <c r="A401" s="11"/>
      <c r="B401" s="11"/>
      <c r="C401" s="11"/>
      <c r="D401" s="19"/>
      <c r="I401" s="32"/>
    </row>
    <row r="402" spans="1:9" x14ac:dyDescent="0.2">
      <c r="A402" s="11"/>
      <c r="B402" s="11"/>
      <c r="C402" s="11"/>
      <c r="D402" s="19"/>
      <c r="I402" s="32"/>
    </row>
    <row r="403" spans="1:9" x14ac:dyDescent="0.2">
      <c r="A403" s="11"/>
      <c r="B403" s="11"/>
      <c r="C403" s="11"/>
      <c r="D403" s="19"/>
      <c r="I403" s="32"/>
    </row>
    <row r="404" spans="1:9" x14ac:dyDescent="0.2">
      <c r="A404" s="11"/>
      <c r="B404" s="11"/>
      <c r="C404" s="11"/>
      <c r="D404" s="19"/>
      <c r="I404" s="32"/>
    </row>
    <row r="405" spans="1:9" x14ac:dyDescent="0.2">
      <c r="A405" s="11"/>
      <c r="B405" s="11"/>
      <c r="C405" s="11"/>
      <c r="D405" s="19"/>
      <c r="I405" s="32"/>
    </row>
    <row r="406" spans="1:9" x14ac:dyDescent="0.2">
      <c r="A406" s="11"/>
      <c r="B406" s="11"/>
      <c r="C406" s="11"/>
      <c r="D406" s="19"/>
      <c r="I406" s="32"/>
    </row>
    <row r="407" spans="1:9" x14ac:dyDescent="0.2">
      <c r="A407" s="11"/>
      <c r="B407" s="11"/>
      <c r="C407" s="11"/>
      <c r="D407" s="19"/>
      <c r="I407" s="32"/>
    </row>
    <row r="408" spans="1:9" x14ac:dyDescent="0.2">
      <c r="A408" s="11"/>
      <c r="B408" s="11"/>
      <c r="C408" s="11"/>
      <c r="D408" s="19"/>
      <c r="I408" s="32"/>
    </row>
    <row r="409" spans="1:9" x14ac:dyDescent="0.2">
      <c r="A409" s="11"/>
      <c r="B409" s="11"/>
      <c r="C409" s="11"/>
      <c r="D409" s="19"/>
      <c r="I409" s="32"/>
    </row>
    <row r="410" spans="1:9" x14ac:dyDescent="0.2">
      <c r="A410" s="11"/>
      <c r="B410" s="11"/>
      <c r="C410" s="11"/>
      <c r="D410" s="19"/>
      <c r="I410" s="32"/>
    </row>
    <row r="411" spans="1:9" x14ac:dyDescent="0.2">
      <c r="A411" s="11"/>
      <c r="B411" s="11"/>
      <c r="C411" s="11"/>
      <c r="D411" s="19"/>
      <c r="I411" s="32"/>
    </row>
    <row r="412" spans="1:9" x14ac:dyDescent="0.2">
      <c r="A412" s="11"/>
      <c r="B412" s="11"/>
      <c r="C412" s="11"/>
      <c r="D412" s="19"/>
      <c r="I412" s="32"/>
    </row>
    <row r="413" spans="1:9" x14ac:dyDescent="0.2">
      <c r="A413" s="11"/>
      <c r="B413" s="11"/>
      <c r="C413" s="11"/>
      <c r="D413" s="19"/>
      <c r="I413" s="32"/>
    </row>
    <row r="414" spans="1:9" x14ac:dyDescent="0.2">
      <c r="A414" s="11"/>
      <c r="B414" s="11"/>
      <c r="C414" s="11"/>
      <c r="D414" s="19"/>
      <c r="I414" s="32"/>
    </row>
    <row r="415" spans="1:9" x14ac:dyDescent="0.2">
      <c r="A415" s="11"/>
      <c r="B415" s="11"/>
      <c r="C415" s="11"/>
      <c r="D415" s="19"/>
      <c r="I415" s="32"/>
    </row>
    <row r="416" spans="1:9" x14ac:dyDescent="0.2">
      <c r="A416" s="11"/>
      <c r="B416" s="11"/>
      <c r="C416" s="11"/>
      <c r="D416" s="19"/>
      <c r="I416" s="32"/>
    </row>
    <row r="417" spans="1:9" x14ac:dyDescent="0.2">
      <c r="A417" s="11"/>
      <c r="B417" s="11"/>
      <c r="C417" s="11"/>
      <c r="D417" s="19"/>
      <c r="I417" s="32"/>
    </row>
    <row r="418" spans="1:9" x14ac:dyDescent="0.2">
      <c r="A418" s="11"/>
      <c r="B418" s="11"/>
      <c r="C418" s="11"/>
      <c r="D418" s="19"/>
      <c r="I418" s="32"/>
    </row>
    <row r="419" spans="1:9" x14ac:dyDescent="0.2">
      <c r="A419" s="11"/>
      <c r="B419" s="11"/>
      <c r="C419" s="11"/>
      <c r="D419" s="19"/>
      <c r="I419" s="32"/>
    </row>
    <row r="420" spans="1:9" x14ac:dyDescent="0.2">
      <c r="A420" s="11"/>
      <c r="B420" s="11"/>
      <c r="C420" s="11"/>
      <c r="D420" s="19"/>
      <c r="I420" s="32"/>
    </row>
    <row r="421" spans="1:9" x14ac:dyDescent="0.2">
      <c r="A421" s="11"/>
      <c r="B421" s="11"/>
      <c r="C421" s="11"/>
      <c r="D421" s="19"/>
      <c r="I421" s="32"/>
    </row>
    <row r="422" spans="1:9" x14ac:dyDescent="0.2">
      <c r="A422" s="11"/>
      <c r="B422" s="11"/>
      <c r="C422" s="11"/>
      <c r="D422" s="19"/>
      <c r="I422" s="32"/>
    </row>
    <row r="423" spans="1:9" x14ac:dyDescent="0.2">
      <c r="A423" s="11"/>
      <c r="B423" s="11"/>
      <c r="C423" s="11"/>
      <c r="D423" s="19"/>
      <c r="I423" s="32"/>
    </row>
    <row r="424" spans="1:9" x14ac:dyDescent="0.2">
      <c r="A424" s="11"/>
      <c r="B424" s="11"/>
      <c r="C424" s="11"/>
      <c r="D424" s="19"/>
      <c r="I424" s="32"/>
    </row>
    <row r="425" spans="1:9" x14ac:dyDescent="0.2">
      <c r="A425" s="11"/>
      <c r="B425" s="11"/>
      <c r="C425" s="11"/>
      <c r="D425" s="19"/>
      <c r="I425" s="32"/>
    </row>
    <row r="426" spans="1:9" x14ac:dyDescent="0.2">
      <c r="A426" s="11"/>
      <c r="B426" s="11"/>
      <c r="C426" s="11"/>
      <c r="D426" s="19"/>
      <c r="I426" s="32"/>
    </row>
    <row r="427" spans="1:9" x14ac:dyDescent="0.2">
      <c r="A427" s="11"/>
      <c r="B427" s="11"/>
      <c r="C427" s="11"/>
      <c r="D427" s="19"/>
      <c r="I427" s="32"/>
    </row>
    <row r="428" spans="1:9" x14ac:dyDescent="0.2">
      <c r="A428" s="11"/>
      <c r="B428" s="11"/>
      <c r="C428" s="11"/>
      <c r="D428" s="19"/>
      <c r="I428" s="32"/>
    </row>
    <row r="429" spans="1:9" x14ac:dyDescent="0.2">
      <c r="A429" s="11"/>
      <c r="B429" s="11"/>
      <c r="C429" s="11"/>
      <c r="D429" s="19"/>
      <c r="I429" s="32"/>
    </row>
    <row r="430" spans="1:9" x14ac:dyDescent="0.2">
      <c r="A430" s="11"/>
      <c r="B430" s="11"/>
      <c r="C430" s="11"/>
      <c r="D430" s="19"/>
      <c r="I430" s="32"/>
    </row>
    <row r="431" spans="1:9" x14ac:dyDescent="0.2">
      <c r="A431" s="11"/>
      <c r="B431" s="11"/>
      <c r="C431" s="11"/>
      <c r="D431" s="19"/>
      <c r="I431" s="32"/>
    </row>
    <row r="432" spans="1:9" x14ac:dyDescent="0.2">
      <c r="A432" s="11"/>
      <c r="B432" s="11"/>
      <c r="C432" s="11"/>
      <c r="D432" s="19"/>
      <c r="I432" s="32"/>
    </row>
    <row r="433" spans="1:9" x14ac:dyDescent="0.2">
      <c r="A433" s="11"/>
      <c r="B433" s="11"/>
      <c r="C433" s="11"/>
      <c r="D433" s="19"/>
      <c r="I433" s="32"/>
    </row>
    <row r="434" spans="1:9" x14ac:dyDescent="0.2">
      <c r="A434" s="11"/>
      <c r="B434" s="11"/>
      <c r="C434" s="11"/>
      <c r="D434" s="19"/>
      <c r="I434" s="32"/>
    </row>
    <row r="435" spans="1:9" x14ac:dyDescent="0.2">
      <c r="A435" s="11"/>
      <c r="B435" s="11"/>
      <c r="C435" s="11"/>
      <c r="D435" s="19"/>
      <c r="I435" s="32"/>
    </row>
    <row r="436" spans="1:9" x14ac:dyDescent="0.2">
      <c r="A436" s="11"/>
      <c r="B436" s="11"/>
      <c r="C436" s="11"/>
      <c r="D436" s="19"/>
      <c r="I436" s="32"/>
    </row>
    <row r="437" spans="1:9" x14ac:dyDescent="0.2">
      <c r="A437" s="11"/>
      <c r="B437" s="11"/>
      <c r="C437" s="11"/>
      <c r="D437" s="19"/>
      <c r="I437" s="32"/>
    </row>
    <row r="438" spans="1:9" x14ac:dyDescent="0.2">
      <c r="A438" s="11"/>
      <c r="B438" s="11"/>
      <c r="C438" s="11"/>
      <c r="D438" s="19"/>
      <c r="I438" s="32"/>
    </row>
    <row r="439" spans="1:9" x14ac:dyDescent="0.2">
      <c r="A439" s="11"/>
      <c r="B439" s="11"/>
      <c r="C439" s="11"/>
      <c r="D439" s="19"/>
      <c r="I439" s="32"/>
    </row>
    <row r="440" spans="1:9" x14ac:dyDescent="0.2">
      <c r="A440" s="11"/>
      <c r="B440" s="11"/>
      <c r="C440" s="11"/>
      <c r="D440" s="19"/>
      <c r="I440" s="32"/>
    </row>
    <row r="441" spans="1:9" x14ac:dyDescent="0.2">
      <c r="A441" s="11"/>
      <c r="B441" s="11"/>
      <c r="C441" s="11"/>
      <c r="D441" s="19"/>
      <c r="I441" s="32"/>
    </row>
    <row r="442" spans="1:9" x14ac:dyDescent="0.2">
      <c r="A442" s="11"/>
      <c r="B442" s="11"/>
      <c r="C442" s="11"/>
      <c r="D442" s="19"/>
      <c r="I442" s="32"/>
    </row>
    <row r="443" spans="1:9" x14ac:dyDescent="0.2">
      <c r="A443" s="11"/>
      <c r="B443" s="11"/>
      <c r="C443" s="11"/>
      <c r="D443" s="19"/>
      <c r="I443" s="32"/>
    </row>
    <row r="444" spans="1:9" x14ac:dyDescent="0.2">
      <c r="A444" s="11"/>
      <c r="B444" s="11"/>
      <c r="C444" s="11"/>
      <c r="D444" s="19"/>
      <c r="I444" s="32"/>
    </row>
    <row r="445" spans="1:9" x14ac:dyDescent="0.2">
      <c r="A445" s="11"/>
      <c r="B445" s="11"/>
      <c r="C445" s="11"/>
      <c r="D445" s="19"/>
      <c r="I445" s="32"/>
    </row>
    <row r="446" spans="1:9" x14ac:dyDescent="0.2">
      <c r="A446" s="11"/>
      <c r="B446" s="11"/>
      <c r="C446" s="11"/>
      <c r="D446" s="19"/>
      <c r="I446" s="32"/>
    </row>
    <row r="447" spans="1:9" x14ac:dyDescent="0.2">
      <c r="A447" s="11"/>
      <c r="B447" s="11"/>
      <c r="C447" s="11"/>
      <c r="D447" s="19"/>
      <c r="I447" s="32"/>
    </row>
    <row r="448" spans="1:9" x14ac:dyDescent="0.2">
      <c r="A448" s="11"/>
      <c r="B448" s="11"/>
      <c r="C448" s="11"/>
      <c r="D448" s="19"/>
      <c r="I448" s="32"/>
    </row>
    <row r="449" spans="1:9" x14ac:dyDescent="0.2">
      <c r="A449" s="11"/>
      <c r="B449" s="11"/>
      <c r="C449" s="11"/>
      <c r="D449" s="19"/>
      <c r="I449" s="32"/>
    </row>
    <row r="450" spans="1:9" x14ac:dyDescent="0.2">
      <c r="A450" s="11"/>
      <c r="B450" s="11"/>
      <c r="C450" s="11"/>
      <c r="D450" s="19"/>
      <c r="I450" s="32"/>
    </row>
    <row r="451" spans="1:9" x14ac:dyDescent="0.2">
      <c r="A451" s="11"/>
      <c r="B451" s="11"/>
      <c r="C451" s="11"/>
      <c r="D451" s="19"/>
      <c r="I451" s="32"/>
    </row>
    <row r="452" spans="1:9" x14ac:dyDescent="0.2">
      <c r="A452" s="11"/>
      <c r="B452" s="11"/>
      <c r="C452" s="11"/>
      <c r="D452" s="19"/>
      <c r="I452" s="32"/>
    </row>
    <row r="453" spans="1:9" x14ac:dyDescent="0.2">
      <c r="A453" s="11"/>
      <c r="B453" s="11"/>
      <c r="C453" s="11"/>
      <c r="D453" s="19"/>
      <c r="I453" s="32"/>
    </row>
    <row r="454" spans="1:9" x14ac:dyDescent="0.2">
      <c r="A454" s="11"/>
      <c r="B454" s="11"/>
      <c r="C454" s="11"/>
      <c r="D454" s="19"/>
      <c r="I454" s="32"/>
    </row>
    <row r="455" spans="1:9" x14ac:dyDescent="0.2">
      <c r="A455" s="11"/>
      <c r="B455" s="11"/>
      <c r="C455" s="11"/>
      <c r="D455" s="19"/>
      <c r="I455" s="32"/>
    </row>
    <row r="456" spans="1:9" x14ac:dyDescent="0.2">
      <c r="A456" s="11"/>
      <c r="B456" s="11"/>
      <c r="C456" s="11"/>
      <c r="D456" s="19"/>
      <c r="I456" s="32"/>
    </row>
    <row r="457" spans="1:9" x14ac:dyDescent="0.2">
      <c r="A457" s="11"/>
      <c r="B457" s="11"/>
      <c r="C457" s="11"/>
      <c r="D457" s="19"/>
      <c r="I457" s="32"/>
    </row>
    <row r="458" spans="1:9" x14ac:dyDescent="0.2">
      <c r="A458" s="11"/>
      <c r="B458" s="11"/>
      <c r="C458" s="11"/>
      <c r="D458" s="19"/>
      <c r="I458" s="32"/>
    </row>
    <row r="459" spans="1:9" x14ac:dyDescent="0.2">
      <c r="A459" s="11"/>
      <c r="B459" s="11"/>
      <c r="C459" s="11"/>
      <c r="D459" s="19"/>
      <c r="I459" s="32"/>
    </row>
    <row r="460" spans="1:9" x14ac:dyDescent="0.2">
      <c r="A460" s="11"/>
      <c r="B460" s="11"/>
      <c r="C460" s="11"/>
      <c r="D460" s="19"/>
      <c r="I460" s="32"/>
    </row>
    <row r="461" spans="1:9" x14ac:dyDescent="0.2">
      <c r="A461" s="11"/>
      <c r="B461" s="11"/>
      <c r="C461" s="11"/>
      <c r="D461" s="19"/>
      <c r="I461" s="32"/>
    </row>
    <row r="462" spans="1:9" x14ac:dyDescent="0.2">
      <c r="A462" s="11"/>
      <c r="B462" s="11"/>
      <c r="C462" s="11"/>
      <c r="D462" s="19"/>
      <c r="I462" s="32"/>
    </row>
    <row r="463" spans="1:9" x14ac:dyDescent="0.2">
      <c r="A463" s="11"/>
      <c r="B463" s="11"/>
      <c r="C463" s="11"/>
      <c r="D463" s="19"/>
      <c r="I463" s="32"/>
    </row>
    <row r="464" spans="1:9" x14ac:dyDescent="0.2">
      <c r="A464" s="11"/>
      <c r="B464" s="11"/>
      <c r="C464" s="11"/>
      <c r="D464" s="19"/>
      <c r="I464" s="32"/>
    </row>
    <row r="465" spans="1:9" x14ac:dyDescent="0.2">
      <c r="A465" s="11"/>
      <c r="B465" s="11"/>
      <c r="C465" s="11"/>
      <c r="D465" s="19"/>
      <c r="I465" s="32"/>
    </row>
    <row r="466" spans="1:9" x14ac:dyDescent="0.2">
      <c r="A466" s="11"/>
      <c r="B466" s="11"/>
      <c r="C466" s="11"/>
      <c r="D466" s="19"/>
      <c r="I466" s="32"/>
    </row>
    <row r="467" spans="1:9" x14ac:dyDescent="0.2">
      <c r="A467" s="11"/>
      <c r="B467" s="11"/>
      <c r="C467" s="11"/>
      <c r="D467" s="19"/>
      <c r="I467" s="32"/>
    </row>
    <row r="468" spans="1:9" x14ac:dyDescent="0.2">
      <c r="A468" s="11"/>
      <c r="B468" s="11"/>
      <c r="C468" s="11"/>
      <c r="D468" s="19"/>
      <c r="I468" s="32"/>
    </row>
    <row r="469" spans="1:9" x14ac:dyDescent="0.2">
      <c r="A469" s="11"/>
      <c r="B469" s="11"/>
      <c r="C469" s="11"/>
      <c r="D469" s="19"/>
      <c r="I469" s="32"/>
    </row>
    <row r="470" spans="1:9" x14ac:dyDescent="0.2">
      <c r="A470" s="11"/>
      <c r="B470" s="11"/>
      <c r="C470" s="11"/>
      <c r="D470" s="19"/>
      <c r="I470" s="32"/>
    </row>
    <row r="471" spans="1:9" x14ac:dyDescent="0.2">
      <c r="A471" s="11"/>
      <c r="B471" s="11"/>
      <c r="C471" s="11"/>
      <c r="D471" s="19"/>
      <c r="I471" s="32"/>
    </row>
    <row r="472" spans="1:9" x14ac:dyDescent="0.2">
      <c r="A472" s="11"/>
      <c r="B472" s="11"/>
      <c r="C472" s="11"/>
      <c r="D472" s="19"/>
      <c r="I472" s="32"/>
    </row>
    <row r="473" spans="1:9" x14ac:dyDescent="0.2">
      <c r="A473" s="11"/>
      <c r="B473" s="11"/>
      <c r="C473" s="11"/>
      <c r="D473" s="19"/>
      <c r="I473" s="32"/>
    </row>
    <row r="474" spans="1:9" x14ac:dyDescent="0.2">
      <c r="A474" s="11"/>
      <c r="B474" s="11"/>
      <c r="C474" s="11"/>
      <c r="D474" s="19"/>
      <c r="I474" s="32"/>
    </row>
    <row r="475" spans="1:9" x14ac:dyDescent="0.2">
      <c r="A475" s="11"/>
      <c r="B475" s="11"/>
      <c r="C475" s="11"/>
      <c r="D475" s="19"/>
      <c r="I475" s="32"/>
    </row>
    <row r="476" spans="1:9" x14ac:dyDescent="0.2">
      <c r="A476" s="11"/>
      <c r="B476" s="11"/>
      <c r="C476" s="11"/>
      <c r="D476" s="19"/>
      <c r="I476" s="32"/>
    </row>
    <row r="477" spans="1:9" x14ac:dyDescent="0.2">
      <c r="A477" s="11"/>
      <c r="B477" s="11"/>
      <c r="C477" s="11"/>
      <c r="D477" s="19"/>
      <c r="I477" s="32"/>
    </row>
    <row r="478" spans="1:9" x14ac:dyDescent="0.2">
      <c r="A478" s="11"/>
      <c r="B478" s="11"/>
      <c r="C478" s="11"/>
      <c r="D478" s="19"/>
      <c r="I478" s="32"/>
    </row>
    <row r="479" spans="1:9" x14ac:dyDescent="0.2">
      <c r="A479" s="11"/>
      <c r="B479" s="11"/>
      <c r="C479" s="11"/>
      <c r="D479" s="19"/>
      <c r="I479" s="32"/>
    </row>
    <row r="480" spans="1:9" x14ac:dyDescent="0.2">
      <c r="A480" s="11"/>
      <c r="B480" s="11"/>
      <c r="C480" s="11"/>
      <c r="D480" s="19"/>
      <c r="I480" s="32"/>
    </row>
    <row r="481" spans="1:9" x14ac:dyDescent="0.2">
      <c r="A481" s="11"/>
      <c r="B481" s="11"/>
      <c r="C481" s="11"/>
      <c r="D481" s="19"/>
      <c r="I481" s="32"/>
    </row>
    <row r="482" spans="1:9" x14ac:dyDescent="0.2">
      <c r="A482" s="11"/>
      <c r="B482" s="11"/>
      <c r="C482" s="11"/>
      <c r="D482" s="19"/>
      <c r="I482" s="32"/>
    </row>
    <row r="483" spans="1:9" x14ac:dyDescent="0.2">
      <c r="A483" s="11"/>
      <c r="B483" s="11"/>
      <c r="C483" s="11"/>
      <c r="D483" s="19"/>
      <c r="I483" s="32"/>
    </row>
    <row r="484" spans="1:9" x14ac:dyDescent="0.2">
      <c r="A484" s="11"/>
      <c r="B484" s="11"/>
      <c r="C484" s="11"/>
      <c r="D484" s="19"/>
      <c r="I484" s="32"/>
    </row>
    <row r="485" spans="1:9" x14ac:dyDescent="0.2">
      <c r="A485" s="11"/>
      <c r="B485" s="14"/>
      <c r="C485" s="14"/>
      <c r="D485" s="19"/>
      <c r="I485" s="32"/>
    </row>
    <row r="486" spans="1:9" x14ac:dyDescent="0.2">
      <c r="A486" s="11"/>
      <c r="B486" s="11"/>
      <c r="C486" s="11"/>
      <c r="D486" s="19"/>
      <c r="I486" s="32"/>
    </row>
    <row r="487" spans="1:9" x14ac:dyDescent="0.2">
      <c r="A487" s="11"/>
      <c r="B487" s="11"/>
      <c r="C487" s="11"/>
      <c r="D487" s="19"/>
      <c r="I487" s="32"/>
    </row>
    <row r="488" spans="1:9" x14ac:dyDescent="0.2">
      <c r="A488" s="11"/>
      <c r="B488" s="11"/>
      <c r="C488" s="11"/>
      <c r="D488" s="19"/>
      <c r="I488" s="32"/>
    </row>
    <row r="489" spans="1:9" x14ac:dyDescent="0.2">
      <c r="A489" s="11"/>
      <c r="D489" s="19"/>
      <c r="I489" s="32"/>
    </row>
    <row r="490" spans="1:9" x14ac:dyDescent="0.2">
      <c r="A490" s="11"/>
      <c r="B490" s="11"/>
      <c r="C490" s="11"/>
      <c r="D490" s="19"/>
      <c r="I490" s="32"/>
    </row>
    <row r="491" spans="1:9" x14ac:dyDescent="0.2">
      <c r="A491" s="11"/>
      <c r="B491" s="11"/>
      <c r="C491" s="11"/>
      <c r="D491" s="19"/>
      <c r="I491" s="32"/>
    </row>
    <row r="492" spans="1:9" x14ac:dyDescent="0.2">
      <c r="A492" s="11"/>
      <c r="B492" s="11"/>
      <c r="C492" s="11"/>
      <c r="D492" s="19"/>
      <c r="I492" s="32"/>
    </row>
    <row r="493" spans="1:9" x14ac:dyDescent="0.2">
      <c r="A493" s="11"/>
      <c r="B493" s="11"/>
      <c r="C493" s="11"/>
      <c r="D493" s="19"/>
      <c r="I493" s="32"/>
    </row>
    <row r="494" spans="1:9" x14ac:dyDescent="0.2">
      <c r="A494" s="11"/>
      <c r="B494" s="11"/>
      <c r="C494" s="11"/>
      <c r="D494" s="19"/>
      <c r="I494" s="32"/>
    </row>
    <row r="495" spans="1:9" x14ac:dyDescent="0.2">
      <c r="A495" s="11"/>
      <c r="B495" s="11"/>
      <c r="C495" s="11"/>
      <c r="D495" s="19"/>
      <c r="I495" s="32"/>
    </row>
    <row r="496" spans="1:9" x14ac:dyDescent="0.2">
      <c r="A496" s="11"/>
      <c r="B496" s="11"/>
      <c r="C496" s="11"/>
      <c r="D496" s="19"/>
      <c r="I496" s="32"/>
    </row>
    <row r="497" spans="1:9" x14ac:dyDescent="0.2">
      <c r="A497" s="11"/>
      <c r="B497" s="14"/>
      <c r="C497" s="14"/>
      <c r="D497" s="19"/>
      <c r="I497" s="32"/>
    </row>
    <row r="498" spans="1:9" x14ac:dyDescent="0.2">
      <c r="A498" s="11"/>
      <c r="B498" s="11"/>
      <c r="C498" s="11"/>
      <c r="D498" s="19"/>
      <c r="I498" s="32"/>
    </row>
    <row r="499" spans="1:9" x14ac:dyDescent="0.2">
      <c r="A499" s="11"/>
      <c r="B499" s="11"/>
      <c r="C499" s="11"/>
      <c r="D499" s="19"/>
      <c r="I499" s="32"/>
    </row>
    <row r="500" spans="1:9" x14ac:dyDescent="0.2">
      <c r="A500" s="11"/>
      <c r="B500" s="14"/>
      <c r="C500" s="14"/>
      <c r="D500" s="19"/>
      <c r="I500" s="32"/>
    </row>
    <row r="501" spans="1:9" x14ac:dyDescent="0.2">
      <c r="A501" s="11"/>
      <c r="B501" s="11"/>
      <c r="C501" s="11"/>
      <c r="D501" s="19"/>
      <c r="I501" s="32"/>
    </row>
    <row r="502" spans="1:9" x14ac:dyDescent="0.2">
      <c r="A502" s="11"/>
      <c r="B502" s="14"/>
      <c r="C502" s="14"/>
      <c r="D502" s="19"/>
      <c r="I502" s="32"/>
    </row>
    <row r="503" spans="1:9" x14ac:dyDescent="0.2">
      <c r="A503" s="11"/>
      <c r="B503" s="11"/>
      <c r="C503" s="11"/>
      <c r="D503" s="19"/>
      <c r="I503" s="32"/>
    </row>
    <row r="504" spans="1:9" x14ac:dyDescent="0.2">
      <c r="A504" s="11"/>
      <c r="B504" s="14"/>
      <c r="C504" s="14"/>
      <c r="D504" s="19"/>
      <c r="I504" s="32"/>
    </row>
    <row r="505" spans="1:9" x14ac:dyDescent="0.2">
      <c r="A505" s="11"/>
      <c r="B505" s="11"/>
      <c r="C505" s="11"/>
      <c r="D505" s="19"/>
      <c r="I505" s="32"/>
    </row>
    <row r="506" spans="1:9" x14ac:dyDescent="0.2">
      <c r="A506" s="11"/>
      <c r="B506" s="11"/>
      <c r="C506" s="11"/>
      <c r="D506" s="19"/>
      <c r="I506" s="32"/>
    </row>
    <row r="507" spans="1:9" x14ac:dyDescent="0.2">
      <c r="A507" s="11"/>
      <c r="B507" s="14"/>
      <c r="C507" s="14"/>
      <c r="D507" s="19"/>
      <c r="I507" s="32"/>
    </row>
    <row r="508" spans="1:9" x14ac:dyDescent="0.2">
      <c r="A508" s="11"/>
      <c r="B508" s="11"/>
      <c r="C508" s="11"/>
      <c r="D508" s="19"/>
      <c r="I508" s="32"/>
    </row>
    <row r="509" spans="1:9" x14ac:dyDescent="0.2">
      <c r="A509" s="11"/>
      <c r="B509" s="11"/>
      <c r="C509" s="11"/>
      <c r="D509" s="19"/>
      <c r="I509" s="32"/>
    </row>
    <row r="510" spans="1:9" x14ac:dyDescent="0.2">
      <c r="A510" s="11"/>
      <c r="B510" s="11"/>
      <c r="C510" s="11"/>
      <c r="D510" s="19"/>
      <c r="I510" s="32"/>
    </row>
    <row r="511" spans="1:9" x14ac:dyDescent="0.2">
      <c r="A511" s="11"/>
      <c r="B511" s="11"/>
      <c r="C511" s="11"/>
      <c r="D511" s="19"/>
      <c r="I511" s="32"/>
    </row>
    <row r="512" spans="1:9" x14ac:dyDescent="0.2">
      <c r="A512" s="11"/>
      <c r="B512" s="11"/>
      <c r="C512" s="11"/>
      <c r="D512" s="19"/>
      <c r="I512" s="32"/>
    </row>
    <row r="513" spans="1:9" x14ac:dyDescent="0.2">
      <c r="A513" s="11"/>
      <c r="B513" s="11"/>
      <c r="C513" s="11"/>
      <c r="D513" s="19"/>
      <c r="I513" s="32"/>
    </row>
    <row r="514" spans="1:9" x14ac:dyDescent="0.2">
      <c r="A514" s="11"/>
      <c r="B514" s="11"/>
      <c r="C514" s="11"/>
      <c r="D514" s="19"/>
      <c r="I514" s="32"/>
    </row>
    <row r="515" spans="1:9" x14ac:dyDescent="0.2">
      <c r="A515" s="11"/>
      <c r="B515" s="11"/>
      <c r="C515" s="11"/>
      <c r="D515" s="19"/>
      <c r="I515" s="32"/>
    </row>
    <row r="516" spans="1:9" x14ac:dyDescent="0.2">
      <c r="A516" s="11"/>
      <c r="B516" s="11"/>
      <c r="C516" s="11"/>
      <c r="D516" s="19"/>
      <c r="I516" s="32"/>
    </row>
    <row r="517" spans="1:9" x14ac:dyDescent="0.2">
      <c r="A517" s="11"/>
      <c r="B517" s="11"/>
      <c r="C517" s="11"/>
      <c r="D517" s="19"/>
      <c r="I517" s="32"/>
    </row>
    <row r="518" spans="1:9" x14ac:dyDescent="0.2">
      <c r="A518" s="11"/>
      <c r="B518" s="11"/>
      <c r="C518" s="11"/>
      <c r="D518" s="19"/>
      <c r="I518" s="32"/>
    </row>
    <row r="519" spans="1:9" x14ac:dyDescent="0.2">
      <c r="A519" s="11"/>
      <c r="B519" s="11"/>
      <c r="C519" s="11"/>
      <c r="D519" s="19"/>
      <c r="I519" s="32"/>
    </row>
    <row r="520" spans="1:9" x14ac:dyDescent="0.2">
      <c r="A520" s="11"/>
      <c r="B520" s="11"/>
      <c r="C520" s="11"/>
      <c r="D520" s="19"/>
      <c r="I520" s="32"/>
    </row>
    <row r="521" spans="1:9" x14ac:dyDescent="0.2">
      <c r="A521" s="11"/>
      <c r="B521" s="11"/>
      <c r="C521" s="11"/>
      <c r="D521" s="19"/>
      <c r="I521" s="32"/>
    </row>
    <row r="522" spans="1:9" x14ac:dyDescent="0.2">
      <c r="A522" s="11"/>
      <c r="B522" s="11"/>
      <c r="C522" s="11"/>
      <c r="D522" s="19"/>
      <c r="I522" s="32"/>
    </row>
    <row r="523" spans="1:9" x14ac:dyDescent="0.2">
      <c r="A523" s="11"/>
      <c r="B523" s="11"/>
      <c r="C523" s="11"/>
      <c r="D523" s="19"/>
      <c r="I523" s="32"/>
    </row>
    <row r="524" spans="1:9" x14ac:dyDescent="0.2">
      <c r="A524" s="11"/>
      <c r="B524" s="11"/>
      <c r="C524" s="11"/>
      <c r="D524" s="19"/>
      <c r="I524" s="32"/>
    </row>
    <row r="525" spans="1:9" x14ac:dyDescent="0.2">
      <c r="A525" s="11"/>
      <c r="B525" s="11"/>
      <c r="C525" s="11"/>
      <c r="D525" s="19"/>
      <c r="I525" s="32"/>
    </row>
    <row r="526" spans="1:9" x14ac:dyDescent="0.2">
      <c r="A526" s="11"/>
      <c r="B526" s="11"/>
      <c r="C526" s="11"/>
      <c r="D526" s="19"/>
      <c r="I526" s="32"/>
    </row>
    <row r="527" spans="1:9" x14ac:dyDescent="0.2">
      <c r="A527" s="11"/>
      <c r="B527" s="11"/>
      <c r="C527" s="11"/>
      <c r="D527" s="19"/>
      <c r="I527" s="32"/>
    </row>
    <row r="528" spans="1:9" x14ac:dyDescent="0.2">
      <c r="A528" s="11"/>
      <c r="B528" s="11"/>
      <c r="C528" s="11"/>
      <c r="D528" s="19"/>
      <c r="I528" s="32"/>
    </row>
    <row r="529" spans="1:9" x14ac:dyDescent="0.2">
      <c r="A529" s="11"/>
      <c r="B529" s="11"/>
      <c r="C529" s="11"/>
      <c r="D529" s="19"/>
      <c r="I529" s="32"/>
    </row>
    <row r="530" spans="1:9" x14ac:dyDescent="0.2">
      <c r="A530" s="11"/>
      <c r="B530" s="11"/>
      <c r="C530" s="11"/>
      <c r="D530" s="19"/>
      <c r="I530" s="32"/>
    </row>
    <row r="531" spans="1:9" x14ac:dyDescent="0.2">
      <c r="A531" s="11"/>
      <c r="B531" s="11"/>
      <c r="C531" s="11"/>
      <c r="D531" s="19"/>
      <c r="I531" s="32"/>
    </row>
    <row r="532" spans="1:9" x14ac:dyDescent="0.2">
      <c r="A532" s="11"/>
      <c r="B532" s="11"/>
      <c r="C532" s="11"/>
      <c r="D532" s="19"/>
      <c r="I532" s="32"/>
    </row>
    <row r="533" spans="1:9" x14ac:dyDescent="0.2">
      <c r="A533" s="11"/>
      <c r="B533" s="11"/>
      <c r="C533" s="11"/>
      <c r="D533" s="19"/>
      <c r="I533" s="32"/>
    </row>
    <row r="534" spans="1:9" x14ac:dyDescent="0.2">
      <c r="A534" s="11"/>
      <c r="B534" s="11"/>
      <c r="C534" s="11"/>
      <c r="D534" s="19"/>
      <c r="I534" s="32"/>
    </row>
    <row r="535" spans="1:9" x14ac:dyDescent="0.2">
      <c r="A535" s="11"/>
      <c r="B535" s="11"/>
      <c r="C535" s="11"/>
      <c r="D535" s="19"/>
      <c r="I535" s="32"/>
    </row>
    <row r="536" spans="1:9" x14ac:dyDescent="0.2">
      <c r="A536" s="11"/>
      <c r="B536" s="11"/>
      <c r="C536" s="11"/>
      <c r="D536" s="19"/>
      <c r="I536" s="32"/>
    </row>
    <row r="537" spans="1:9" x14ac:dyDescent="0.2">
      <c r="A537" s="11"/>
      <c r="B537" s="11"/>
      <c r="C537" s="11"/>
      <c r="D537" s="19"/>
      <c r="I537" s="32"/>
    </row>
    <row r="538" spans="1:9" x14ac:dyDescent="0.2">
      <c r="A538" s="11"/>
      <c r="B538" s="11"/>
      <c r="C538" s="11"/>
      <c r="D538" s="19"/>
      <c r="I538" s="32"/>
    </row>
    <row r="539" spans="1:9" x14ac:dyDescent="0.2">
      <c r="A539" s="11"/>
      <c r="B539" s="11"/>
      <c r="C539" s="11"/>
      <c r="D539" s="19"/>
      <c r="I539" s="32"/>
    </row>
    <row r="540" spans="1:9" x14ac:dyDescent="0.2">
      <c r="A540" s="11"/>
      <c r="B540" s="11"/>
      <c r="C540" s="11"/>
      <c r="D540" s="19"/>
      <c r="I540" s="32"/>
    </row>
    <row r="541" spans="1:9" x14ac:dyDescent="0.2">
      <c r="A541" s="11"/>
      <c r="B541" s="11"/>
      <c r="C541" s="11"/>
      <c r="D541" s="19"/>
      <c r="I541" s="32"/>
    </row>
    <row r="542" spans="1:9" x14ac:dyDescent="0.2">
      <c r="A542" s="11"/>
      <c r="B542" s="11"/>
      <c r="C542" s="11"/>
      <c r="D542" s="19"/>
      <c r="I542" s="32"/>
    </row>
    <row r="543" spans="1:9" x14ac:dyDescent="0.2">
      <c r="A543" s="11"/>
      <c r="B543" s="11"/>
      <c r="C543" s="11"/>
      <c r="D543" s="19"/>
      <c r="I543" s="32"/>
    </row>
    <row r="544" spans="1:9" x14ac:dyDescent="0.2">
      <c r="A544" s="11"/>
      <c r="B544" s="11"/>
      <c r="C544" s="11"/>
      <c r="D544" s="19"/>
      <c r="I544" s="32"/>
    </row>
    <row r="545" spans="1:9" x14ac:dyDescent="0.2">
      <c r="A545" s="11"/>
      <c r="B545" s="11"/>
      <c r="C545" s="11"/>
      <c r="D545" s="19"/>
      <c r="I545" s="32"/>
    </row>
    <row r="546" spans="1:9" x14ac:dyDescent="0.2">
      <c r="A546" s="11"/>
      <c r="B546" s="11"/>
      <c r="C546" s="11"/>
      <c r="D546" s="19"/>
      <c r="I546" s="32"/>
    </row>
    <row r="547" spans="1:9" x14ac:dyDescent="0.2">
      <c r="A547" s="11"/>
      <c r="B547" s="11"/>
      <c r="C547" s="11"/>
      <c r="D547" s="19"/>
      <c r="I547" s="32"/>
    </row>
    <row r="548" spans="1:9" x14ac:dyDescent="0.2">
      <c r="A548" s="11"/>
      <c r="B548" s="11"/>
      <c r="C548" s="11"/>
      <c r="D548" s="19"/>
      <c r="I548" s="32"/>
    </row>
    <row r="549" spans="1:9" x14ac:dyDescent="0.2">
      <c r="A549" s="11"/>
      <c r="B549" s="11"/>
      <c r="C549" s="11"/>
      <c r="D549" s="19"/>
      <c r="I549" s="32"/>
    </row>
    <row r="550" spans="1:9" x14ac:dyDescent="0.2">
      <c r="A550" s="11"/>
      <c r="B550" s="11"/>
      <c r="C550" s="11"/>
      <c r="D550" s="19"/>
      <c r="I550" s="32"/>
    </row>
    <row r="551" spans="1:9" x14ac:dyDescent="0.2">
      <c r="A551" s="11"/>
      <c r="B551" s="11"/>
      <c r="C551" s="11"/>
      <c r="D551" s="19"/>
      <c r="I551" s="32"/>
    </row>
    <row r="552" spans="1:9" x14ac:dyDescent="0.2">
      <c r="A552" s="11"/>
      <c r="B552" s="11"/>
      <c r="C552" s="11"/>
      <c r="D552" s="19"/>
      <c r="I552" s="32"/>
    </row>
    <row r="553" spans="1:9" x14ac:dyDescent="0.2">
      <c r="A553" s="11"/>
      <c r="B553" s="11"/>
      <c r="C553" s="11"/>
      <c r="D553" s="19"/>
      <c r="I553" s="32"/>
    </row>
    <row r="554" spans="1:9" x14ac:dyDescent="0.2">
      <c r="A554" s="11"/>
      <c r="B554" s="11"/>
      <c r="C554" s="11"/>
      <c r="D554" s="19"/>
      <c r="I554" s="32"/>
    </row>
    <row r="555" spans="1:9" x14ac:dyDescent="0.2">
      <c r="A555" s="11"/>
      <c r="B555" s="11"/>
      <c r="C555" s="11"/>
      <c r="D555" s="19"/>
      <c r="I555" s="32"/>
    </row>
    <row r="556" spans="1:9" x14ac:dyDescent="0.2">
      <c r="A556" s="11"/>
      <c r="B556" s="11"/>
      <c r="C556" s="11"/>
      <c r="D556" s="19"/>
      <c r="I556" s="32"/>
    </row>
    <row r="557" spans="1:9" x14ac:dyDescent="0.2">
      <c r="A557" s="11"/>
      <c r="B557" s="11"/>
      <c r="C557" s="11"/>
      <c r="D557" s="19"/>
      <c r="I557" s="32"/>
    </row>
    <row r="558" spans="1:9" x14ac:dyDescent="0.2">
      <c r="A558" s="11"/>
      <c r="B558" s="11"/>
      <c r="C558" s="11"/>
      <c r="D558" s="19"/>
      <c r="I558" s="32"/>
    </row>
    <row r="559" spans="1:9" x14ac:dyDescent="0.2">
      <c r="A559" s="11"/>
      <c r="B559" s="11"/>
      <c r="C559" s="11"/>
      <c r="D559" s="19"/>
      <c r="I559" s="32"/>
    </row>
    <row r="560" spans="1:9" x14ac:dyDescent="0.2">
      <c r="A560" s="11"/>
      <c r="B560" s="11"/>
      <c r="C560" s="11"/>
      <c r="D560" s="19"/>
      <c r="I560" s="32"/>
    </row>
    <row r="561" spans="1:9" x14ac:dyDescent="0.2">
      <c r="A561" s="11"/>
      <c r="B561" s="11"/>
      <c r="C561" s="11"/>
      <c r="D561" s="19"/>
      <c r="I561" s="32"/>
    </row>
    <row r="562" spans="1:9" x14ac:dyDescent="0.2">
      <c r="A562" s="11"/>
      <c r="B562" s="11"/>
      <c r="C562" s="11"/>
      <c r="D562" s="19"/>
      <c r="I562" s="32"/>
    </row>
    <row r="563" spans="1:9" x14ac:dyDescent="0.2">
      <c r="A563" s="11"/>
      <c r="B563" s="11"/>
      <c r="C563" s="11"/>
      <c r="D563" s="19"/>
      <c r="I563" s="32"/>
    </row>
    <row r="564" spans="1:9" x14ac:dyDescent="0.2">
      <c r="A564" s="11"/>
      <c r="B564" s="11"/>
      <c r="C564" s="11"/>
      <c r="D564" s="19"/>
      <c r="I564" s="32"/>
    </row>
    <row r="565" spans="1:9" x14ac:dyDescent="0.2">
      <c r="A565" s="11"/>
      <c r="B565" s="11"/>
      <c r="C565" s="11"/>
      <c r="D565" s="19"/>
      <c r="I565" s="32"/>
    </row>
    <row r="566" spans="1:9" x14ac:dyDescent="0.2">
      <c r="A566" s="11"/>
      <c r="B566" s="11"/>
      <c r="C566" s="11"/>
      <c r="D566" s="19"/>
      <c r="I566" s="32"/>
    </row>
    <row r="567" spans="1:9" x14ac:dyDescent="0.2">
      <c r="A567" s="11"/>
      <c r="B567" s="11"/>
      <c r="C567" s="11"/>
      <c r="D567" s="19"/>
      <c r="I567" s="32"/>
    </row>
    <row r="568" spans="1:9" x14ac:dyDescent="0.2">
      <c r="A568" s="11"/>
      <c r="B568" s="11"/>
      <c r="C568" s="11"/>
      <c r="D568" s="19"/>
      <c r="I568" s="32"/>
    </row>
    <row r="569" spans="1:9" x14ac:dyDescent="0.2">
      <c r="A569" s="11"/>
      <c r="B569" s="11"/>
      <c r="C569" s="11"/>
      <c r="D569" s="19"/>
      <c r="I569" s="32"/>
    </row>
    <row r="570" spans="1:9" x14ac:dyDescent="0.2">
      <c r="A570" s="11"/>
      <c r="B570" s="11"/>
      <c r="C570" s="11"/>
      <c r="D570" s="19"/>
      <c r="I570" s="32"/>
    </row>
    <row r="571" spans="1:9" x14ac:dyDescent="0.2">
      <c r="A571" s="11"/>
      <c r="B571" s="11"/>
      <c r="C571" s="11"/>
      <c r="D571" s="19"/>
      <c r="I571" s="32"/>
    </row>
    <row r="572" spans="1:9" x14ac:dyDescent="0.2">
      <c r="A572" s="11"/>
      <c r="B572" s="11"/>
      <c r="C572" s="11"/>
      <c r="D572" s="19"/>
      <c r="I572" s="32"/>
    </row>
    <row r="573" spans="1:9" x14ac:dyDescent="0.2">
      <c r="A573" s="11"/>
      <c r="B573" s="11"/>
      <c r="C573" s="11"/>
      <c r="D573" s="19"/>
      <c r="I573" s="32"/>
    </row>
    <row r="574" spans="1:9" x14ac:dyDescent="0.2">
      <c r="A574" s="11"/>
      <c r="B574" s="11"/>
      <c r="C574" s="11"/>
      <c r="D574" s="19"/>
      <c r="I574" s="32"/>
    </row>
    <row r="575" spans="1:9" x14ac:dyDescent="0.2">
      <c r="A575" s="11"/>
      <c r="B575" s="11"/>
      <c r="C575" s="11"/>
      <c r="D575" s="19"/>
      <c r="I575" s="32"/>
    </row>
    <row r="576" spans="1:9" x14ac:dyDescent="0.2">
      <c r="A576" s="11"/>
      <c r="B576" s="14"/>
      <c r="C576" s="14"/>
      <c r="D576" s="19"/>
      <c r="I576" s="32"/>
    </row>
    <row r="577" spans="1:9" x14ac:dyDescent="0.2">
      <c r="A577" s="11"/>
      <c r="B577" s="11"/>
      <c r="C577" s="11"/>
      <c r="D577" s="19"/>
      <c r="I577" s="32"/>
    </row>
    <row r="578" spans="1:9" x14ac:dyDescent="0.2">
      <c r="A578" s="11"/>
      <c r="B578" s="11"/>
      <c r="C578" s="11"/>
      <c r="D578" s="19"/>
      <c r="I578" s="32"/>
    </row>
    <row r="579" spans="1:9" x14ac:dyDescent="0.2">
      <c r="A579" s="11"/>
      <c r="B579" s="11"/>
      <c r="C579" s="11"/>
      <c r="D579" s="19"/>
      <c r="I579" s="32"/>
    </row>
    <row r="580" spans="1:9" x14ac:dyDescent="0.2">
      <c r="A580" s="11"/>
      <c r="B580" s="11"/>
      <c r="C580" s="11"/>
      <c r="D580" s="19"/>
      <c r="I580" s="32"/>
    </row>
    <row r="581" spans="1:9" x14ac:dyDescent="0.2">
      <c r="A581" s="11"/>
      <c r="B581" s="11"/>
      <c r="C581" s="11"/>
      <c r="D581" s="19"/>
      <c r="I581" s="32"/>
    </row>
    <row r="582" spans="1:9" x14ac:dyDescent="0.2">
      <c r="A582" s="11"/>
      <c r="B582" s="11"/>
      <c r="C582" s="11"/>
      <c r="D582" s="19"/>
      <c r="I582" s="32"/>
    </row>
    <row r="583" spans="1:9" x14ac:dyDescent="0.2">
      <c r="A583" s="11"/>
      <c r="B583" s="11"/>
      <c r="C583" s="11"/>
      <c r="D583" s="19"/>
      <c r="I583" s="32"/>
    </row>
    <row r="584" spans="1:9" x14ac:dyDescent="0.2">
      <c r="A584" s="11"/>
      <c r="B584" s="11"/>
      <c r="C584" s="11"/>
      <c r="D584" s="19"/>
      <c r="I584" s="32"/>
    </row>
    <row r="585" spans="1:9" x14ac:dyDescent="0.2">
      <c r="A585" s="11"/>
      <c r="B585" s="11"/>
      <c r="C585" s="11"/>
      <c r="D585" s="19"/>
      <c r="I585" s="32"/>
    </row>
    <row r="586" spans="1:9" x14ac:dyDescent="0.2">
      <c r="A586" s="11"/>
      <c r="B586" s="11"/>
      <c r="C586" s="11"/>
      <c r="D586" s="19"/>
      <c r="I586" s="32"/>
    </row>
    <row r="587" spans="1:9" x14ac:dyDescent="0.2">
      <c r="A587" s="11"/>
      <c r="B587" s="14"/>
      <c r="C587" s="14"/>
      <c r="D587" s="19"/>
      <c r="I587" s="32"/>
    </row>
    <row r="588" spans="1:9" x14ac:dyDescent="0.2">
      <c r="A588" s="11"/>
      <c r="B588" s="11"/>
      <c r="C588" s="11"/>
      <c r="D588" s="19"/>
      <c r="I588" s="32"/>
    </row>
    <row r="589" spans="1:9" x14ac:dyDescent="0.2">
      <c r="A589" s="11"/>
      <c r="B589" s="14"/>
      <c r="C589" s="14"/>
      <c r="D589" s="19"/>
      <c r="I589" s="32"/>
    </row>
    <row r="590" spans="1:9" x14ac:dyDescent="0.2">
      <c r="A590" s="11"/>
      <c r="B590" s="11"/>
      <c r="C590" s="11"/>
      <c r="D590" s="19"/>
      <c r="I590" s="32"/>
    </row>
    <row r="591" spans="1:9" x14ac:dyDescent="0.2">
      <c r="A591" s="11"/>
      <c r="B591" s="11"/>
      <c r="C591" s="11"/>
      <c r="D591" s="19"/>
      <c r="I591" s="32"/>
    </row>
    <row r="592" spans="1:9" x14ac:dyDescent="0.2">
      <c r="A592" s="11"/>
      <c r="B592" s="14"/>
      <c r="C592" s="14"/>
      <c r="D592" s="19"/>
      <c r="I592" s="32"/>
    </row>
    <row r="593" spans="1:9" x14ac:dyDescent="0.2">
      <c r="A593" s="11"/>
      <c r="B593" s="11"/>
      <c r="C593" s="11"/>
      <c r="D593" s="19"/>
      <c r="I593" s="32"/>
    </row>
    <row r="594" spans="1:9" x14ac:dyDescent="0.2">
      <c r="A594" s="11"/>
      <c r="B594" s="11"/>
      <c r="C594" s="11"/>
      <c r="D594" s="19"/>
      <c r="I594" s="32"/>
    </row>
    <row r="595" spans="1:9" x14ac:dyDescent="0.2">
      <c r="A595" s="11"/>
      <c r="B595" s="11"/>
      <c r="C595" s="11"/>
      <c r="D595" s="19"/>
      <c r="I595" s="32"/>
    </row>
    <row r="596" spans="1:9" x14ac:dyDescent="0.2">
      <c r="A596" s="11"/>
      <c r="B596" s="14"/>
      <c r="C596" s="14"/>
      <c r="D596" s="19"/>
      <c r="I596" s="32"/>
    </row>
    <row r="597" spans="1:9" x14ac:dyDescent="0.2">
      <c r="A597" s="11"/>
      <c r="B597" s="11"/>
      <c r="C597" s="11"/>
      <c r="D597" s="19"/>
      <c r="I597" s="32"/>
    </row>
    <row r="598" spans="1:9" x14ac:dyDescent="0.2">
      <c r="A598" s="11"/>
      <c r="D598" s="19"/>
      <c r="I598" s="32"/>
    </row>
    <row r="599" spans="1:9" x14ac:dyDescent="0.2">
      <c r="A599" s="11"/>
      <c r="B599" s="11"/>
      <c r="C599" s="11"/>
      <c r="D599" s="19"/>
      <c r="I599" s="32"/>
    </row>
    <row r="600" spans="1:9" x14ac:dyDescent="0.2">
      <c r="A600" s="11"/>
      <c r="B600" s="11"/>
      <c r="C600" s="11"/>
      <c r="D600" s="19"/>
      <c r="I600" s="32"/>
    </row>
    <row r="601" spans="1:9" x14ac:dyDescent="0.2">
      <c r="A601" s="11"/>
      <c r="B601" s="11"/>
      <c r="C601" s="11"/>
      <c r="D601" s="19"/>
      <c r="I601" s="32"/>
    </row>
    <row r="602" spans="1:9" x14ac:dyDescent="0.2">
      <c r="A602" s="11"/>
      <c r="B602" s="14"/>
      <c r="C602" s="14"/>
      <c r="D602" s="19"/>
      <c r="I602" s="32"/>
    </row>
    <row r="603" spans="1:9" x14ac:dyDescent="0.2">
      <c r="A603" s="11"/>
      <c r="B603" s="11"/>
      <c r="C603" s="11"/>
      <c r="D603" s="19"/>
      <c r="I603" s="32"/>
    </row>
    <row r="604" spans="1:9" x14ac:dyDescent="0.2">
      <c r="A604" s="11"/>
      <c r="B604" s="14"/>
      <c r="C604" s="14"/>
      <c r="D604" s="19"/>
      <c r="I604" s="32"/>
    </row>
    <row r="605" spans="1:9" x14ac:dyDescent="0.2">
      <c r="A605" s="11"/>
      <c r="B605" s="11"/>
      <c r="C605" s="11"/>
      <c r="D605" s="19"/>
      <c r="I605" s="32"/>
    </row>
    <row r="606" spans="1:9" x14ac:dyDescent="0.2">
      <c r="A606" s="11"/>
      <c r="B606" s="11"/>
      <c r="C606" s="11"/>
      <c r="D606" s="19"/>
      <c r="I606" s="32"/>
    </row>
    <row r="607" spans="1:9" x14ac:dyDescent="0.2">
      <c r="A607" s="11"/>
      <c r="B607" s="11"/>
      <c r="C607" s="11"/>
      <c r="D607" s="19"/>
      <c r="I607" s="32"/>
    </row>
    <row r="608" spans="1:9" x14ac:dyDescent="0.2">
      <c r="A608" s="11"/>
      <c r="B608" s="11"/>
      <c r="C608" s="11"/>
      <c r="D608" s="19"/>
      <c r="I608" s="32"/>
    </row>
    <row r="609" spans="1:9" x14ac:dyDescent="0.2">
      <c r="A609" s="11"/>
      <c r="B609" s="11"/>
      <c r="C609" s="11"/>
      <c r="D609" s="19"/>
      <c r="I609" s="32"/>
    </row>
    <row r="610" spans="1:9" x14ac:dyDescent="0.2">
      <c r="A610" s="11"/>
      <c r="B610" s="11"/>
      <c r="C610" s="11"/>
      <c r="D610" s="19"/>
      <c r="I610" s="32"/>
    </row>
    <row r="611" spans="1:9" x14ac:dyDescent="0.2">
      <c r="A611" s="11"/>
      <c r="B611" s="11"/>
      <c r="C611" s="11"/>
      <c r="D611" s="19"/>
      <c r="I611" s="32"/>
    </row>
    <row r="612" spans="1:9" x14ac:dyDescent="0.2">
      <c r="A612" s="11"/>
      <c r="B612" s="11"/>
      <c r="C612" s="11"/>
      <c r="D612" s="19"/>
      <c r="I612" s="32"/>
    </row>
    <row r="613" spans="1:9" x14ac:dyDescent="0.2">
      <c r="A613" s="11"/>
      <c r="B613" s="11"/>
      <c r="C613" s="11"/>
      <c r="D613" s="19"/>
      <c r="I613" s="32"/>
    </row>
    <row r="614" spans="1:9" x14ac:dyDescent="0.2">
      <c r="A614" s="11"/>
      <c r="B614" s="11"/>
      <c r="C614" s="11"/>
      <c r="D614" s="19"/>
      <c r="I614" s="32"/>
    </row>
    <row r="615" spans="1:9" x14ac:dyDescent="0.2">
      <c r="A615" s="11"/>
      <c r="B615" s="11"/>
      <c r="C615" s="11"/>
      <c r="D615" s="19"/>
      <c r="I615" s="32"/>
    </row>
    <row r="616" spans="1:9" x14ac:dyDescent="0.2">
      <c r="A616" s="11"/>
      <c r="B616" s="11"/>
      <c r="C616" s="11"/>
      <c r="D616" s="19"/>
      <c r="I616" s="32"/>
    </row>
    <row r="617" spans="1:9" x14ac:dyDescent="0.2">
      <c r="A617" s="11"/>
      <c r="B617" s="11"/>
      <c r="C617" s="11"/>
      <c r="D617" s="19"/>
      <c r="I617" s="32"/>
    </row>
    <row r="618" spans="1:9" x14ac:dyDescent="0.2">
      <c r="A618" s="11"/>
      <c r="B618" s="11"/>
      <c r="C618" s="11"/>
      <c r="D618" s="19"/>
      <c r="I618" s="32"/>
    </row>
    <row r="619" spans="1:9" x14ac:dyDescent="0.2">
      <c r="A619" s="11"/>
      <c r="B619" s="11"/>
      <c r="C619" s="11"/>
      <c r="D619" s="19"/>
      <c r="I619" s="32"/>
    </row>
    <row r="620" spans="1:9" x14ac:dyDescent="0.2">
      <c r="A620" s="11"/>
      <c r="B620" s="11"/>
      <c r="C620" s="11"/>
      <c r="D620" s="19"/>
      <c r="I620" s="32"/>
    </row>
    <row r="621" spans="1:9" x14ac:dyDescent="0.2">
      <c r="A621" s="11"/>
      <c r="B621" s="11"/>
      <c r="C621" s="11"/>
      <c r="D621" s="19"/>
      <c r="I621" s="32"/>
    </row>
    <row r="622" spans="1:9" x14ac:dyDescent="0.2">
      <c r="A622" s="11"/>
      <c r="B622" s="11"/>
      <c r="C622" s="11"/>
      <c r="D622" s="19"/>
      <c r="I622" s="32"/>
    </row>
    <row r="623" spans="1:9" x14ac:dyDescent="0.2">
      <c r="A623" s="11"/>
      <c r="B623" s="11"/>
      <c r="C623" s="11"/>
      <c r="D623" s="19"/>
      <c r="I623" s="32"/>
    </row>
    <row r="624" spans="1:9" x14ac:dyDescent="0.2">
      <c r="A624" s="11"/>
      <c r="B624" s="11"/>
      <c r="C624" s="11"/>
      <c r="D624" s="19"/>
      <c r="I624" s="32"/>
    </row>
    <row r="625" spans="1:9" x14ac:dyDescent="0.2">
      <c r="A625" s="11"/>
      <c r="B625" s="11"/>
      <c r="C625" s="11"/>
      <c r="D625" s="19"/>
      <c r="I625" s="32"/>
    </row>
    <row r="626" spans="1:9" x14ac:dyDescent="0.2">
      <c r="A626" s="11"/>
      <c r="B626" s="11"/>
      <c r="C626" s="11"/>
      <c r="D626" s="19"/>
      <c r="I626" s="32"/>
    </row>
    <row r="627" spans="1:9" x14ac:dyDescent="0.2">
      <c r="A627" s="11"/>
      <c r="B627" s="11"/>
      <c r="C627" s="11"/>
      <c r="D627" s="19"/>
      <c r="I627" s="32"/>
    </row>
    <row r="628" spans="1:9" x14ac:dyDescent="0.2">
      <c r="A628" s="11"/>
      <c r="B628" s="11"/>
      <c r="C628" s="11"/>
      <c r="D628" s="19"/>
      <c r="I628" s="32"/>
    </row>
    <row r="629" spans="1:9" x14ac:dyDescent="0.2">
      <c r="A629" s="11"/>
      <c r="B629" s="11"/>
      <c r="C629" s="11"/>
      <c r="D629" s="19"/>
      <c r="I629" s="32"/>
    </row>
    <row r="630" spans="1:9" x14ac:dyDescent="0.2">
      <c r="A630" s="11"/>
      <c r="B630" s="11"/>
      <c r="C630" s="11"/>
      <c r="D630" s="19"/>
      <c r="I630" s="32"/>
    </row>
    <row r="631" spans="1:9" x14ac:dyDescent="0.2">
      <c r="A631" s="11"/>
      <c r="B631" s="11"/>
      <c r="C631" s="11"/>
      <c r="D631" s="19"/>
      <c r="I631" s="32"/>
    </row>
    <row r="632" spans="1:9" x14ac:dyDescent="0.2">
      <c r="A632" s="11"/>
      <c r="B632" s="11"/>
      <c r="C632" s="11"/>
      <c r="D632" s="19"/>
      <c r="I632" s="32"/>
    </row>
    <row r="633" spans="1:9" x14ac:dyDescent="0.2">
      <c r="A633" s="11"/>
      <c r="B633" s="11"/>
      <c r="C633" s="11"/>
      <c r="D633" s="19"/>
      <c r="I633" s="32"/>
    </row>
    <row r="634" spans="1:9" x14ac:dyDescent="0.2">
      <c r="A634" s="11"/>
      <c r="B634" s="11"/>
      <c r="C634" s="11"/>
      <c r="D634" s="19"/>
      <c r="I634" s="32"/>
    </row>
    <row r="635" spans="1:9" x14ac:dyDescent="0.2">
      <c r="A635" s="11"/>
      <c r="B635" s="11"/>
      <c r="C635" s="11"/>
      <c r="D635" s="19"/>
      <c r="I635" s="32"/>
    </row>
    <row r="636" spans="1:9" x14ac:dyDescent="0.2">
      <c r="A636" s="11"/>
      <c r="B636" s="11"/>
      <c r="C636" s="11"/>
      <c r="D636" s="19"/>
      <c r="I636" s="32"/>
    </row>
    <row r="637" spans="1:9" x14ac:dyDescent="0.2">
      <c r="A637" s="11"/>
      <c r="B637" s="11"/>
      <c r="C637" s="11"/>
      <c r="D637" s="19"/>
      <c r="I637" s="32"/>
    </row>
    <row r="638" spans="1:9" x14ac:dyDescent="0.2">
      <c r="A638" s="11"/>
      <c r="B638" s="11"/>
      <c r="C638" s="11"/>
      <c r="D638" s="19"/>
      <c r="I638" s="32"/>
    </row>
    <row r="639" spans="1:9" x14ac:dyDescent="0.2">
      <c r="A639" s="11"/>
      <c r="B639" s="11"/>
      <c r="C639" s="11"/>
      <c r="D639" s="19"/>
      <c r="I639" s="32"/>
    </row>
    <row r="640" spans="1:9" x14ac:dyDescent="0.2">
      <c r="A640" s="11"/>
      <c r="B640" s="11"/>
      <c r="C640" s="11"/>
      <c r="D640" s="19"/>
      <c r="I640" s="32"/>
    </row>
    <row r="641" spans="1:9" x14ac:dyDescent="0.2">
      <c r="A641" s="11"/>
      <c r="B641" s="11"/>
      <c r="C641" s="11"/>
      <c r="D641" s="19"/>
      <c r="I641" s="32"/>
    </row>
    <row r="642" spans="1:9" x14ac:dyDescent="0.2">
      <c r="A642" s="11"/>
      <c r="B642" s="11"/>
      <c r="C642" s="11"/>
      <c r="D642" s="19"/>
      <c r="I642" s="32"/>
    </row>
    <row r="643" spans="1:9" x14ac:dyDescent="0.2">
      <c r="A643" s="11"/>
      <c r="B643" s="11"/>
      <c r="C643" s="11"/>
      <c r="D643" s="19"/>
      <c r="I643" s="32"/>
    </row>
    <row r="644" spans="1:9" x14ac:dyDescent="0.2">
      <c r="A644" s="11"/>
      <c r="B644" s="11"/>
      <c r="C644" s="11"/>
      <c r="D644" s="19"/>
      <c r="I644" s="32"/>
    </row>
    <row r="645" spans="1:9" x14ac:dyDescent="0.2">
      <c r="A645" s="11"/>
      <c r="B645" s="11"/>
      <c r="C645" s="11"/>
      <c r="D645" s="19"/>
      <c r="I645" s="32"/>
    </row>
    <row r="646" spans="1:9" x14ac:dyDescent="0.2">
      <c r="A646" s="11"/>
      <c r="B646" s="11"/>
      <c r="C646" s="11"/>
      <c r="D646" s="19"/>
      <c r="I646" s="32"/>
    </row>
    <row r="647" spans="1:9" x14ac:dyDescent="0.2">
      <c r="A647" s="11"/>
      <c r="B647" s="11"/>
      <c r="C647" s="11"/>
      <c r="D647" s="19"/>
      <c r="I647" s="32"/>
    </row>
    <row r="648" spans="1:9" x14ac:dyDescent="0.2">
      <c r="A648" s="11"/>
      <c r="B648" s="11"/>
      <c r="C648" s="11"/>
      <c r="D648" s="19"/>
      <c r="I648" s="32"/>
    </row>
    <row r="649" spans="1:9" x14ac:dyDescent="0.2">
      <c r="A649" s="11"/>
      <c r="B649" s="11"/>
      <c r="C649" s="11"/>
      <c r="D649" s="19"/>
      <c r="I649" s="32"/>
    </row>
    <row r="650" spans="1:9" x14ac:dyDescent="0.2">
      <c r="A650" s="11"/>
      <c r="B650" s="11"/>
      <c r="C650" s="11"/>
      <c r="D650" s="19"/>
      <c r="I650" s="32"/>
    </row>
    <row r="651" spans="1:9" x14ac:dyDescent="0.2">
      <c r="A651" s="17"/>
      <c r="B651" s="11"/>
      <c r="C651" s="11"/>
      <c r="D651" s="19"/>
      <c r="I651" s="32"/>
    </row>
    <row r="652" spans="1:9" x14ac:dyDescent="0.2">
      <c r="A652" s="17"/>
      <c r="B652" s="11"/>
      <c r="C652" s="11"/>
      <c r="D652" s="19"/>
      <c r="I652" s="32"/>
    </row>
    <row r="653" spans="1:9" x14ac:dyDescent="0.2">
      <c r="A653" s="11"/>
      <c r="B653" s="11"/>
      <c r="C653" s="11"/>
      <c r="D653" s="19"/>
      <c r="I653" s="32"/>
    </row>
    <row r="654" spans="1:9" x14ac:dyDescent="0.2">
      <c r="A654" s="11"/>
      <c r="B654" s="11"/>
      <c r="C654" s="11"/>
      <c r="D654" s="19"/>
      <c r="I654" s="32"/>
    </row>
    <row r="655" spans="1:9" x14ac:dyDescent="0.2">
      <c r="A655" s="11"/>
      <c r="B655" s="11"/>
      <c r="C655" s="11"/>
      <c r="D655" s="19"/>
      <c r="I655" s="32"/>
    </row>
    <row r="656" spans="1:9" x14ac:dyDescent="0.2">
      <c r="A656" s="11"/>
      <c r="B656" s="11"/>
      <c r="C656" s="11"/>
      <c r="D656" s="19"/>
      <c r="I656" s="32"/>
    </row>
    <row r="657" spans="1:9" x14ac:dyDescent="0.2">
      <c r="A657" s="11"/>
      <c r="B657" s="11"/>
      <c r="C657" s="11"/>
      <c r="D657" s="19"/>
      <c r="I657" s="32"/>
    </row>
    <row r="658" spans="1:9" x14ac:dyDescent="0.2">
      <c r="A658" s="11"/>
      <c r="B658" s="11"/>
      <c r="C658" s="11"/>
      <c r="D658" s="19"/>
      <c r="I658" s="32"/>
    </row>
    <row r="659" spans="1:9" x14ac:dyDescent="0.2">
      <c r="A659" s="11"/>
      <c r="B659" s="11"/>
      <c r="C659" s="11"/>
      <c r="D659" s="19"/>
      <c r="I659" s="32"/>
    </row>
    <row r="660" spans="1:9" x14ac:dyDescent="0.2">
      <c r="A660" s="11"/>
      <c r="B660" s="11"/>
      <c r="C660" s="11"/>
      <c r="D660" s="19"/>
      <c r="I660" s="32"/>
    </row>
    <row r="661" spans="1:9" x14ac:dyDescent="0.2">
      <c r="A661" s="11"/>
      <c r="B661" s="11"/>
      <c r="C661" s="11"/>
      <c r="D661" s="19"/>
      <c r="I661" s="32"/>
    </row>
    <row r="662" spans="1:9" x14ac:dyDescent="0.2">
      <c r="A662" s="11"/>
      <c r="B662" s="11"/>
      <c r="C662" s="11"/>
      <c r="D662" s="19"/>
      <c r="I662" s="32"/>
    </row>
    <row r="663" spans="1:9" x14ac:dyDescent="0.2">
      <c r="A663" s="11"/>
      <c r="B663" s="11"/>
      <c r="C663" s="11"/>
      <c r="D663" s="19"/>
      <c r="I663" s="32"/>
    </row>
    <row r="664" spans="1:9" x14ac:dyDescent="0.2">
      <c r="A664" s="11"/>
      <c r="B664" s="11"/>
      <c r="C664" s="11"/>
      <c r="D664" s="19"/>
      <c r="I664" s="32"/>
    </row>
    <row r="665" spans="1:9" x14ac:dyDescent="0.2">
      <c r="A665" s="11"/>
      <c r="B665" s="11"/>
      <c r="C665" s="11"/>
      <c r="D665" s="19"/>
      <c r="I665" s="32"/>
    </row>
    <row r="666" spans="1:9" x14ac:dyDescent="0.2">
      <c r="A666" s="11"/>
      <c r="B666" s="11"/>
      <c r="C666" s="11"/>
      <c r="D666" s="19"/>
      <c r="I666" s="32"/>
    </row>
    <row r="667" spans="1:9" x14ac:dyDescent="0.2">
      <c r="A667" s="11"/>
      <c r="B667" s="11"/>
      <c r="C667" s="11"/>
      <c r="D667" s="19"/>
      <c r="I667" s="32"/>
    </row>
    <row r="668" spans="1:9" x14ac:dyDescent="0.2">
      <c r="A668" s="11"/>
      <c r="B668" s="11"/>
      <c r="C668" s="11"/>
      <c r="D668" s="19"/>
      <c r="I668" s="32"/>
    </row>
    <row r="669" spans="1:9" x14ac:dyDescent="0.2">
      <c r="A669" s="11"/>
      <c r="B669" s="11"/>
      <c r="C669" s="11"/>
      <c r="D669" s="19"/>
      <c r="I669" s="32"/>
    </row>
    <row r="670" spans="1:9" x14ac:dyDescent="0.2">
      <c r="A670" s="11"/>
      <c r="B670" s="11"/>
      <c r="C670" s="11"/>
      <c r="D670" s="19"/>
      <c r="I670" s="32"/>
    </row>
    <row r="671" spans="1:9" x14ac:dyDescent="0.2">
      <c r="A671" s="11"/>
      <c r="B671" s="11"/>
      <c r="C671" s="11"/>
      <c r="D671" s="19"/>
      <c r="I671" s="32"/>
    </row>
    <row r="672" spans="1:9" x14ac:dyDescent="0.2">
      <c r="A672" s="11"/>
      <c r="B672" s="11"/>
      <c r="C672" s="11"/>
      <c r="D672" s="19"/>
      <c r="I672" s="32"/>
    </row>
    <row r="673" spans="1:9" x14ac:dyDescent="0.2">
      <c r="A673" s="11"/>
      <c r="B673" s="11"/>
      <c r="C673" s="11"/>
      <c r="D673" s="19"/>
      <c r="I673" s="32"/>
    </row>
    <row r="674" spans="1:9" x14ac:dyDescent="0.2">
      <c r="A674" s="11"/>
      <c r="B674" s="8"/>
      <c r="C674" s="8"/>
      <c r="D674" s="19"/>
      <c r="I674" s="32"/>
    </row>
    <row r="675" spans="1:9" x14ac:dyDescent="0.2">
      <c r="A675" s="11"/>
      <c r="B675" s="11"/>
      <c r="C675" s="11"/>
      <c r="D675" s="19"/>
      <c r="I675" s="32"/>
    </row>
    <row r="676" spans="1:9" x14ac:dyDescent="0.2">
      <c r="A676" s="11"/>
      <c r="B676" s="11"/>
      <c r="C676" s="11"/>
      <c r="D676" s="19"/>
      <c r="I676" s="32"/>
    </row>
    <row r="677" spans="1:9" x14ac:dyDescent="0.2">
      <c r="A677" s="7"/>
      <c r="B677" s="7"/>
      <c r="C677" s="7"/>
      <c r="D677" s="21"/>
      <c r="I677" s="32"/>
    </row>
    <row r="678" spans="1:9" x14ac:dyDescent="0.2">
      <c r="A678" s="11"/>
      <c r="B678" s="11"/>
      <c r="C678" s="11"/>
      <c r="D678" s="19"/>
      <c r="I678" s="32"/>
    </row>
    <row r="679" spans="1:9" x14ac:dyDescent="0.2">
      <c r="A679" s="11"/>
      <c r="B679" s="11"/>
      <c r="C679" s="11"/>
      <c r="D679" s="19"/>
      <c r="I679" s="32"/>
    </row>
    <row r="680" spans="1:9" x14ac:dyDescent="0.2">
      <c r="A680" s="11"/>
      <c r="B680" s="11"/>
      <c r="C680" s="11"/>
      <c r="D680" s="19"/>
      <c r="I680" s="32"/>
    </row>
    <row r="681" spans="1:9" x14ac:dyDescent="0.2">
      <c r="A681" s="7"/>
      <c r="B681" s="7"/>
      <c r="C681" s="7"/>
      <c r="D681" s="20"/>
      <c r="I681" s="32"/>
    </row>
    <row r="682" spans="1:9" x14ac:dyDescent="0.2">
      <c r="A682" s="11"/>
      <c r="B682" s="11"/>
      <c r="C682" s="11"/>
      <c r="D682" s="19"/>
      <c r="I682" s="32"/>
    </row>
    <row r="683" spans="1:9" x14ac:dyDescent="0.2">
      <c r="A683" s="11"/>
      <c r="B683" s="11"/>
      <c r="C683" s="11"/>
      <c r="D683" s="19"/>
      <c r="I683" s="32"/>
    </row>
    <row r="684" spans="1:9" x14ac:dyDescent="0.2">
      <c r="A684" s="11"/>
      <c r="B684" s="11"/>
      <c r="C684" s="11"/>
      <c r="D684" s="19"/>
      <c r="I684" s="32"/>
    </row>
    <row r="685" spans="1:9" x14ac:dyDescent="0.2">
      <c r="A685" s="11"/>
      <c r="B685" s="11"/>
      <c r="C685" s="11"/>
      <c r="D685" s="19"/>
      <c r="I685" s="32"/>
    </row>
    <row r="686" spans="1:9" x14ac:dyDescent="0.2">
      <c r="A686" s="11"/>
      <c r="B686" s="11"/>
      <c r="C686" s="11"/>
      <c r="D686" s="19"/>
      <c r="I686" s="32"/>
    </row>
    <row r="687" spans="1:9" x14ac:dyDescent="0.2">
      <c r="A687" s="11"/>
      <c r="B687" s="11"/>
      <c r="C687" s="11"/>
      <c r="D687" s="19"/>
      <c r="I687" s="32"/>
    </row>
    <row r="688" spans="1:9" x14ac:dyDescent="0.2">
      <c r="A688" s="11"/>
      <c r="B688" s="11"/>
      <c r="C688" s="11"/>
      <c r="D688" s="19"/>
      <c r="I688" s="32"/>
    </row>
    <row r="689" spans="1:9" x14ac:dyDescent="0.2">
      <c r="A689" s="11"/>
      <c r="B689" s="11"/>
      <c r="C689" s="11"/>
      <c r="D689" s="19"/>
      <c r="I689" s="32"/>
    </row>
    <row r="690" spans="1:9" x14ac:dyDescent="0.2">
      <c r="A690" s="11"/>
      <c r="B690" s="11"/>
      <c r="C690" s="11"/>
      <c r="D690" s="19"/>
      <c r="I690" s="32"/>
    </row>
    <row r="691" spans="1:9" x14ac:dyDescent="0.2">
      <c r="A691" s="11"/>
      <c r="B691" s="11"/>
      <c r="C691" s="11"/>
      <c r="D691" s="19"/>
      <c r="I691" s="32"/>
    </row>
    <row r="692" spans="1:9" x14ac:dyDescent="0.2">
      <c r="A692" s="11"/>
      <c r="B692" s="11"/>
      <c r="C692" s="11"/>
      <c r="D692" s="19"/>
      <c r="I692" s="32"/>
    </row>
    <row r="693" spans="1:9" x14ac:dyDescent="0.2">
      <c r="A693" s="11"/>
      <c r="B693" s="11"/>
      <c r="C693" s="11"/>
      <c r="D693" s="19"/>
      <c r="I693" s="32"/>
    </row>
    <row r="694" spans="1:9" x14ac:dyDescent="0.2">
      <c r="A694" s="11"/>
      <c r="B694" s="11"/>
      <c r="C694" s="11"/>
      <c r="D694" s="19"/>
      <c r="I694" s="32"/>
    </row>
    <row r="695" spans="1:9" x14ac:dyDescent="0.2">
      <c r="A695" s="11"/>
      <c r="B695" s="11"/>
      <c r="C695" s="11"/>
      <c r="D695" s="19"/>
      <c r="I695" s="32"/>
    </row>
    <row r="696" spans="1:9" x14ac:dyDescent="0.2">
      <c r="A696" s="11"/>
      <c r="B696" s="11"/>
      <c r="C696" s="11"/>
      <c r="D696" s="19"/>
      <c r="I696" s="32"/>
    </row>
    <row r="697" spans="1:9" x14ac:dyDescent="0.2">
      <c r="A697" s="11"/>
      <c r="B697" s="11"/>
      <c r="C697" s="11"/>
      <c r="D697" s="19"/>
      <c r="I697" s="32"/>
    </row>
    <row r="698" spans="1:9" x14ac:dyDescent="0.2">
      <c r="A698" s="11"/>
      <c r="B698" s="11"/>
      <c r="C698" s="11"/>
      <c r="D698" s="19"/>
      <c r="I698" s="32"/>
    </row>
    <row r="699" spans="1:9" x14ac:dyDescent="0.2">
      <c r="A699" s="11"/>
      <c r="B699" s="17"/>
      <c r="C699" s="17"/>
      <c r="D699" s="19"/>
      <c r="I699" s="32"/>
    </row>
    <row r="700" spans="1:9" x14ac:dyDescent="0.2">
      <c r="A700" s="11"/>
      <c r="B700" s="11"/>
      <c r="C700" s="11"/>
      <c r="D700" s="19"/>
      <c r="I700" s="32"/>
    </row>
    <row r="701" spans="1:9" x14ac:dyDescent="0.2">
      <c r="A701" s="11"/>
      <c r="B701" s="11"/>
      <c r="C701" s="11"/>
      <c r="D701" s="19"/>
      <c r="I701" s="32"/>
    </row>
    <row r="702" spans="1:9" x14ac:dyDescent="0.2">
      <c r="A702" s="11"/>
      <c r="B702" s="11"/>
      <c r="C702" s="11"/>
      <c r="D702" s="19"/>
      <c r="I702" s="32"/>
    </row>
    <row r="703" spans="1:9" x14ac:dyDescent="0.2">
      <c r="A703" s="11"/>
      <c r="B703" s="11"/>
      <c r="C703" s="11"/>
      <c r="D703" s="19"/>
      <c r="I703" s="32"/>
    </row>
    <row r="704" spans="1:9" x14ac:dyDescent="0.2">
      <c r="A704" s="11"/>
      <c r="B704" s="11"/>
      <c r="C704" s="11"/>
      <c r="D704" s="19"/>
      <c r="I704" s="32"/>
    </row>
    <row r="705" spans="1:9" x14ac:dyDescent="0.2">
      <c r="A705" s="11"/>
      <c r="B705" s="11"/>
      <c r="C705" s="11"/>
      <c r="D705" s="19"/>
      <c r="I705" s="32"/>
    </row>
    <row r="706" spans="1:9" x14ac:dyDescent="0.2">
      <c r="A706" s="11"/>
      <c r="B706" s="11"/>
      <c r="C706" s="11"/>
      <c r="D706" s="19"/>
      <c r="I706" s="32"/>
    </row>
    <row r="707" spans="1:9" x14ac:dyDescent="0.2">
      <c r="A707" s="11"/>
      <c r="B707" s="11"/>
      <c r="C707" s="11"/>
      <c r="D707" s="19"/>
      <c r="I707" s="32"/>
    </row>
    <row r="708" spans="1:9" x14ac:dyDescent="0.2">
      <c r="A708" s="11"/>
      <c r="B708" s="11"/>
      <c r="C708" s="11"/>
      <c r="I708" s="32"/>
    </row>
    <row r="709" spans="1:9" x14ac:dyDescent="0.2">
      <c r="A709" s="11"/>
      <c r="B709" s="11"/>
      <c r="C709" s="11"/>
      <c r="D709" s="19"/>
      <c r="I709" s="32"/>
    </row>
    <row r="710" spans="1:9" x14ac:dyDescent="0.2">
      <c r="A710" s="11"/>
      <c r="B710" s="11"/>
      <c r="C710" s="11"/>
      <c r="D710" s="19"/>
      <c r="I710" s="32"/>
    </row>
    <row r="711" spans="1:9" x14ac:dyDescent="0.2">
      <c r="A711" s="11"/>
      <c r="B711" s="11"/>
      <c r="C711" s="11"/>
      <c r="D711" s="19"/>
      <c r="I711" s="32"/>
    </row>
    <row r="712" spans="1:9" x14ac:dyDescent="0.2">
      <c r="A712" s="11"/>
      <c r="B712" s="11"/>
      <c r="C712" s="11"/>
      <c r="D712" s="19"/>
      <c r="I712" s="32"/>
    </row>
    <row r="713" spans="1:9" x14ac:dyDescent="0.2">
      <c r="A713" s="11"/>
      <c r="B713" s="11"/>
      <c r="C713" s="11"/>
      <c r="D713" s="19"/>
      <c r="I713" s="32"/>
    </row>
    <row r="714" spans="1:9" x14ac:dyDescent="0.2">
      <c r="A714" s="11"/>
      <c r="B714" s="11"/>
      <c r="C714" s="11"/>
      <c r="D714" s="19"/>
      <c r="I714" s="32"/>
    </row>
    <row r="715" spans="1:9" x14ac:dyDescent="0.2">
      <c r="A715" s="11"/>
      <c r="B715" s="11"/>
      <c r="C715" s="11"/>
      <c r="D715" s="19"/>
      <c r="I715" s="32"/>
    </row>
    <row r="716" spans="1:9" x14ac:dyDescent="0.2">
      <c r="A716" s="7"/>
      <c r="B716" s="7"/>
      <c r="C716" s="7"/>
      <c r="D716" s="20"/>
      <c r="I716" s="32"/>
    </row>
    <row r="717" spans="1:9" x14ac:dyDescent="0.2">
      <c r="A717" s="11"/>
      <c r="B717" s="11"/>
      <c r="C717" s="11"/>
      <c r="D717" s="19"/>
      <c r="I717" s="32"/>
    </row>
    <row r="718" spans="1:9" x14ac:dyDescent="0.2">
      <c r="A718" s="11"/>
      <c r="B718" s="11"/>
      <c r="C718" s="11"/>
      <c r="D718" s="19"/>
      <c r="I718" s="32"/>
    </row>
    <row r="719" spans="1:9" x14ac:dyDescent="0.2">
      <c r="A719" s="11"/>
      <c r="B719" s="11"/>
      <c r="C719" s="11"/>
      <c r="D719" s="19"/>
      <c r="I719" s="32"/>
    </row>
    <row r="720" spans="1:9" x14ac:dyDescent="0.2">
      <c r="A720" s="11"/>
      <c r="B720" s="11"/>
      <c r="C720" s="11"/>
      <c r="D720" s="19"/>
      <c r="I720" s="32"/>
    </row>
    <row r="721" spans="1:9" x14ac:dyDescent="0.2">
      <c r="A721" s="11"/>
      <c r="B721" s="11"/>
      <c r="C721" s="11"/>
      <c r="D721" s="19"/>
      <c r="I721" s="32"/>
    </row>
    <row r="722" spans="1:9" x14ac:dyDescent="0.2">
      <c r="A722" s="11"/>
      <c r="B722" s="11"/>
      <c r="C722" s="11"/>
      <c r="D722" s="19"/>
      <c r="I722" s="32"/>
    </row>
    <row r="723" spans="1:9" x14ac:dyDescent="0.2">
      <c r="A723" s="11"/>
      <c r="B723" s="11"/>
      <c r="C723" s="11"/>
      <c r="D723" s="19"/>
      <c r="I723" s="32"/>
    </row>
    <row r="724" spans="1:9" x14ac:dyDescent="0.2">
      <c r="A724" s="11"/>
      <c r="B724" s="11"/>
      <c r="C724" s="11"/>
      <c r="D724" s="19"/>
      <c r="I724" s="32"/>
    </row>
    <row r="725" spans="1:9" x14ac:dyDescent="0.2">
      <c r="A725" s="11"/>
      <c r="B725" s="11"/>
      <c r="C725" s="11"/>
      <c r="D725" s="19"/>
      <c r="I725" s="32"/>
    </row>
    <row r="726" spans="1:9" x14ac:dyDescent="0.2">
      <c r="A726" s="11"/>
      <c r="B726" s="11"/>
      <c r="C726" s="11"/>
      <c r="D726" s="19"/>
      <c r="I726" s="32"/>
    </row>
    <row r="727" spans="1:9" x14ac:dyDescent="0.2">
      <c r="A727" s="11"/>
      <c r="B727" s="11"/>
      <c r="C727" s="11"/>
      <c r="D727" s="19"/>
      <c r="I727" s="32"/>
    </row>
    <row r="728" spans="1:9" x14ac:dyDescent="0.2">
      <c r="A728" s="11"/>
      <c r="B728" s="11"/>
      <c r="C728" s="11"/>
      <c r="D728" s="19"/>
      <c r="I728" s="32"/>
    </row>
    <row r="729" spans="1:9" x14ac:dyDescent="0.2">
      <c r="A729" s="11"/>
      <c r="B729" s="11"/>
      <c r="C729" s="11"/>
      <c r="D729" s="19"/>
      <c r="I729" s="32"/>
    </row>
    <row r="730" spans="1:9" x14ac:dyDescent="0.2">
      <c r="A730" s="11"/>
      <c r="B730" s="11"/>
      <c r="C730" s="11"/>
      <c r="D730" s="19"/>
      <c r="I730" s="32"/>
    </row>
    <row r="731" spans="1:9" x14ac:dyDescent="0.2">
      <c r="A731" s="11"/>
      <c r="B731" s="11"/>
      <c r="C731" s="11"/>
      <c r="D731" s="19"/>
      <c r="I731" s="32"/>
    </row>
    <row r="732" spans="1:9" x14ac:dyDescent="0.2">
      <c r="A732" s="11"/>
      <c r="B732" s="11"/>
      <c r="C732" s="11"/>
      <c r="D732" s="19"/>
      <c r="I732" s="32"/>
    </row>
    <row r="733" spans="1:9" x14ac:dyDescent="0.2">
      <c r="A733" s="11"/>
      <c r="B733" s="11"/>
      <c r="C733" s="11"/>
      <c r="D733" s="19"/>
      <c r="I733" s="32"/>
    </row>
    <row r="734" spans="1:9" x14ac:dyDescent="0.2">
      <c r="A734" s="11"/>
      <c r="B734" s="11"/>
      <c r="C734" s="11"/>
      <c r="D734" s="19"/>
      <c r="I734" s="32"/>
    </row>
    <row r="735" spans="1:9" x14ac:dyDescent="0.2">
      <c r="A735" s="11"/>
      <c r="B735" s="11"/>
      <c r="C735" s="11"/>
      <c r="D735" s="19"/>
      <c r="I735" s="32"/>
    </row>
    <row r="736" spans="1:9" x14ac:dyDescent="0.2">
      <c r="A736" s="11"/>
      <c r="B736" s="11"/>
      <c r="C736" s="11"/>
      <c r="D736" s="19"/>
      <c r="I736" s="32"/>
    </row>
    <row r="1632" spans="9:9" x14ac:dyDescent="0.2">
      <c r="I1632" s="23"/>
    </row>
    <row r="1642" spans="9:9" x14ac:dyDescent="0.2">
      <c r="I1642" s="23"/>
    </row>
    <row r="1662" spans="9:9" x14ac:dyDescent="0.2">
      <c r="I1662" s="23"/>
    </row>
    <row r="1678" spans="9:9" x14ac:dyDescent="0.2">
      <c r="I1678" s="23"/>
    </row>
    <row r="1693" spans="9:9" x14ac:dyDescent="0.2">
      <c r="I1693" s="23"/>
    </row>
    <row r="1711" spans="9:9" x14ac:dyDescent="0.2">
      <c r="I1711" s="23"/>
    </row>
    <row r="1726" spans="9:9" x14ac:dyDescent="0.2">
      <c r="I1726" s="23"/>
    </row>
    <row r="1734" spans="9:9" x14ac:dyDescent="0.2">
      <c r="I1734" s="23"/>
    </row>
    <row r="1753" spans="9:9" x14ac:dyDescent="0.2">
      <c r="I1753" s="23"/>
    </row>
    <row r="1770" spans="9:9" x14ac:dyDescent="0.2">
      <c r="I1770" s="23"/>
    </row>
    <row r="1785" spans="9:9" x14ac:dyDescent="0.2">
      <c r="I1785" s="23"/>
    </row>
    <row r="1813" spans="9:9" x14ac:dyDescent="0.2">
      <c r="I1813" s="23"/>
    </row>
    <row r="3629" spans="9:9" x14ac:dyDescent="0.2">
      <c r="I362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9"/>
  <sheetViews>
    <sheetView zoomScaleNormal="100" workbookViewId="0">
      <pane ySplit="4" topLeftCell="A5" activePane="bottomLeft" state="frozen"/>
      <selection activeCell="D4" sqref="D4:XFD4"/>
      <selection pane="bottomLeft" activeCell="J1" sqref="J1"/>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111" customFormat="1" ht="15" x14ac:dyDescent="0.25">
      <c r="A1" s="110" t="s">
        <v>48</v>
      </c>
      <c r="B1" s="299" t="s">
        <v>15</v>
      </c>
      <c r="C1" s="112" t="s">
        <v>49</v>
      </c>
      <c r="D1" s="300" t="s">
        <v>126</v>
      </c>
      <c r="E1" s="110" t="s">
        <v>226</v>
      </c>
      <c r="F1" s="299" t="s">
        <v>214</v>
      </c>
      <c r="G1" s="110" t="s">
        <v>9</v>
      </c>
      <c r="H1" s="299" t="s">
        <v>228</v>
      </c>
      <c r="I1" s="107" t="s">
        <v>327</v>
      </c>
      <c r="J1" s="297" t="b">
        <v>0</v>
      </c>
    </row>
    <row r="2" spans="1:10" s="58" customFormat="1" ht="15" x14ac:dyDescent="0.25">
      <c r="A2" s="127" t="s">
        <v>580</v>
      </c>
      <c r="B2" s="177" t="s">
        <v>579</v>
      </c>
      <c r="C2" s="177" t="s">
        <v>215</v>
      </c>
      <c r="D2" s="177" t="s">
        <v>577</v>
      </c>
      <c r="E2" s="57"/>
      <c r="F2" s="292" t="s">
        <v>501</v>
      </c>
      <c r="G2" s="293"/>
      <c r="H2" s="293"/>
      <c r="I2" s="294"/>
      <c r="J2" s="82"/>
    </row>
    <row r="3" spans="1:10" s="58" customFormat="1" ht="30" x14ac:dyDescent="0.25">
      <c r="A3" s="177" t="s">
        <v>620</v>
      </c>
      <c r="B3" s="177" t="s">
        <v>576</v>
      </c>
      <c r="C3" s="177" t="s">
        <v>502</v>
      </c>
      <c r="D3" s="177" t="s">
        <v>578</v>
      </c>
      <c r="E3" s="57"/>
      <c r="F3" s="131" t="s">
        <v>502</v>
      </c>
      <c r="G3" s="132"/>
      <c r="H3" s="132"/>
      <c r="I3" s="132"/>
      <c r="J3" s="82"/>
    </row>
    <row r="4" spans="1:10" s="62" customFormat="1" ht="15" x14ac:dyDescent="0.25">
      <c r="A4" s="45" t="s">
        <v>6</v>
      </c>
      <c r="B4" s="45" t="s">
        <v>226</v>
      </c>
      <c r="C4" s="59" t="s">
        <v>9</v>
      </c>
      <c r="D4" s="60" t="s">
        <v>50</v>
      </c>
      <c r="E4" s="61" t="s">
        <v>503</v>
      </c>
      <c r="F4" s="133" t="s">
        <v>500</v>
      </c>
      <c r="G4" s="132"/>
      <c r="H4" s="132"/>
      <c r="I4" s="132"/>
      <c r="J4" s="63"/>
    </row>
    <row r="5" spans="1:10" customFormat="1" ht="15" x14ac:dyDescent="0.25">
      <c r="A5" s="102" t="s">
        <v>425</v>
      </c>
      <c r="B5" s="102" t="s">
        <v>426</v>
      </c>
      <c r="G5" s="132"/>
      <c r="H5" s="132"/>
      <c r="I5" s="132"/>
    </row>
    <row r="6" spans="1:10" customFormat="1" ht="15" x14ac:dyDescent="0.25">
      <c r="A6" s="102" t="s">
        <v>427</v>
      </c>
      <c r="B6" s="102" t="s">
        <v>428</v>
      </c>
      <c r="G6" s="132"/>
      <c r="H6" s="132"/>
      <c r="I6" s="132"/>
    </row>
    <row r="7" spans="1:10" customFormat="1" ht="15" x14ac:dyDescent="0.25">
      <c r="A7" s="102" t="s">
        <v>429</v>
      </c>
      <c r="B7" s="102" t="s">
        <v>430</v>
      </c>
      <c r="G7" s="132"/>
      <c r="H7" s="132"/>
      <c r="I7" s="132"/>
    </row>
    <row r="8" spans="1:10" customFormat="1" ht="15" x14ac:dyDescent="0.25">
      <c r="A8" s="102" t="s">
        <v>431</v>
      </c>
      <c r="B8" s="102" t="s">
        <v>432</v>
      </c>
      <c r="G8" s="132"/>
      <c r="H8" s="132"/>
      <c r="I8" s="132"/>
    </row>
    <row r="9" spans="1:10" customFormat="1" ht="15" x14ac:dyDescent="0.25">
      <c r="A9" s="102" t="s">
        <v>433</v>
      </c>
      <c r="B9" s="102" t="s">
        <v>434</v>
      </c>
      <c r="G9" s="132"/>
      <c r="H9" s="132"/>
      <c r="I9" s="132"/>
    </row>
    <row r="10" spans="1:10" customFormat="1" ht="15" x14ac:dyDescent="0.25">
      <c r="A10" s="102" t="s">
        <v>435</v>
      </c>
      <c r="B10" s="102" t="s">
        <v>436</v>
      </c>
      <c r="G10" s="132"/>
      <c r="H10" s="132"/>
      <c r="I10" s="132"/>
    </row>
    <row r="11" spans="1:10" customFormat="1" ht="15" x14ac:dyDescent="0.25">
      <c r="A11" s="102" t="s">
        <v>437</v>
      </c>
      <c r="B11" s="102" t="s">
        <v>438</v>
      </c>
      <c r="G11" s="132"/>
      <c r="H11" s="132"/>
      <c r="I11" s="132"/>
    </row>
    <row r="12" spans="1:10" customFormat="1" ht="15" x14ac:dyDescent="0.25">
      <c r="A12" s="102" t="s">
        <v>439</v>
      </c>
      <c r="B12" s="102" t="s">
        <v>440</v>
      </c>
      <c r="G12" s="132"/>
      <c r="H12" s="132"/>
      <c r="I12" s="132"/>
    </row>
    <row r="13" spans="1:10" customFormat="1" ht="15" x14ac:dyDescent="0.25">
      <c r="A13" s="102" t="s">
        <v>441</v>
      </c>
      <c r="B13" s="102" t="s">
        <v>424</v>
      </c>
      <c r="G13" s="132"/>
      <c r="H13" s="132"/>
      <c r="I13" s="132"/>
    </row>
    <row r="14" spans="1:10" customFormat="1" ht="15" x14ac:dyDescent="0.25">
      <c r="A14" s="102" t="s">
        <v>442</v>
      </c>
      <c r="B14" s="102" t="s">
        <v>443</v>
      </c>
      <c r="G14" s="132"/>
      <c r="H14" s="132"/>
      <c r="I14" s="132"/>
    </row>
    <row r="15" spans="1:10" customFormat="1" ht="15" x14ac:dyDescent="0.25">
      <c r="A15" s="102" t="s">
        <v>444</v>
      </c>
      <c r="B15" s="102" t="s">
        <v>445</v>
      </c>
      <c r="G15" s="132"/>
      <c r="H15" s="132"/>
      <c r="I15" s="132"/>
    </row>
    <row r="16" spans="1:10" customFormat="1" ht="15" x14ac:dyDescent="0.25">
      <c r="A16" s="102" t="s">
        <v>446</v>
      </c>
      <c r="B16" s="102" t="s">
        <v>447</v>
      </c>
      <c r="G16" s="132"/>
      <c r="H16" s="132"/>
      <c r="I16" s="132"/>
    </row>
    <row r="17" spans="1:9" customFormat="1" ht="15" x14ac:dyDescent="0.25">
      <c r="A17" s="102" t="s">
        <v>448</v>
      </c>
      <c r="B17" s="102" t="s">
        <v>449</v>
      </c>
      <c r="G17" s="132"/>
      <c r="H17" s="132"/>
      <c r="I17" s="132"/>
    </row>
    <row r="18" spans="1:9" customFormat="1" ht="15" x14ac:dyDescent="0.25">
      <c r="A18" s="102" t="s">
        <v>450</v>
      </c>
      <c r="B18" s="102" t="s">
        <v>451</v>
      </c>
      <c r="G18" s="132"/>
      <c r="H18" s="132"/>
      <c r="I18" s="132"/>
    </row>
    <row r="19" spans="1:9" customFormat="1" ht="15" x14ac:dyDescent="0.25">
      <c r="A19" s="102" t="s">
        <v>452</v>
      </c>
      <c r="B19" s="102" t="s">
        <v>453</v>
      </c>
      <c r="G19" s="132"/>
      <c r="H19" s="132"/>
      <c r="I19" s="132"/>
    </row>
    <row r="20" spans="1:9" customFormat="1" ht="15" x14ac:dyDescent="0.25">
      <c r="A20" s="102" t="s">
        <v>454</v>
      </c>
      <c r="B20" s="102" t="s">
        <v>455</v>
      </c>
      <c r="G20" s="132"/>
      <c r="H20" s="132"/>
      <c r="I20" s="132"/>
    </row>
    <row r="21" spans="1:9" customFormat="1" ht="15" x14ac:dyDescent="0.25">
      <c r="A21" s="102" t="s">
        <v>456</v>
      </c>
      <c r="B21" s="102" t="s">
        <v>457</v>
      </c>
      <c r="G21" s="132"/>
      <c r="H21" s="132"/>
      <c r="I21" s="132"/>
    </row>
    <row r="22" spans="1:9" customFormat="1" ht="15" x14ac:dyDescent="0.25">
      <c r="A22" s="102" t="s">
        <v>458</v>
      </c>
      <c r="B22" s="102" t="s">
        <v>459</v>
      </c>
      <c r="G22" s="132"/>
      <c r="H22" s="132"/>
      <c r="I22" s="132"/>
    </row>
    <row r="23" spans="1:9" customFormat="1" ht="15" x14ac:dyDescent="0.25">
      <c r="A23" s="102" t="s">
        <v>460</v>
      </c>
      <c r="B23" s="102" t="s">
        <v>461</v>
      </c>
      <c r="G23" s="132"/>
      <c r="H23" s="132"/>
      <c r="I23" s="132"/>
    </row>
    <row r="24" spans="1:9" customFormat="1" ht="15" x14ac:dyDescent="0.25">
      <c r="A24" s="102" t="s">
        <v>462</v>
      </c>
      <c r="B24" s="102" t="s">
        <v>463</v>
      </c>
      <c r="G24" s="132"/>
      <c r="H24" s="132"/>
      <c r="I24" s="132"/>
    </row>
    <row r="25" spans="1:9" customFormat="1" ht="15" x14ac:dyDescent="0.25">
      <c r="A25" s="102" t="s">
        <v>464</v>
      </c>
      <c r="B25" s="102" t="s">
        <v>465</v>
      </c>
      <c r="G25" s="132"/>
      <c r="H25" s="132"/>
      <c r="I25" s="132"/>
    </row>
    <row r="26" spans="1:9" customFormat="1" ht="15" x14ac:dyDescent="0.25">
      <c r="A26" s="102" t="s">
        <v>466</v>
      </c>
      <c r="B26" s="102" t="s">
        <v>467</v>
      </c>
      <c r="G26" s="132"/>
      <c r="H26" s="132"/>
      <c r="I26" s="132"/>
    </row>
    <row r="27" spans="1:9" customFormat="1" ht="15" x14ac:dyDescent="0.25">
      <c r="A27" s="102" t="s">
        <v>468</v>
      </c>
      <c r="B27" s="102" t="s">
        <v>469</v>
      </c>
      <c r="G27" s="132"/>
      <c r="H27" s="132"/>
      <c r="I27" s="132"/>
    </row>
    <row r="28" spans="1:9" customFormat="1" ht="15" x14ac:dyDescent="0.25">
      <c r="A28" s="102" t="s">
        <v>470</v>
      </c>
      <c r="B28" s="102" t="s">
        <v>471</v>
      </c>
      <c r="G28" s="132"/>
      <c r="H28" s="132"/>
      <c r="I28" s="132"/>
    </row>
    <row r="29" spans="1:9" customFormat="1" ht="15" x14ac:dyDescent="0.25">
      <c r="A29" s="102" t="s">
        <v>472</v>
      </c>
      <c r="B29" s="102" t="s">
        <v>473</v>
      </c>
      <c r="G29" s="132"/>
      <c r="H29" s="132"/>
      <c r="I29" s="132"/>
    </row>
    <row r="30" spans="1:9" ht="15" x14ac:dyDescent="0.25">
      <c r="A30" s="102" t="s">
        <v>474</v>
      </c>
      <c r="B30" s="102" t="s">
        <v>475</v>
      </c>
      <c r="C30" s="11"/>
      <c r="D30" s="19"/>
      <c r="G30" s="132"/>
      <c r="H30" s="132"/>
      <c r="I30" s="132"/>
    </row>
    <row r="31" spans="1:9" x14ac:dyDescent="0.2">
      <c r="A31" s="11"/>
      <c r="B31" s="11"/>
      <c r="C31" s="11"/>
      <c r="D31" s="19"/>
      <c r="I31" s="32"/>
    </row>
    <row r="32" spans="1:9" x14ac:dyDescent="0.2">
      <c r="A32" s="11"/>
      <c r="B32" s="11"/>
      <c r="C32" s="11"/>
      <c r="D32" s="19"/>
      <c r="I32" s="32"/>
    </row>
    <row r="33" spans="1:10" x14ac:dyDescent="0.2">
      <c r="A33" s="11"/>
      <c r="B33" s="11"/>
      <c r="C33" s="11"/>
      <c r="D33" s="19"/>
      <c r="I33" s="32"/>
    </row>
    <row r="34" spans="1:10" x14ac:dyDescent="0.2">
      <c r="A34" s="11"/>
      <c r="B34" s="11"/>
      <c r="C34" s="11"/>
      <c r="D34" s="19"/>
      <c r="I34" s="32"/>
    </row>
    <row r="35" spans="1:10" s="12" customFormat="1" x14ac:dyDescent="0.2">
      <c r="A35" s="11"/>
      <c r="B35" s="11"/>
      <c r="C35" s="11"/>
      <c r="D35" s="19"/>
      <c r="F35" s="10"/>
      <c r="G35" s="6"/>
      <c r="H35" s="10"/>
      <c r="I35" s="32"/>
      <c r="J35" s="18"/>
    </row>
    <row r="36" spans="1:10" s="12" customFormat="1" x14ac:dyDescent="0.2">
      <c r="A36" s="11"/>
      <c r="B36" s="11"/>
      <c r="C36" s="11"/>
      <c r="D36" s="19"/>
      <c r="F36" s="10"/>
      <c r="G36" s="6"/>
      <c r="H36" s="10"/>
      <c r="I36" s="32"/>
      <c r="J36" s="18"/>
    </row>
    <row r="37" spans="1:10" s="12" customFormat="1" x14ac:dyDescent="0.2">
      <c r="A37" s="11"/>
      <c r="B37" s="9"/>
      <c r="C37" s="9"/>
      <c r="D37" s="19"/>
      <c r="F37" s="10"/>
      <c r="G37" s="6"/>
      <c r="H37" s="10"/>
      <c r="I37" s="32"/>
      <c r="J37" s="18"/>
    </row>
    <row r="38" spans="1:10" x14ac:dyDescent="0.2">
      <c r="A38" s="11"/>
      <c r="B38" s="11"/>
      <c r="C38" s="11"/>
      <c r="D38" s="19"/>
      <c r="I38" s="32"/>
    </row>
    <row r="39" spans="1:10" s="12" customFormat="1" x14ac:dyDescent="0.2">
      <c r="A39" s="11"/>
      <c r="B39" s="11"/>
      <c r="C39" s="11"/>
      <c r="D39" s="19"/>
      <c r="F39" s="10"/>
      <c r="G39" s="6"/>
      <c r="H39" s="10"/>
      <c r="I39" s="32"/>
      <c r="J39" s="18"/>
    </row>
    <row r="40" spans="1:10" s="12" customFormat="1" x14ac:dyDescent="0.2">
      <c r="A40" s="11"/>
      <c r="B40" s="11"/>
      <c r="C40" s="11"/>
      <c r="D40" s="19"/>
      <c r="I40" s="32"/>
    </row>
    <row r="41" spans="1:10" x14ac:dyDescent="0.2">
      <c r="A41" s="11"/>
      <c r="B41" s="11"/>
      <c r="C41" s="11"/>
      <c r="D41" s="19"/>
      <c r="I41" s="32"/>
    </row>
    <row r="42" spans="1:10" x14ac:dyDescent="0.2">
      <c r="A42" s="11"/>
      <c r="B42" s="11"/>
      <c r="C42" s="11"/>
      <c r="D42" s="19"/>
      <c r="I42" s="32"/>
    </row>
    <row r="43" spans="1:10" x14ac:dyDescent="0.2">
      <c r="A43" s="11"/>
      <c r="B43" s="11"/>
      <c r="C43" s="11"/>
      <c r="D43" s="19"/>
      <c r="I43" s="32"/>
    </row>
    <row r="44" spans="1:10" x14ac:dyDescent="0.2">
      <c r="A44" s="11"/>
      <c r="B44" s="11"/>
      <c r="C44" s="11"/>
      <c r="D44" s="19"/>
      <c r="I44" s="32"/>
    </row>
    <row r="45" spans="1:10" x14ac:dyDescent="0.2">
      <c r="A45" s="11"/>
      <c r="B45" s="11"/>
      <c r="C45" s="11"/>
      <c r="D45" s="19"/>
      <c r="I45" s="32"/>
    </row>
    <row r="46" spans="1:10" x14ac:dyDescent="0.2">
      <c r="A46" s="11"/>
      <c r="B46" s="11"/>
      <c r="C46" s="11"/>
      <c r="D46" s="19"/>
      <c r="I46" s="32"/>
    </row>
    <row r="47" spans="1:10" x14ac:dyDescent="0.2">
      <c r="A47" s="11"/>
      <c r="B47" s="11"/>
      <c r="C47" s="11"/>
      <c r="D47" s="19"/>
      <c r="I47" s="32"/>
    </row>
    <row r="48" spans="1:10" x14ac:dyDescent="0.2">
      <c r="A48" s="11"/>
      <c r="B48" s="11"/>
      <c r="C48" s="11"/>
      <c r="D48" s="19"/>
      <c r="I48" s="32"/>
    </row>
    <row r="49" spans="1:9" x14ac:dyDescent="0.2">
      <c r="A49" s="11"/>
      <c r="B49" s="11"/>
      <c r="C49" s="11"/>
      <c r="D49" s="19"/>
      <c r="I49" s="32"/>
    </row>
    <row r="50" spans="1:9" x14ac:dyDescent="0.2">
      <c r="A50" s="11"/>
      <c r="B50" s="11"/>
      <c r="C50" s="11"/>
      <c r="D50" s="19"/>
      <c r="I50" s="32"/>
    </row>
    <row r="51" spans="1:9" x14ac:dyDescent="0.2">
      <c r="A51" s="11"/>
      <c r="B51" s="11"/>
      <c r="C51" s="11"/>
      <c r="D51" s="19"/>
      <c r="I51" s="32"/>
    </row>
    <row r="52" spans="1:9" x14ac:dyDescent="0.2">
      <c r="A52" s="11"/>
      <c r="B52" s="11"/>
      <c r="C52" s="11"/>
      <c r="D52" s="19"/>
      <c r="I52" s="32"/>
    </row>
    <row r="53" spans="1:9" x14ac:dyDescent="0.2">
      <c r="A53" s="11"/>
      <c r="B53" s="11"/>
      <c r="C53" s="11"/>
      <c r="D53" s="19"/>
      <c r="I53" s="32"/>
    </row>
    <row r="54" spans="1:9" x14ac:dyDescent="0.2">
      <c r="A54" s="7"/>
      <c r="B54" s="7"/>
      <c r="C54" s="7"/>
      <c r="D54" s="20"/>
      <c r="I54" s="32"/>
    </row>
    <row r="55" spans="1:9" x14ac:dyDescent="0.2">
      <c r="A55" s="11"/>
      <c r="B55" s="11"/>
      <c r="C55" s="11"/>
      <c r="D55" s="19"/>
      <c r="I55" s="32"/>
    </row>
    <row r="56" spans="1:9" x14ac:dyDescent="0.2">
      <c r="A56" s="11"/>
      <c r="B56" s="11"/>
      <c r="C56" s="11"/>
      <c r="D56" s="19"/>
      <c r="I56" s="32"/>
    </row>
    <row r="57" spans="1:9" x14ac:dyDescent="0.2">
      <c r="A57" s="11"/>
      <c r="B57" s="11"/>
      <c r="C57" s="11"/>
      <c r="D57" s="19"/>
      <c r="I57" s="32"/>
    </row>
    <row r="58" spans="1:9" x14ac:dyDescent="0.2">
      <c r="A58" s="11"/>
      <c r="B58" s="11"/>
      <c r="C58" s="11"/>
      <c r="D58" s="19"/>
      <c r="I58" s="32"/>
    </row>
    <row r="59" spans="1:9" x14ac:dyDescent="0.2">
      <c r="A59" s="11"/>
      <c r="B59" s="11"/>
      <c r="C59" s="11"/>
      <c r="D59" s="19"/>
      <c r="I59" s="32"/>
    </row>
    <row r="60" spans="1:9" x14ac:dyDescent="0.2">
      <c r="A60" s="11"/>
      <c r="B60" s="11"/>
      <c r="C60" s="11"/>
      <c r="D60" s="19"/>
      <c r="I60" s="32"/>
    </row>
    <row r="61" spans="1:9" x14ac:dyDescent="0.2">
      <c r="A61" s="11"/>
      <c r="B61" s="11"/>
      <c r="C61" s="11"/>
      <c r="D61" s="19"/>
      <c r="I61" s="32"/>
    </row>
    <row r="62" spans="1:9" x14ac:dyDescent="0.2">
      <c r="A62" s="11"/>
      <c r="B62" s="11"/>
      <c r="C62" s="11"/>
      <c r="D62" s="19"/>
      <c r="I62" s="32"/>
    </row>
    <row r="63" spans="1:9" x14ac:dyDescent="0.2">
      <c r="A63" s="11"/>
      <c r="B63" s="11"/>
      <c r="C63" s="11"/>
      <c r="D63" s="19"/>
      <c r="I63" s="32"/>
    </row>
    <row r="64" spans="1:9" x14ac:dyDescent="0.2">
      <c r="A64" s="11"/>
      <c r="B64" s="11"/>
      <c r="C64" s="11"/>
      <c r="D64" s="19"/>
      <c r="I64" s="32"/>
    </row>
    <row r="65" spans="1:9" x14ac:dyDescent="0.2">
      <c r="A65" s="11"/>
      <c r="B65" s="11"/>
      <c r="C65" s="11"/>
      <c r="D65" s="19"/>
      <c r="I65" s="32"/>
    </row>
    <row r="66" spans="1:9" x14ac:dyDescent="0.2">
      <c r="A66" s="11"/>
      <c r="B66" s="11"/>
      <c r="C66" s="11"/>
      <c r="D66" s="19"/>
      <c r="I66" s="32"/>
    </row>
    <row r="67" spans="1:9" x14ac:dyDescent="0.2">
      <c r="A67" s="11"/>
      <c r="B67" s="11"/>
      <c r="C67" s="11"/>
      <c r="D67" s="19"/>
      <c r="I67" s="32"/>
    </row>
    <row r="68" spans="1:9" x14ac:dyDescent="0.2">
      <c r="A68" s="11"/>
      <c r="B68" s="11"/>
      <c r="C68" s="11"/>
      <c r="D68" s="19"/>
      <c r="I68" s="32"/>
    </row>
    <row r="69" spans="1:9" x14ac:dyDescent="0.2">
      <c r="A69" s="11"/>
      <c r="B69" s="11"/>
      <c r="C69" s="11"/>
      <c r="D69" s="19"/>
      <c r="I69" s="32"/>
    </row>
    <row r="70" spans="1:9" x14ac:dyDescent="0.2">
      <c r="A70" s="11"/>
      <c r="B70" s="11"/>
      <c r="C70" s="11"/>
      <c r="D70" s="19"/>
      <c r="I70" s="32"/>
    </row>
    <row r="71" spans="1:9" x14ac:dyDescent="0.2">
      <c r="A71" s="11"/>
      <c r="B71" s="11"/>
      <c r="C71" s="11"/>
      <c r="D71" s="19"/>
      <c r="I71" s="32"/>
    </row>
    <row r="72" spans="1:9" x14ac:dyDescent="0.2">
      <c r="A72" s="11"/>
      <c r="B72" s="11"/>
      <c r="C72" s="11"/>
      <c r="D72" s="19"/>
      <c r="I72" s="32"/>
    </row>
    <row r="73" spans="1:9" x14ac:dyDescent="0.2">
      <c r="A73" s="11"/>
      <c r="B73" s="11"/>
      <c r="C73" s="11"/>
      <c r="D73" s="19"/>
      <c r="I73" s="32"/>
    </row>
    <row r="74" spans="1:9" x14ac:dyDescent="0.2">
      <c r="A74" s="11"/>
      <c r="B74" s="11"/>
      <c r="C74" s="11"/>
      <c r="D74" s="19"/>
      <c r="I74" s="32"/>
    </row>
    <row r="75" spans="1:9" x14ac:dyDescent="0.2">
      <c r="A75" s="11"/>
      <c r="B75" s="11"/>
      <c r="C75" s="11"/>
      <c r="D75" s="19"/>
      <c r="I75" s="32"/>
    </row>
    <row r="76" spans="1:9" x14ac:dyDescent="0.2">
      <c r="A76" s="11"/>
      <c r="B76" s="11"/>
      <c r="C76" s="11"/>
      <c r="D76" s="19"/>
      <c r="I76" s="32"/>
    </row>
    <row r="77" spans="1:9" x14ac:dyDescent="0.2">
      <c r="A77" s="11"/>
      <c r="B77" s="11"/>
      <c r="C77" s="11"/>
      <c r="D77" s="19"/>
      <c r="I77" s="32"/>
    </row>
    <row r="78" spans="1:9" x14ac:dyDescent="0.2">
      <c r="A78" s="11"/>
      <c r="B78" s="11"/>
      <c r="C78" s="11"/>
      <c r="D78" s="19"/>
      <c r="I78" s="32"/>
    </row>
    <row r="79" spans="1:9" x14ac:dyDescent="0.2">
      <c r="A79" s="11"/>
      <c r="B79" s="11"/>
      <c r="C79" s="11"/>
      <c r="D79" s="19"/>
      <c r="I79" s="32"/>
    </row>
    <row r="80" spans="1:9" x14ac:dyDescent="0.2">
      <c r="A80" s="11"/>
      <c r="B80" s="11"/>
      <c r="C80" s="11"/>
      <c r="D80" s="19"/>
      <c r="I80" s="32"/>
    </row>
    <row r="81" spans="1:9" x14ac:dyDescent="0.2">
      <c r="A81" s="11"/>
      <c r="B81" s="11"/>
      <c r="C81" s="11"/>
      <c r="D81" s="19"/>
      <c r="I81" s="32"/>
    </row>
    <row r="82" spans="1:9" x14ac:dyDescent="0.2">
      <c r="A82" s="11"/>
      <c r="B82" s="11"/>
      <c r="C82" s="11"/>
      <c r="D82" s="19"/>
      <c r="I82" s="32"/>
    </row>
    <row r="83" spans="1:9" x14ac:dyDescent="0.2">
      <c r="A83" s="11"/>
      <c r="B83" s="11"/>
      <c r="C83" s="11"/>
      <c r="I83" s="32"/>
    </row>
    <row r="84" spans="1:9" x14ac:dyDescent="0.2">
      <c r="A84" s="11"/>
      <c r="B84" s="11"/>
      <c r="C84" s="11"/>
      <c r="D84" s="19"/>
      <c r="I84" s="32"/>
    </row>
    <row r="85" spans="1:9" x14ac:dyDescent="0.2">
      <c r="A85" s="11"/>
      <c r="B85" s="11"/>
      <c r="C85" s="11"/>
      <c r="D85" s="19"/>
      <c r="I85" s="32"/>
    </row>
    <row r="86" spans="1:9" x14ac:dyDescent="0.2">
      <c r="A86" s="11"/>
      <c r="B86" s="11"/>
      <c r="C86" s="11"/>
      <c r="D86" s="19"/>
      <c r="I86" s="32"/>
    </row>
    <row r="87" spans="1:9" x14ac:dyDescent="0.2">
      <c r="A87" s="11"/>
      <c r="B87" s="11"/>
      <c r="C87" s="11"/>
      <c r="D87" s="19"/>
      <c r="I87" s="32"/>
    </row>
    <row r="88" spans="1:9" x14ac:dyDescent="0.2">
      <c r="A88" s="11"/>
      <c r="B88" s="11"/>
      <c r="C88" s="11"/>
      <c r="D88" s="19"/>
      <c r="I88" s="32"/>
    </row>
    <row r="89" spans="1:9" x14ac:dyDescent="0.2">
      <c r="A89" s="11"/>
      <c r="B89" s="11"/>
      <c r="C89" s="11"/>
      <c r="D89" s="19"/>
      <c r="I89" s="32"/>
    </row>
    <row r="90" spans="1:9" x14ac:dyDescent="0.2">
      <c r="A90" s="11"/>
      <c r="B90" s="11"/>
      <c r="C90" s="11"/>
      <c r="D90" s="19"/>
      <c r="I90" s="32"/>
    </row>
    <row r="91" spans="1:9" x14ac:dyDescent="0.2">
      <c r="A91" s="11"/>
      <c r="B91" s="11"/>
      <c r="C91" s="11"/>
      <c r="D91" s="19"/>
      <c r="I91" s="32"/>
    </row>
    <row r="92" spans="1:9" x14ac:dyDescent="0.2">
      <c r="A92" s="11"/>
      <c r="B92" s="11"/>
      <c r="C92" s="11"/>
      <c r="D92" s="19"/>
      <c r="I92" s="32"/>
    </row>
    <row r="93" spans="1:9" x14ac:dyDescent="0.2">
      <c r="A93" s="11"/>
      <c r="B93" s="11"/>
      <c r="C93" s="11"/>
      <c r="D93" s="19"/>
      <c r="I93" s="32"/>
    </row>
    <row r="94" spans="1:9" x14ac:dyDescent="0.2">
      <c r="A94" s="11"/>
      <c r="B94" s="11"/>
      <c r="C94" s="11"/>
      <c r="D94" s="19"/>
      <c r="I94" s="32"/>
    </row>
    <row r="95" spans="1:9" x14ac:dyDescent="0.2">
      <c r="A95" s="11"/>
      <c r="B95" s="11"/>
      <c r="C95" s="11"/>
      <c r="D95" s="19"/>
      <c r="I95" s="32"/>
    </row>
    <row r="96" spans="1:9" x14ac:dyDescent="0.2">
      <c r="A96" s="11"/>
      <c r="B96" s="11"/>
      <c r="C96" s="11"/>
      <c r="D96" s="19"/>
      <c r="I96" s="32"/>
    </row>
    <row r="97" spans="1:9" x14ac:dyDescent="0.2">
      <c r="A97" s="11"/>
      <c r="B97" s="11"/>
      <c r="C97" s="11"/>
      <c r="D97" s="19"/>
      <c r="I97" s="32"/>
    </row>
    <row r="98" spans="1:9" x14ac:dyDescent="0.2">
      <c r="A98" s="11"/>
      <c r="B98" s="11"/>
      <c r="C98" s="11"/>
      <c r="D98" s="19"/>
      <c r="I98" s="32"/>
    </row>
    <row r="99" spans="1:9" x14ac:dyDescent="0.2">
      <c r="A99" s="11"/>
      <c r="B99" s="11"/>
      <c r="C99" s="11"/>
      <c r="D99" s="19"/>
      <c r="I99" s="32"/>
    </row>
    <row r="100" spans="1:9" x14ac:dyDescent="0.2">
      <c r="A100" s="11"/>
      <c r="B100" s="11"/>
      <c r="C100" s="11"/>
      <c r="D100" s="19"/>
      <c r="I100" s="32"/>
    </row>
    <row r="101" spans="1:9" ht="12" customHeight="1" x14ac:dyDescent="0.2">
      <c r="A101" s="11"/>
      <c r="B101" s="11"/>
      <c r="C101" s="11"/>
      <c r="D101" s="19"/>
      <c r="I101" s="32"/>
    </row>
    <row r="102" spans="1:9" ht="12" customHeight="1" x14ac:dyDescent="0.2">
      <c r="A102" s="11"/>
      <c r="B102" s="11"/>
      <c r="C102" s="11"/>
      <c r="D102" s="19"/>
      <c r="I102" s="32"/>
    </row>
    <row r="103" spans="1:9" x14ac:dyDescent="0.2">
      <c r="A103" s="11"/>
      <c r="B103" s="11"/>
      <c r="C103" s="11"/>
      <c r="D103" s="19"/>
      <c r="I103" s="32"/>
    </row>
    <row r="104" spans="1:9" x14ac:dyDescent="0.2">
      <c r="A104" s="11"/>
      <c r="B104" s="11"/>
      <c r="C104" s="11"/>
      <c r="D104" s="19"/>
      <c r="I104" s="32"/>
    </row>
    <row r="105" spans="1:9" x14ac:dyDescent="0.2">
      <c r="A105" s="11"/>
      <c r="B105" s="11"/>
      <c r="C105" s="11"/>
      <c r="D105" s="19"/>
      <c r="I105" s="32"/>
    </row>
    <row r="106" spans="1:9" x14ac:dyDescent="0.2">
      <c r="A106" s="11"/>
      <c r="B106" s="11"/>
      <c r="C106" s="11"/>
      <c r="D106" s="19"/>
      <c r="I106" s="32"/>
    </row>
    <row r="107" spans="1:9" x14ac:dyDescent="0.2">
      <c r="A107" s="11"/>
      <c r="B107" s="11"/>
      <c r="C107" s="11"/>
      <c r="D107" s="19"/>
      <c r="I107" s="32"/>
    </row>
    <row r="108" spans="1:9" x14ac:dyDescent="0.2">
      <c r="A108" s="11"/>
      <c r="B108" s="11"/>
      <c r="C108" s="11"/>
      <c r="D108" s="19"/>
      <c r="I108" s="32"/>
    </row>
    <row r="109" spans="1:9" x14ac:dyDescent="0.2">
      <c r="A109" s="11"/>
      <c r="B109" s="11"/>
      <c r="C109" s="11"/>
      <c r="D109" s="19"/>
      <c r="I109" s="32"/>
    </row>
    <row r="110" spans="1:9" x14ac:dyDescent="0.2">
      <c r="A110" s="11"/>
      <c r="B110" s="11"/>
      <c r="C110" s="11"/>
      <c r="D110" s="19"/>
      <c r="I110" s="32"/>
    </row>
    <row r="111" spans="1:9" x14ac:dyDescent="0.2">
      <c r="A111" s="11"/>
      <c r="B111" s="11"/>
      <c r="C111" s="11"/>
      <c r="D111" s="19"/>
      <c r="I111" s="32"/>
    </row>
    <row r="112" spans="1:9" x14ac:dyDescent="0.2">
      <c r="A112" s="11"/>
      <c r="B112" s="11"/>
      <c r="C112" s="11"/>
      <c r="D112" s="19"/>
      <c r="I112" s="32"/>
    </row>
    <row r="113" spans="1:9" x14ac:dyDescent="0.2">
      <c r="A113" s="11"/>
      <c r="B113" s="11"/>
      <c r="C113" s="11"/>
      <c r="D113" s="19"/>
      <c r="I113" s="32"/>
    </row>
    <row r="114" spans="1:9" x14ac:dyDescent="0.2">
      <c r="A114" s="11"/>
      <c r="B114" s="11"/>
      <c r="C114" s="11"/>
      <c r="D114" s="19"/>
      <c r="I114" s="32"/>
    </row>
    <row r="115" spans="1:9" x14ac:dyDescent="0.2">
      <c r="A115" s="11"/>
      <c r="B115" s="11"/>
      <c r="C115" s="11"/>
      <c r="D115" s="19"/>
      <c r="I115" s="32"/>
    </row>
    <row r="116" spans="1:9" x14ac:dyDescent="0.2">
      <c r="A116" s="11"/>
      <c r="B116" s="11"/>
      <c r="C116" s="11"/>
      <c r="D116" s="19"/>
      <c r="I116" s="32"/>
    </row>
    <row r="117" spans="1:9" x14ac:dyDescent="0.2">
      <c r="A117" s="11"/>
      <c r="B117" s="11"/>
      <c r="C117" s="11"/>
      <c r="D117" s="19"/>
      <c r="I117" s="32"/>
    </row>
    <row r="118" spans="1:9" x14ac:dyDescent="0.2">
      <c r="A118" s="11"/>
      <c r="B118" s="11"/>
      <c r="C118" s="11"/>
      <c r="D118" s="19"/>
      <c r="I118" s="32"/>
    </row>
    <row r="119" spans="1:9" x14ac:dyDescent="0.2">
      <c r="A119" s="11"/>
      <c r="B119" s="11"/>
      <c r="C119" s="11"/>
      <c r="D119" s="19"/>
      <c r="I119" s="32"/>
    </row>
    <row r="120" spans="1:9" x14ac:dyDescent="0.2">
      <c r="A120" s="11"/>
      <c r="B120" s="11"/>
      <c r="C120" s="11"/>
      <c r="D120" s="19"/>
      <c r="I120" s="32"/>
    </row>
    <row r="121" spans="1:9" x14ac:dyDescent="0.2">
      <c r="A121" s="11"/>
      <c r="B121" s="11"/>
      <c r="C121" s="11"/>
      <c r="D121" s="19"/>
      <c r="I121" s="32"/>
    </row>
    <row r="122" spans="1:9" x14ac:dyDescent="0.2">
      <c r="A122" s="11"/>
      <c r="B122" s="11"/>
      <c r="C122" s="11"/>
      <c r="D122" s="19"/>
      <c r="I122" s="32"/>
    </row>
    <row r="123" spans="1:9" x14ac:dyDescent="0.2">
      <c r="A123" s="11"/>
      <c r="B123" s="11"/>
      <c r="C123" s="11"/>
      <c r="D123" s="19"/>
      <c r="I123" s="32"/>
    </row>
    <row r="124" spans="1:9" x14ac:dyDescent="0.2">
      <c r="A124" s="11"/>
      <c r="B124" s="11"/>
      <c r="C124" s="11"/>
      <c r="D124" s="19"/>
      <c r="I124" s="32"/>
    </row>
    <row r="125" spans="1:9" x14ac:dyDescent="0.2">
      <c r="A125" s="11"/>
      <c r="B125" s="11"/>
      <c r="C125" s="11"/>
      <c r="D125" s="19"/>
      <c r="I125" s="32"/>
    </row>
    <row r="126" spans="1:9" x14ac:dyDescent="0.2">
      <c r="A126" s="11"/>
      <c r="B126" s="11"/>
      <c r="C126" s="11"/>
      <c r="D126" s="19"/>
      <c r="I126" s="32"/>
    </row>
    <row r="127" spans="1:9" x14ac:dyDescent="0.2">
      <c r="A127" s="11"/>
      <c r="B127" s="11"/>
      <c r="C127" s="11"/>
      <c r="D127" s="19"/>
      <c r="I127" s="32"/>
    </row>
    <row r="128" spans="1:9" x14ac:dyDescent="0.2">
      <c r="A128" s="11"/>
      <c r="B128" s="11"/>
      <c r="C128" s="11"/>
      <c r="D128" s="19"/>
      <c r="I128" s="32"/>
    </row>
    <row r="129" spans="1:9" x14ac:dyDescent="0.2">
      <c r="A129" s="11"/>
      <c r="B129" s="11"/>
      <c r="C129" s="11"/>
      <c r="D129" s="19"/>
      <c r="I129" s="32"/>
    </row>
    <row r="130" spans="1:9" x14ac:dyDescent="0.2">
      <c r="A130" s="11"/>
      <c r="B130" s="11"/>
      <c r="C130" s="11"/>
      <c r="D130" s="19"/>
      <c r="I130" s="32"/>
    </row>
    <row r="131" spans="1:9" x14ac:dyDescent="0.2">
      <c r="A131" s="11"/>
      <c r="B131" s="11"/>
      <c r="C131" s="11"/>
      <c r="D131" s="19"/>
      <c r="I131" s="32"/>
    </row>
    <row r="132" spans="1:9" x14ac:dyDescent="0.2">
      <c r="A132" s="11"/>
      <c r="B132" s="11"/>
      <c r="C132" s="11"/>
      <c r="D132" s="19"/>
      <c r="I132" s="32"/>
    </row>
    <row r="133" spans="1:9" x14ac:dyDescent="0.2">
      <c r="A133" s="11"/>
      <c r="B133" s="11"/>
      <c r="C133" s="11"/>
      <c r="D133" s="19"/>
      <c r="I133" s="32"/>
    </row>
    <row r="134" spans="1:9" x14ac:dyDescent="0.2">
      <c r="A134" s="11"/>
      <c r="B134" s="11"/>
      <c r="C134" s="11"/>
      <c r="D134" s="19"/>
      <c r="I134" s="32"/>
    </row>
    <row r="135" spans="1:9" x14ac:dyDescent="0.2">
      <c r="A135" s="11"/>
      <c r="B135" s="11"/>
      <c r="C135" s="11"/>
      <c r="D135" s="19"/>
      <c r="I135" s="32"/>
    </row>
    <row r="136" spans="1:9" x14ac:dyDescent="0.2">
      <c r="A136" s="11"/>
      <c r="B136" s="11"/>
      <c r="C136" s="11"/>
      <c r="D136" s="19"/>
      <c r="I136" s="32"/>
    </row>
    <row r="137" spans="1:9" x14ac:dyDescent="0.2">
      <c r="A137" s="11"/>
      <c r="B137" s="11"/>
      <c r="C137" s="11"/>
      <c r="D137" s="19"/>
      <c r="I137" s="32"/>
    </row>
    <row r="138" spans="1:9" x14ac:dyDescent="0.2">
      <c r="A138" s="11"/>
      <c r="B138" s="11"/>
      <c r="C138" s="11"/>
      <c r="D138" s="19"/>
      <c r="I138" s="32"/>
    </row>
    <row r="139" spans="1:9" x14ac:dyDescent="0.2">
      <c r="A139" s="11"/>
      <c r="B139" s="11"/>
      <c r="C139" s="11"/>
      <c r="D139" s="19"/>
      <c r="I139" s="32"/>
    </row>
    <row r="140" spans="1:9" x14ac:dyDescent="0.2">
      <c r="A140" s="11"/>
      <c r="B140" s="11"/>
      <c r="C140" s="11"/>
      <c r="D140" s="19"/>
      <c r="I140" s="32"/>
    </row>
    <row r="141" spans="1:9" x14ac:dyDescent="0.2">
      <c r="A141" s="11"/>
      <c r="B141" s="11"/>
      <c r="C141" s="11"/>
      <c r="D141" s="19"/>
      <c r="I141" s="32"/>
    </row>
    <row r="142" spans="1:9" x14ac:dyDescent="0.2">
      <c r="A142" s="11"/>
      <c r="B142" s="11"/>
      <c r="C142" s="11"/>
      <c r="D142" s="19"/>
      <c r="I142" s="32"/>
    </row>
    <row r="143" spans="1:9" x14ac:dyDescent="0.2">
      <c r="A143" s="11"/>
      <c r="B143" s="11"/>
      <c r="C143" s="11"/>
      <c r="D143" s="19"/>
      <c r="I143" s="32"/>
    </row>
    <row r="144" spans="1:9" x14ac:dyDescent="0.2">
      <c r="A144" s="11"/>
      <c r="B144" s="11"/>
      <c r="C144" s="11"/>
      <c r="D144" s="19"/>
      <c r="I144" s="32"/>
    </row>
    <row r="145" spans="1:9" x14ac:dyDescent="0.2">
      <c r="A145" s="11"/>
      <c r="B145" s="11"/>
      <c r="C145" s="11"/>
      <c r="D145" s="19"/>
      <c r="I145" s="32"/>
    </row>
    <row r="146" spans="1:9" x14ac:dyDescent="0.2">
      <c r="A146" s="11"/>
      <c r="B146" s="11"/>
      <c r="C146" s="11"/>
      <c r="D146" s="19"/>
      <c r="I146" s="32"/>
    </row>
    <row r="147" spans="1:9" x14ac:dyDescent="0.2">
      <c r="A147" s="11"/>
      <c r="B147" s="14"/>
      <c r="C147" s="14"/>
      <c r="D147" s="19"/>
      <c r="I147" s="32"/>
    </row>
    <row r="148" spans="1:9" x14ac:dyDescent="0.2">
      <c r="A148" s="11"/>
      <c r="B148" s="11"/>
      <c r="C148" s="11"/>
      <c r="D148" s="19"/>
      <c r="I148" s="32"/>
    </row>
    <row r="149" spans="1:9" x14ac:dyDescent="0.2">
      <c r="A149" s="11"/>
      <c r="B149" s="11"/>
      <c r="C149" s="11"/>
      <c r="D149" s="19"/>
      <c r="I149" s="32"/>
    </row>
    <row r="150" spans="1:9" x14ac:dyDescent="0.2">
      <c r="A150" s="11"/>
      <c r="B150" s="14"/>
      <c r="C150" s="14"/>
      <c r="D150" s="19"/>
      <c r="I150" s="32"/>
    </row>
    <row r="151" spans="1:9" x14ac:dyDescent="0.2">
      <c r="A151" s="11"/>
      <c r="B151" s="11"/>
      <c r="C151" s="11"/>
      <c r="D151" s="19"/>
      <c r="I151" s="32"/>
    </row>
    <row r="152" spans="1:9" x14ac:dyDescent="0.2">
      <c r="A152" s="11"/>
      <c r="B152" s="11"/>
      <c r="C152" s="11"/>
      <c r="D152" s="19"/>
      <c r="I152" s="32"/>
    </row>
    <row r="153" spans="1:9" x14ac:dyDescent="0.2">
      <c r="A153" s="11"/>
      <c r="B153" s="11"/>
      <c r="C153" s="11"/>
      <c r="D153" s="15"/>
      <c r="I153" s="32"/>
    </row>
    <row r="154" spans="1:9" x14ac:dyDescent="0.2">
      <c r="A154" s="11"/>
      <c r="B154" s="11"/>
      <c r="C154" s="11"/>
      <c r="D154" s="15"/>
      <c r="I154" s="32"/>
    </row>
    <row r="155" spans="1:9" x14ac:dyDescent="0.2">
      <c r="A155" s="11"/>
      <c r="B155" s="14"/>
      <c r="C155" s="14"/>
      <c r="D155" s="19"/>
      <c r="I155" s="32"/>
    </row>
    <row r="156" spans="1:9" x14ac:dyDescent="0.2">
      <c r="A156" s="11"/>
      <c r="B156" s="11"/>
      <c r="C156" s="11"/>
      <c r="D156" s="19"/>
      <c r="I156" s="32"/>
    </row>
    <row r="157" spans="1:9" x14ac:dyDescent="0.2">
      <c r="A157" s="11"/>
      <c r="B157" s="11"/>
      <c r="C157" s="11"/>
      <c r="D157" s="19"/>
      <c r="I157" s="32"/>
    </row>
    <row r="158" spans="1:9" x14ac:dyDescent="0.2">
      <c r="A158" s="16"/>
      <c r="D158" s="19"/>
      <c r="I158" s="32"/>
    </row>
    <row r="159" spans="1:9" x14ac:dyDescent="0.2">
      <c r="A159" s="11"/>
      <c r="B159" s="11"/>
      <c r="C159" s="11"/>
      <c r="D159" s="19"/>
      <c r="I159" s="32"/>
    </row>
    <row r="160" spans="1:9" x14ac:dyDescent="0.2">
      <c r="A160" s="11"/>
      <c r="B160" s="14"/>
      <c r="C160" s="14"/>
      <c r="D160" s="19"/>
      <c r="I160" s="32"/>
    </row>
    <row r="161" spans="1:9" x14ac:dyDescent="0.2">
      <c r="A161" s="11"/>
      <c r="B161" s="11"/>
      <c r="C161" s="11"/>
      <c r="D161" s="19"/>
      <c r="I161" s="32"/>
    </row>
    <row r="162" spans="1:9" x14ac:dyDescent="0.2">
      <c r="A162" s="11"/>
      <c r="B162" s="11"/>
      <c r="C162" s="11"/>
      <c r="D162" s="19"/>
      <c r="I162" s="32"/>
    </row>
    <row r="163" spans="1:9" x14ac:dyDescent="0.2">
      <c r="A163" s="11"/>
      <c r="B163" s="11"/>
      <c r="C163" s="11"/>
      <c r="D163" s="19"/>
      <c r="I163" s="32"/>
    </row>
    <row r="164" spans="1:9" x14ac:dyDescent="0.2">
      <c r="A164" s="11"/>
      <c r="B164" s="11"/>
      <c r="C164" s="11"/>
      <c r="D164" s="19"/>
      <c r="I164" s="32"/>
    </row>
    <row r="165" spans="1:9" x14ac:dyDescent="0.2">
      <c r="A165" s="11"/>
      <c r="B165" s="11"/>
      <c r="C165" s="11"/>
      <c r="D165" s="19"/>
      <c r="I165" s="32"/>
    </row>
    <row r="166" spans="1:9" x14ac:dyDescent="0.2">
      <c r="A166" s="11"/>
      <c r="B166" s="11"/>
      <c r="C166" s="11"/>
      <c r="D166" s="19"/>
      <c r="I166" s="32"/>
    </row>
    <row r="167" spans="1:9" x14ac:dyDescent="0.2">
      <c r="A167" s="11"/>
      <c r="B167" s="11"/>
      <c r="C167" s="11"/>
      <c r="D167" s="19"/>
      <c r="I167" s="32"/>
    </row>
    <row r="168" spans="1:9" x14ac:dyDescent="0.2">
      <c r="A168" s="11"/>
      <c r="B168" s="11"/>
      <c r="C168" s="11"/>
      <c r="D168" s="19"/>
      <c r="I168" s="32"/>
    </row>
    <row r="169" spans="1:9" x14ac:dyDescent="0.2">
      <c r="A169" s="11"/>
      <c r="B169" s="11"/>
      <c r="C169" s="11"/>
      <c r="D169" s="19"/>
      <c r="I169" s="32"/>
    </row>
    <row r="170" spans="1:9" x14ac:dyDescent="0.2">
      <c r="A170" s="11"/>
      <c r="B170" s="11"/>
      <c r="C170" s="11"/>
      <c r="D170" s="19"/>
      <c r="I170" s="32"/>
    </row>
    <row r="171" spans="1:9" x14ac:dyDescent="0.2">
      <c r="A171" s="11"/>
      <c r="B171" s="11"/>
      <c r="C171" s="11"/>
      <c r="D171" s="19"/>
      <c r="I171" s="32"/>
    </row>
    <row r="172" spans="1:9" x14ac:dyDescent="0.2">
      <c r="A172" s="11"/>
      <c r="B172" s="11"/>
      <c r="C172" s="11"/>
      <c r="D172" s="19"/>
      <c r="I172" s="32"/>
    </row>
    <row r="173" spans="1:9" x14ac:dyDescent="0.2">
      <c r="A173" s="11"/>
      <c r="B173" s="11"/>
      <c r="C173" s="11"/>
      <c r="D173" s="19"/>
      <c r="I173" s="32"/>
    </row>
    <row r="174" spans="1:9" x14ac:dyDescent="0.2">
      <c r="A174" s="11"/>
      <c r="B174" s="11"/>
      <c r="C174" s="11"/>
      <c r="D174" s="19"/>
      <c r="I174" s="32"/>
    </row>
    <row r="175" spans="1:9" x14ac:dyDescent="0.2">
      <c r="A175" s="11"/>
      <c r="B175" s="11"/>
      <c r="C175" s="11"/>
      <c r="D175" s="19"/>
      <c r="I175" s="32"/>
    </row>
    <row r="176" spans="1:9" x14ac:dyDescent="0.2">
      <c r="A176" s="11"/>
      <c r="B176" s="11"/>
      <c r="C176" s="11"/>
      <c r="D176" s="19"/>
      <c r="I176" s="32"/>
    </row>
    <row r="177" spans="1:9" x14ac:dyDescent="0.2">
      <c r="A177" s="11"/>
      <c r="B177" s="11"/>
      <c r="C177" s="11"/>
      <c r="D177" s="19"/>
      <c r="I177" s="32"/>
    </row>
    <row r="178" spans="1:9" x14ac:dyDescent="0.2">
      <c r="A178" s="11"/>
      <c r="B178" s="11"/>
      <c r="C178" s="11"/>
      <c r="D178" s="19"/>
      <c r="I178" s="32"/>
    </row>
    <row r="179" spans="1:9" x14ac:dyDescent="0.2">
      <c r="A179" s="11"/>
      <c r="B179" s="11"/>
      <c r="C179" s="11"/>
      <c r="D179" s="19"/>
      <c r="I179" s="32"/>
    </row>
    <row r="180" spans="1:9" x14ac:dyDescent="0.2">
      <c r="A180" s="11"/>
      <c r="B180" s="11"/>
      <c r="C180" s="11"/>
      <c r="D180" s="19"/>
      <c r="I180" s="32"/>
    </row>
    <row r="181" spans="1:9" x14ac:dyDescent="0.2">
      <c r="A181" s="11"/>
      <c r="B181" s="11"/>
      <c r="C181" s="11"/>
      <c r="D181" s="19"/>
      <c r="I181" s="32"/>
    </row>
    <row r="182" spans="1:9" x14ac:dyDescent="0.2">
      <c r="A182" s="11"/>
      <c r="B182" s="11"/>
      <c r="C182" s="11"/>
      <c r="D182" s="19"/>
      <c r="I182" s="32"/>
    </row>
    <row r="183" spans="1:9" x14ac:dyDescent="0.2">
      <c r="A183" s="11"/>
      <c r="B183" s="11"/>
      <c r="C183" s="11"/>
      <c r="D183" s="19"/>
      <c r="I183" s="32"/>
    </row>
    <row r="184" spans="1:9" x14ac:dyDescent="0.2">
      <c r="A184" s="11"/>
      <c r="B184" s="11"/>
      <c r="C184" s="11"/>
      <c r="D184" s="19"/>
      <c r="I184" s="32"/>
    </row>
    <row r="185" spans="1:9" x14ac:dyDescent="0.2">
      <c r="A185" s="11"/>
      <c r="B185" s="11"/>
      <c r="C185" s="11"/>
      <c r="D185" s="19"/>
      <c r="I185" s="32"/>
    </row>
    <row r="186" spans="1:9" x14ac:dyDescent="0.2">
      <c r="A186" s="11"/>
      <c r="B186" s="11"/>
      <c r="C186" s="11"/>
      <c r="D186" s="19"/>
      <c r="I186" s="32"/>
    </row>
    <row r="187" spans="1:9" x14ac:dyDescent="0.2">
      <c r="A187" s="11"/>
      <c r="B187" s="11"/>
      <c r="C187" s="11"/>
      <c r="D187" s="19"/>
      <c r="I187" s="32"/>
    </row>
    <row r="188" spans="1:9" x14ac:dyDescent="0.2">
      <c r="A188" s="11"/>
      <c r="B188" s="11"/>
      <c r="C188" s="11"/>
      <c r="D188" s="19"/>
      <c r="I188" s="32"/>
    </row>
    <row r="189" spans="1:9" x14ac:dyDescent="0.2">
      <c r="A189" s="11"/>
      <c r="B189" s="11"/>
      <c r="C189" s="11"/>
      <c r="D189" s="19"/>
      <c r="I189" s="32"/>
    </row>
    <row r="190" spans="1:9" x14ac:dyDescent="0.2">
      <c r="A190" s="11"/>
      <c r="B190" s="11"/>
      <c r="C190" s="11"/>
      <c r="D190" s="19"/>
      <c r="I190" s="32"/>
    </row>
    <row r="191" spans="1:9" x14ac:dyDescent="0.2">
      <c r="A191" s="11"/>
      <c r="B191" s="11"/>
      <c r="C191" s="11"/>
      <c r="D191" s="19"/>
      <c r="I191" s="32"/>
    </row>
    <row r="192" spans="1:9" x14ac:dyDescent="0.2">
      <c r="A192" s="11"/>
      <c r="B192" s="11"/>
      <c r="C192" s="11"/>
      <c r="D192" s="19"/>
      <c r="I192" s="32"/>
    </row>
    <row r="193" spans="1:9" x14ac:dyDescent="0.2">
      <c r="A193" s="11"/>
      <c r="B193" s="11"/>
      <c r="C193" s="11"/>
      <c r="D193" s="19"/>
      <c r="I193" s="32"/>
    </row>
    <row r="194" spans="1:9" x14ac:dyDescent="0.2">
      <c r="A194" s="11"/>
      <c r="B194" s="11"/>
      <c r="C194" s="11"/>
      <c r="D194" s="19"/>
      <c r="I194" s="32"/>
    </row>
    <row r="195" spans="1:9" x14ac:dyDescent="0.2">
      <c r="A195" s="11"/>
      <c r="B195" s="11"/>
      <c r="C195" s="11"/>
      <c r="D195" s="19"/>
      <c r="I195" s="32"/>
    </row>
    <row r="196" spans="1:9" x14ac:dyDescent="0.2">
      <c r="A196" s="11"/>
      <c r="B196" s="11"/>
      <c r="C196" s="11"/>
      <c r="D196" s="19"/>
      <c r="I196" s="32"/>
    </row>
    <row r="197" spans="1:9" x14ac:dyDescent="0.2">
      <c r="A197" s="11"/>
      <c r="B197" s="11"/>
      <c r="C197" s="11"/>
      <c r="D197" s="19"/>
      <c r="I197" s="32"/>
    </row>
    <row r="198" spans="1:9" x14ac:dyDescent="0.2">
      <c r="A198" s="11"/>
      <c r="B198" s="11"/>
      <c r="C198" s="11"/>
      <c r="D198" s="19"/>
      <c r="I198" s="32"/>
    </row>
    <row r="199" spans="1:9" x14ac:dyDescent="0.2">
      <c r="A199" s="11"/>
      <c r="B199" s="11"/>
      <c r="C199" s="11"/>
      <c r="D199" s="19"/>
      <c r="I199" s="32"/>
    </row>
    <row r="200" spans="1:9" x14ac:dyDescent="0.2">
      <c r="A200" s="11"/>
      <c r="B200" s="11"/>
      <c r="C200" s="11"/>
      <c r="D200" s="19"/>
      <c r="I200" s="32"/>
    </row>
    <row r="201" spans="1:9" x14ac:dyDescent="0.2">
      <c r="A201" s="11"/>
      <c r="B201" s="11"/>
      <c r="C201" s="11"/>
      <c r="D201" s="19"/>
      <c r="I201" s="32"/>
    </row>
    <row r="202" spans="1:9" x14ac:dyDescent="0.2">
      <c r="A202" s="11"/>
      <c r="B202" s="11"/>
      <c r="C202" s="11"/>
      <c r="D202" s="19"/>
      <c r="I202" s="32"/>
    </row>
    <row r="203" spans="1:9" x14ac:dyDescent="0.2">
      <c r="A203" s="11"/>
      <c r="B203" s="11"/>
      <c r="C203" s="11"/>
      <c r="D203" s="19"/>
      <c r="I203" s="32"/>
    </row>
    <row r="204" spans="1:9" x14ac:dyDescent="0.2">
      <c r="A204" s="11"/>
      <c r="B204" s="11"/>
      <c r="C204" s="11"/>
      <c r="D204" s="19"/>
      <c r="I204" s="32"/>
    </row>
    <row r="205" spans="1:9" x14ac:dyDescent="0.2">
      <c r="A205" s="11"/>
      <c r="B205" s="11"/>
      <c r="C205" s="11"/>
      <c r="D205" s="19"/>
      <c r="I205" s="32"/>
    </row>
    <row r="206" spans="1:9" x14ac:dyDescent="0.2">
      <c r="A206" s="11"/>
      <c r="B206" s="11"/>
      <c r="C206" s="11"/>
      <c r="D206" s="19"/>
      <c r="I206" s="32"/>
    </row>
    <row r="207" spans="1:9" x14ac:dyDescent="0.2">
      <c r="A207" s="11"/>
      <c r="B207" s="11"/>
      <c r="C207" s="11"/>
      <c r="D207" s="19"/>
      <c r="I207" s="32"/>
    </row>
    <row r="208" spans="1:9" x14ac:dyDescent="0.2">
      <c r="A208" s="11"/>
      <c r="B208" s="11"/>
      <c r="C208" s="11"/>
      <c r="D208" s="19"/>
      <c r="I208" s="32"/>
    </row>
    <row r="209" spans="1:9" x14ac:dyDescent="0.2">
      <c r="A209" s="11"/>
      <c r="B209" s="11"/>
      <c r="C209" s="11"/>
      <c r="D209" s="19"/>
      <c r="I209" s="32"/>
    </row>
    <row r="210" spans="1:9" x14ac:dyDescent="0.2">
      <c r="A210" s="11"/>
      <c r="B210" s="11"/>
      <c r="C210" s="11"/>
      <c r="D210" s="19"/>
      <c r="I210" s="32"/>
    </row>
    <row r="211" spans="1:9" x14ac:dyDescent="0.2">
      <c r="A211" s="11"/>
      <c r="B211" s="11"/>
      <c r="C211" s="11"/>
      <c r="D211" s="19"/>
      <c r="I211" s="32"/>
    </row>
    <row r="212" spans="1:9" x14ac:dyDescent="0.2">
      <c r="A212" s="11"/>
      <c r="B212" s="11"/>
      <c r="C212" s="11"/>
      <c r="D212" s="19"/>
      <c r="I212" s="32"/>
    </row>
    <row r="213" spans="1:9" x14ac:dyDescent="0.2">
      <c r="A213" s="11"/>
      <c r="B213" s="11"/>
      <c r="C213" s="11"/>
      <c r="D213" s="19"/>
      <c r="I213" s="32"/>
    </row>
    <row r="214" spans="1:9" x14ac:dyDescent="0.2">
      <c r="A214" s="11"/>
      <c r="B214" s="11"/>
      <c r="C214" s="11"/>
      <c r="D214" s="19"/>
      <c r="I214" s="32"/>
    </row>
    <row r="215" spans="1:9" x14ac:dyDescent="0.2">
      <c r="A215" s="11"/>
      <c r="B215" s="11"/>
      <c r="C215" s="11"/>
      <c r="D215" s="19"/>
      <c r="I215" s="32"/>
    </row>
    <row r="216" spans="1:9" x14ac:dyDescent="0.2">
      <c r="A216" s="11"/>
      <c r="B216" s="11"/>
      <c r="C216" s="11"/>
      <c r="D216" s="19"/>
      <c r="I216" s="32"/>
    </row>
    <row r="217" spans="1:9" x14ac:dyDescent="0.2">
      <c r="A217" s="11"/>
      <c r="B217" s="11"/>
      <c r="C217" s="11"/>
      <c r="D217" s="19"/>
      <c r="I217" s="32"/>
    </row>
    <row r="218" spans="1:9" x14ac:dyDescent="0.2">
      <c r="A218" s="11"/>
      <c r="B218" s="11"/>
      <c r="C218" s="11"/>
      <c r="D218" s="19"/>
      <c r="I218" s="32"/>
    </row>
    <row r="219" spans="1:9" x14ac:dyDescent="0.2">
      <c r="A219" s="11"/>
      <c r="B219" s="11"/>
      <c r="C219" s="11"/>
      <c r="D219" s="19"/>
      <c r="I219" s="32"/>
    </row>
    <row r="220" spans="1:9" x14ac:dyDescent="0.2">
      <c r="A220" s="11"/>
      <c r="B220" s="11"/>
      <c r="C220" s="11"/>
      <c r="D220" s="19"/>
      <c r="I220" s="32"/>
    </row>
    <row r="221" spans="1:9" x14ac:dyDescent="0.2">
      <c r="A221" s="11"/>
      <c r="B221" s="11"/>
      <c r="C221" s="11"/>
      <c r="D221" s="19"/>
      <c r="I221" s="32"/>
    </row>
    <row r="222" spans="1:9" x14ac:dyDescent="0.2">
      <c r="A222" s="11"/>
      <c r="B222" s="11"/>
      <c r="C222" s="11"/>
      <c r="D222" s="19"/>
      <c r="I222" s="32"/>
    </row>
    <row r="223" spans="1:9" x14ac:dyDescent="0.2">
      <c r="A223" s="11"/>
      <c r="B223" s="11"/>
      <c r="C223" s="11"/>
      <c r="D223" s="19"/>
      <c r="I223" s="32"/>
    </row>
    <row r="224" spans="1:9" x14ac:dyDescent="0.2">
      <c r="A224" s="11"/>
      <c r="B224" s="11"/>
      <c r="C224" s="11"/>
      <c r="D224" s="19"/>
      <c r="I224" s="32"/>
    </row>
    <row r="225" spans="1:9" x14ac:dyDescent="0.2">
      <c r="A225" s="11"/>
      <c r="B225" s="11"/>
      <c r="C225" s="11"/>
      <c r="D225" s="19"/>
      <c r="I225" s="32"/>
    </row>
    <row r="226" spans="1:9" x14ac:dyDescent="0.2">
      <c r="A226" s="11"/>
      <c r="B226" s="11"/>
      <c r="C226" s="11"/>
      <c r="D226" s="19"/>
      <c r="I226" s="32"/>
    </row>
    <row r="227" spans="1:9" x14ac:dyDescent="0.2">
      <c r="A227" s="11"/>
      <c r="B227" s="11"/>
      <c r="C227" s="11"/>
      <c r="D227" s="19"/>
      <c r="I227" s="32"/>
    </row>
    <row r="228" spans="1:9" x14ac:dyDescent="0.2">
      <c r="A228" s="11"/>
      <c r="B228" s="11"/>
      <c r="C228" s="11"/>
      <c r="D228" s="19"/>
      <c r="I228" s="32"/>
    </row>
    <row r="229" spans="1:9" x14ac:dyDescent="0.2">
      <c r="A229" s="11"/>
      <c r="B229" s="11"/>
      <c r="C229" s="11"/>
      <c r="D229" s="19"/>
      <c r="I229" s="32"/>
    </row>
    <row r="230" spans="1:9" x14ac:dyDescent="0.2">
      <c r="A230" s="11"/>
      <c r="B230" s="11"/>
      <c r="C230" s="11"/>
      <c r="D230" s="19"/>
      <c r="I230" s="32"/>
    </row>
    <row r="231" spans="1:9" x14ac:dyDescent="0.2">
      <c r="A231" s="11"/>
      <c r="B231" s="11"/>
      <c r="C231" s="11"/>
      <c r="D231" s="19"/>
      <c r="I231" s="32"/>
    </row>
    <row r="232" spans="1:9" x14ac:dyDescent="0.2">
      <c r="A232" s="11"/>
      <c r="B232" s="11"/>
      <c r="C232" s="11"/>
      <c r="D232" s="19"/>
      <c r="I232" s="32"/>
    </row>
    <row r="233" spans="1:9" x14ac:dyDescent="0.2">
      <c r="A233" s="11"/>
      <c r="B233" s="11"/>
      <c r="C233" s="11"/>
      <c r="D233" s="19"/>
      <c r="I233" s="32"/>
    </row>
    <row r="234" spans="1:9" x14ac:dyDescent="0.2">
      <c r="A234" s="11"/>
      <c r="B234" s="11"/>
      <c r="C234" s="11"/>
      <c r="D234" s="19"/>
      <c r="I234" s="32"/>
    </row>
    <row r="235" spans="1:9" x14ac:dyDescent="0.2">
      <c r="A235" s="11"/>
      <c r="B235" s="11"/>
      <c r="C235" s="11"/>
      <c r="D235" s="19"/>
      <c r="I235" s="32"/>
    </row>
    <row r="236" spans="1:9" x14ac:dyDescent="0.2">
      <c r="A236" s="11"/>
      <c r="B236" s="11"/>
      <c r="C236" s="11"/>
      <c r="D236" s="19"/>
      <c r="I236" s="32"/>
    </row>
    <row r="237" spans="1:9" x14ac:dyDescent="0.2">
      <c r="A237" s="11"/>
      <c r="B237" s="11"/>
      <c r="C237" s="11"/>
      <c r="D237" s="19"/>
      <c r="I237" s="32"/>
    </row>
    <row r="238" spans="1:9" x14ac:dyDescent="0.2">
      <c r="A238" s="11"/>
      <c r="B238" s="11"/>
      <c r="C238" s="11"/>
      <c r="D238" s="19"/>
      <c r="I238" s="32"/>
    </row>
    <row r="239" spans="1:9" x14ac:dyDescent="0.2">
      <c r="A239" s="11"/>
      <c r="B239" s="11"/>
      <c r="C239" s="11"/>
      <c r="D239" s="19"/>
      <c r="I239" s="32"/>
    </row>
    <row r="240" spans="1:9" x14ac:dyDescent="0.2">
      <c r="A240" s="11"/>
      <c r="B240" s="11"/>
      <c r="C240" s="11"/>
      <c r="D240" s="19"/>
      <c r="I240" s="32"/>
    </row>
    <row r="241" spans="1:9" x14ac:dyDescent="0.2">
      <c r="A241" s="11"/>
      <c r="B241" s="11"/>
      <c r="C241" s="11"/>
      <c r="D241" s="19"/>
      <c r="I241" s="32"/>
    </row>
    <row r="242" spans="1:9" x14ac:dyDescent="0.2">
      <c r="A242" s="11"/>
      <c r="B242" s="11"/>
      <c r="C242" s="11"/>
      <c r="D242" s="19"/>
      <c r="I242" s="32"/>
    </row>
    <row r="243" spans="1:9" x14ac:dyDescent="0.2">
      <c r="A243" s="11"/>
      <c r="B243" s="14"/>
      <c r="C243" s="14"/>
      <c r="D243" s="19"/>
      <c r="I243" s="32"/>
    </row>
    <row r="244" spans="1:9" x14ac:dyDescent="0.2">
      <c r="A244" s="11"/>
      <c r="B244" s="11"/>
      <c r="C244" s="11"/>
      <c r="D244" s="19"/>
      <c r="I244" s="32"/>
    </row>
    <row r="245" spans="1:9" x14ac:dyDescent="0.2">
      <c r="A245" s="11"/>
      <c r="B245" s="11"/>
      <c r="C245" s="11"/>
      <c r="D245" s="19"/>
      <c r="I245" s="32"/>
    </row>
    <row r="246" spans="1:9" x14ac:dyDescent="0.2">
      <c r="A246" s="11"/>
      <c r="B246" s="11"/>
      <c r="C246" s="11"/>
      <c r="D246" s="19"/>
      <c r="I246" s="32"/>
    </row>
    <row r="247" spans="1:9" x14ac:dyDescent="0.2">
      <c r="A247" s="11"/>
      <c r="B247" s="11"/>
      <c r="C247" s="11"/>
      <c r="D247" s="19"/>
      <c r="I247" s="32"/>
    </row>
    <row r="248" spans="1:9" x14ac:dyDescent="0.2">
      <c r="A248" s="11"/>
      <c r="B248" s="11"/>
      <c r="C248" s="11"/>
      <c r="D248" s="19"/>
      <c r="I248" s="32"/>
    </row>
    <row r="249" spans="1:9" x14ac:dyDescent="0.2">
      <c r="A249" s="11"/>
      <c r="B249" s="11"/>
      <c r="C249" s="11"/>
      <c r="D249" s="19"/>
      <c r="I249" s="32"/>
    </row>
    <row r="250" spans="1:9" x14ac:dyDescent="0.2">
      <c r="A250" s="11"/>
      <c r="B250" s="11"/>
      <c r="C250" s="11"/>
      <c r="D250" s="19"/>
      <c r="I250" s="32"/>
    </row>
    <row r="251" spans="1:9" x14ac:dyDescent="0.2">
      <c r="A251" s="11"/>
      <c r="B251" s="11"/>
      <c r="C251" s="11"/>
      <c r="D251" s="19"/>
      <c r="I251" s="32"/>
    </row>
    <row r="252" spans="1:9" x14ac:dyDescent="0.2">
      <c r="A252" s="11"/>
      <c r="B252" s="11"/>
      <c r="C252" s="11"/>
      <c r="D252" s="19"/>
      <c r="I252" s="32"/>
    </row>
    <row r="253" spans="1:9" x14ac:dyDescent="0.2">
      <c r="A253" s="11"/>
      <c r="B253" s="11"/>
      <c r="C253" s="11"/>
      <c r="D253" s="19"/>
      <c r="I253" s="32"/>
    </row>
    <row r="254" spans="1:9" x14ac:dyDescent="0.2">
      <c r="A254" s="11"/>
      <c r="B254" s="11"/>
      <c r="C254" s="11"/>
      <c r="D254" s="19"/>
      <c r="I254" s="32"/>
    </row>
    <row r="255" spans="1:9" x14ac:dyDescent="0.2">
      <c r="A255" s="11"/>
      <c r="B255" s="11"/>
      <c r="C255" s="11"/>
      <c r="D255" s="19"/>
      <c r="I255" s="32"/>
    </row>
    <row r="256" spans="1:9" x14ac:dyDescent="0.2">
      <c r="A256" s="11"/>
      <c r="B256" s="11"/>
      <c r="C256" s="11"/>
      <c r="D256" s="19"/>
      <c r="I256" s="32"/>
    </row>
    <row r="257" spans="1:9" x14ac:dyDescent="0.2">
      <c r="A257" s="11"/>
      <c r="B257" s="11"/>
      <c r="C257" s="11"/>
      <c r="D257" s="19"/>
      <c r="I257" s="32"/>
    </row>
    <row r="258" spans="1:9" x14ac:dyDescent="0.2">
      <c r="A258" s="11"/>
      <c r="B258" s="11"/>
      <c r="C258" s="11"/>
      <c r="D258" s="19"/>
      <c r="I258" s="32"/>
    </row>
    <row r="259" spans="1:9" x14ac:dyDescent="0.2">
      <c r="A259" s="11"/>
      <c r="B259" s="11"/>
      <c r="C259" s="11"/>
      <c r="D259" s="19"/>
      <c r="I259" s="32"/>
    </row>
    <row r="260" spans="1:9" x14ac:dyDescent="0.2">
      <c r="A260" s="11"/>
      <c r="B260" s="11"/>
      <c r="C260" s="11"/>
      <c r="D260" s="19"/>
      <c r="I260" s="32"/>
    </row>
    <row r="261" spans="1:9" x14ac:dyDescent="0.2">
      <c r="A261" s="11"/>
      <c r="B261" s="11"/>
      <c r="C261" s="11"/>
      <c r="D261" s="19"/>
      <c r="I261" s="32"/>
    </row>
    <row r="262" spans="1:9" x14ac:dyDescent="0.2">
      <c r="A262" s="11"/>
      <c r="B262" s="11"/>
      <c r="C262" s="11"/>
      <c r="D262" s="19"/>
      <c r="I262" s="32"/>
    </row>
    <row r="263" spans="1:9" x14ac:dyDescent="0.2">
      <c r="A263" s="11"/>
      <c r="B263" s="11"/>
      <c r="C263" s="11"/>
      <c r="D263" s="19"/>
      <c r="I263" s="32"/>
    </row>
    <row r="264" spans="1:9" x14ac:dyDescent="0.2">
      <c r="A264" s="11"/>
      <c r="B264" s="11"/>
      <c r="C264" s="11"/>
      <c r="D264" s="19"/>
      <c r="I264" s="32"/>
    </row>
    <row r="265" spans="1:9" x14ac:dyDescent="0.2">
      <c r="A265" s="11"/>
      <c r="B265" s="11"/>
      <c r="C265" s="11"/>
      <c r="D265" s="19"/>
      <c r="I265" s="32"/>
    </row>
    <row r="266" spans="1:9" x14ac:dyDescent="0.2">
      <c r="A266" s="11"/>
      <c r="B266" s="11"/>
      <c r="C266" s="11"/>
      <c r="D266" s="19"/>
      <c r="I266" s="32"/>
    </row>
    <row r="267" spans="1:9" x14ac:dyDescent="0.2">
      <c r="A267" s="11"/>
      <c r="B267" s="14"/>
      <c r="C267" s="14"/>
      <c r="D267" s="19"/>
      <c r="I267" s="32"/>
    </row>
    <row r="268" spans="1:9" x14ac:dyDescent="0.2">
      <c r="A268" s="11"/>
      <c r="B268" s="11"/>
      <c r="C268" s="11"/>
      <c r="D268" s="19"/>
      <c r="I268" s="32"/>
    </row>
    <row r="269" spans="1:9" x14ac:dyDescent="0.2">
      <c r="A269" s="11"/>
      <c r="B269" s="11"/>
      <c r="C269" s="11"/>
      <c r="D269" s="19"/>
      <c r="I269" s="32"/>
    </row>
    <row r="270" spans="1:9" x14ac:dyDescent="0.2">
      <c r="A270" s="11"/>
      <c r="B270" s="11"/>
      <c r="C270" s="11"/>
      <c r="D270" s="19"/>
      <c r="I270" s="32"/>
    </row>
    <row r="271" spans="1:9" x14ac:dyDescent="0.2">
      <c r="A271" s="11"/>
      <c r="B271" s="14"/>
      <c r="C271" s="14"/>
      <c r="D271" s="19"/>
      <c r="I271" s="32"/>
    </row>
    <row r="272" spans="1:9" x14ac:dyDescent="0.2">
      <c r="A272" s="11"/>
      <c r="B272" s="11"/>
      <c r="C272" s="11"/>
      <c r="D272" s="19"/>
      <c r="I272" s="32"/>
    </row>
    <row r="273" spans="1:9" x14ac:dyDescent="0.2">
      <c r="A273" s="11"/>
      <c r="B273" s="11"/>
      <c r="C273" s="11"/>
      <c r="D273" s="19"/>
      <c r="I273" s="32"/>
    </row>
    <row r="274" spans="1:9" x14ac:dyDescent="0.2">
      <c r="A274" s="11"/>
      <c r="B274" s="11"/>
      <c r="C274" s="11"/>
      <c r="D274" s="19"/>
      <c r="I274" s="32"/>
    </row>
    <row r="275" spans="1:9" x14ac:dyDescent="0.2">
      <c r="A275" s="11"/>
      <c r="B275" s="14"/>
      <c r="C275" s="14"/>
      <c r="D275" s="19"/>
      <c r="I275" s="32"/>
    </row>
    <row r="276" spans="1:9" x14ac:dyDescent="0.2">
      <c r="A276" s="11"/>
      <c r="B276" s="11"/>
      <c r="C276" s="11"/>
      <c r="D276" s="19"/>
      <c r="I276" s="32"/>
    </row>
    <row r="277" spans="1:9" x14ac:dyDescent="0.2">
      <c r="A277" s="11"/>
      <c r="B277" s="11"/>
      <c r="C277" s="11"/>
      <c r="D277" s="19"/>
      <c r="I277" s="32"/>
    </row>
    <row r="278" spans="1:9" x14ac:dyDescent="0.2">
      <c r="A278" s="11"/>
      <c r="B278" s="14"/>
      <c r="C278" s="14"/>
      <c r="D278" s="19"/>
      <c r="I278" s="32"/>
    </row>
    <row r="279" spans="1:9" x14ac:dyDescent="0.2">
      <c r="A279" s="11"/>
      <c r="B279" s="11"/>
      <c r="C279" s="11"/>
      <c r="D279" s="19"/>
      <c r="I279" s="32"/>
    </row>
    <row r="280" spans="1:9" x14ac:dyDescent="0.2">
      <c r="A280" s="11"/>
      <c r="B280" s="11"/>
      <c r="C280" s="11"/>
      <c r="D280" s="19"/>
      <c r="I280" s="32"/>
    </row>
    <row r="281" spans="1:9" x14ac:dyDescent="0.2">
      <c r="A281" s="11"/>
      <c r="B281" s="14"/>
      <c r="C281" s="14"/>
      <c r="D281" s="19"/>
      <c r="I281" s="32"/>
    </row>
    <row r="282" spans="1:9" x14ac:dyDescent="0.2">
      <c r="A282" s="11"/>
      <c r="B282" s="11"/>
      <c r="C282" s="11"/>
      <c r="D282" s="19"/>
      <c r="I282" s="32"/>
    </row>
    <row r="283" spans="1:9" x14ac:dyDescent="0.2">
      <c r="A283" s="11"/>
      <c r="B283" s="11"/>
      <c r="C283" s="11"/>
      <c r="D283" s="19"/>
      <c r="I283" s="32"/>
    </row>
    <row r="284" spans="1:9" x14ac:dyDescent="0.2">
      <c r="A284" s="11"/>
      <c r="B284" s="11"/>
      <c r="C284" s="11"/>
      <c r="D284" s="19"/>
      <c r="I284" s="32"/>
    </row>
    <row r="285" spans="1:9" x14ac:dyDescent="0.2">
      <c r="A285" s="11"/>
      <c r="B285" s="11"/>
      <c r="C285" s="11"/>
      <c r="D285" s="19"/>
      <c r="I285" s="32"/>
    </row>
    <row r="286" spans="1:9" x14ac:dyDescent="0.2">
      <c r="A286" s="11"/>
      <c r="B286" s="11"/>
      <c r="C286" s="11"/>
      <c r="D286" s="19"/>
      <c r="I286" s="32"/>
    </row>
    <row r="287" spans="1:9" x14ac:dyDescent="0.2">
      <c r="A287" s="11"/>
      <c r="B287" s="11"/>
      <c r="C287" s="11"/>
      <c r="D287" s="19"/>
      <c r="I287" s="32"/>
    </row>
    <row r="288" spans="1:9" x14ac:dyDescent="0.2">
      <c r="A288" s="11"/>
      <c r="B288" s="11"/>
      <c r="C288" s="11"/>
      <c r="D288" s="19"/>
      <c r="I288" s="32"/>
    </row>
    <row r="289" spans="1:9" x14ac:dyDescent="0.2">
      <c r="A289" s="11"/>
      <c r="B289" s="11"/>
      <c r="C289" s="11"/>
      <c r="D289" s="19"/>
      <c r="I289" s="32"/>
    </row>
    <row r="290" spans="1:9" x14ac:dyDescent="0.2">
      <c r="A290" s="11"/>
      <c r="B290" s="11"/>
      <c r="C290" s="11"/>
      <c r="D290" s="19"/>
      <c r="I290" s="32"/>
    </row>
    <row r="291" spans="1:9" x14ac:dyDescent="0.2">
      <c r="A291" s="11"/>
      <c r="B291" s="11"/>
      <c r="C291" s="11"/>
      <c r="D291" s="19"/>
      <c r="I291" s="32"/>
    </row>
    <row r="292" spans="1:9" x14ac:dyDescent="0.2">
      <c r="A292" s="11"/>
      <c r="B292" s="11"/>
      <c r="C292" s="11"/>
      <c r="D292" s="19"/>
      <c r="I292" s="32"/>
    </row>
    <row r="293" spans="1:9" x14ac:dyDescent="0.2">
      <c r="A293" s="11"/>
      <c r="B293" s="11"/>
      <c r="C293" s="11"/>
      <c r="D293" s="19"/>
      <c r="I293" s="32"/>
    </row>
    <row r="294" spans="1:9" x14ac:dyDescent="0.2">
      <c r="A294" s="11"/>
      <c r="B294" s="11"/>
      <c r="C294" s="11"/>
      <c r="D294" s="19"/>
      <c r="I294" s="32"/>
    </row>
    <row r="295" spans="1:9" x14ac:dyDescent="0.2">
      <c r="A295" s="11"/>
      <c r="B295" s="11"/>
      <c r="C295" s="11"/>
      <c r="D295" s="19"/>
      <c r="I295" s="32"/>
    </row>
    <row r="296" spans="1:9" x14ac:dyDescent="0.2">
      <c r="A296" s="11"/>
      <c r="B296" s="14"/>
      <c r="C296" s="14"/>
      <c r="D296" s="19"/>
      <c r="I296" s="32"/>
    </row>
    <row r="297" spans="1:9" x14ac:dyDescent="0.2">
      <c r="A297" s="11"/>
      <c r="B297" s="11"/>
      <c r="C297" s="11"/>
      <c r="D297" s="19"/>
      <c r="I297" s="32"/>
    </row>
    <row r="298" spans="1:9" x14ac:dyDescent="0.2">
      <c r="A298" s="11"/>
      <c r="B298" s="11"/>
      <c r="C298" s="11"/>
      <c r="D298" s="19"/>
      <c r="I298" s="32"/>
    </row>
    <row r="299" spans="1:9" x14ac:dyDescent="0.2">
      <c r="A299" s="11"/>
      <c r="B299" s="11"/>
      <c r="C299" s="11"/>
      <c r="D299" s="19"/>
      <c r="I299" s="32"/>
    </row>
    <row r="300" spans="1:9" x14ac:dyDescent="0.2">
      <c r="A300" s="11"/>
      <c r="B300" s="14"/>
      <c r="C300" s="14"/>
      <c r="D300" s="19"/>
      <c r="I300" s="32"/>
    </row>
    <row r="301" spans="1:9" x14ac:dyDescent="0.2">
      <c r="A301" s="11"/>
      <c r="B301" s="11"/>
      <c r="C301" s="11"/>
      <c r="D301" s="19"/>
      <c r="I301" s="32"/>
    </row>
    <row r="302" spans="1:9" x14ac:dyDescent="0.2">
      <c r="A302" s="11"/>
      <c r="B302" s="11"/>
      <c r="C302" s="11"/>
      <c r="D302" s="19"/>
      <c r="I302" s="32"/>
    </row>
    <row r="303" spans="1:9" x14ac:dyDescent="0.2">
      <c r="A303" s="11"/>
      <c r="B303" s="11"/>
      <c r="C303" s="11"/>
      <c r="D303" s="19"/>
      <c r="I303" s="32"/>
    </row>
    <row r="304" spans="1:9" x14ac:dyDescent="0.2">
      <c r="A304" s="11"/>
      <c r="B304" s="14"/>
      <c r="C304" s="14"/>
      <c r="D304" s="19"/>
      <c r="I304" s="32"/>
    </row>
    <row r="305" spans="1:9" x14ac:dyDescent="0.2">
      <c r="A305" s="11"/>
      <c r="B305" s="11"/>
      <c r="C305" s="11"/>
      <c r="D305" s="19"/>
      <c r="I305" s="32"/>
    </row>
    <row r="306" spans="1:9" x14ac:dyDescent="0.2">
      <c r="A306" s="11"/>
      <c r="B306" s="14"/>
      <c r="C306" s="14"/>
      <c r="D306" s="19"/>
      <c r="I306" s="32"/>
    </row>
    <row r="307" spans="1:9" x14ac:dyDescent="0.2">
      <c r="A307" s="11"/>
      <c r="B307" s="11"/>
      <c r="C307" s="11"/>
      <c r="D307" s="19"/>
      <c r="I307" s="32"/>
    </row>
    <row r="308" spans="1:9" x14ac:dyDescent="0.2">
      <c r="A308" s="11"/>
      <c r="B308" s="11"/>
      <c r="C308" s="11"/>
      <c r="D308" s="19"/>
      <c r="I308" s="32"/>
    </row>
    <row r="309" spans="1:9" x14ac:dyDescent="0.2">
      <c r="A309" s="11"/>
      <c r="B309" s="11"/>
      <c r="C309" s="11"/>
      <c r="D309" s="19"/>
      <c r="I309" s="32"/>
    </row>
    <row r="310" spans="1:9" x14ac:dyDescent="0.2">
      <c r="A310" s="11"/>
      <c r="B310" s="11"/>
      <c r="C310" s="11"/>
      <c r="D310" s="19"/>
      <c r="I310" s="32"/>
    </row>
    <row r="311" spans="1:9" x14ac:dyDescent="0.2">
      <c r="A311" s="11"/>
      <c r="B311" s="11"/>
      <c r="C311" s="11"/>
      <c r="D311" s="19"/>
      <c r="I311" s="32"/>
    </row>
    <row r="312" spans="1:9" x14ac:dyDescent="0.2">
      <c r="A312" s="11"/>
      <c r="B312" s="11"/>
      <c r="C312" s="11"/>
      <c r="D312" s="15"/>
      <c r="I312" s="32"/>
    </row>
    <row r="313" spans="1:9" x14ac:dyDescent="0.2">
      <c r="A313" s="11"/>
      <c r="B313" s="11"/>
      <c r="C313" s="11"/>
      <c r="D313" s="19"/>
      <c r="I313" s="32"/>
    </row>
    <row r="314" spans="1:9" x14ac:dyDescent="0.2">
      <c r="A314" s="11"/>
      <c r="B314" s="11"/>
      <c r="C314" s="11"/>
      <c r="D314" s="19"/>
      <c r="I314" s="32"/>
    </row>
    <row r="315" spans="1:9" x14ac:dyDescent="0.2">
      <c r="A315" s="11"/>
      <c r="B315" s="11"/>
      <c r="C315" s="11"/>
      <c r="D315" s="19"/>
      <c r="I315" s="32"/>
    </row>
    <row r="316" spans="1:9" x14ac:dyDescent="0.2">
      <c r="A316" s="11"/>
      <c r="B316" s="11"/>
      <c r="C316" s="11"/>
      <c r="D316" s="19"/>
      <c r="I316" s="32"/>
    </row>
    <row r="317" spans="1:9" x14ac:dyDescent="0.2">
      <c r="A317" s="11"/>
      <c r="B317" s="11"/>
      <c r="C317" s="11"/>
      <c r="D317" s="19"/>
      <c r="I317" s="32"/>
    </row>
    <row r="318" spans="1:9" x14ac:dyDescent="0.2">
      <c r="A318" s="11"/>
      <c r="B318" s="11"/>
      <c r="C318" s="11"/>
      <c r="D318" s="19"/>
      <c r="I318" s="32"/>
    </row>
    <row r="319" spans="1:9" x14ac:dyDescent="0.2">
      <c r="A319" s="11"/>
      <c r="B319" s="11"/>
      <c r="C319" s="11"/>
      <c r="D319" s="19"/>
      <c r="I319" s="32"/>
    </row>
    <row r="320" spans="1:9" x14ac:dyDescent="0.2">
      <c r="A320" s="11"/>
      <c r="B320" s="11"/>
      <c r="C320" s="11"/>
      <c r="D320" s="19"/>
      <c r="I320" s="32"/>
    </row>
    <row r="321" spans="1:9" x14ac:dyDescent="0.2">
      <c r="A321" s="11"/>
      <c r="B321" s="11"/>
      <c r="C321" s="11"/>
      <c r="D321" s="19"/>
      <c r="I321" s="32"/>
    </row>
    <row r="322" spans="1:9" x14ac:dyDescent="0.2">
      <c r="A322" s="11"/>
      <c r="B322" s="11"/>
      <c r="C322" s="11"/>
      <c r="D322" s="19"/>
      <c r="I322" s="32"/>
    </row>
    <row r="323" spans="1:9" x14ac:dyDescent="0.2">
      <c r="A323" s="11"/>
      <c r="B323" s="14"/>
      <c r="C323" s="14"/>
      <c r="D323" s="19"/>
      <c r="I323" s="32"/>
    </row>
    <row r="324" spans="1:9" x14ac:dyDescent="0.2">
      <c r="A324" s="11"/>
      <c r="B324" s="11"/>
      <c r="C324" s="11"/>
      <c r="D324" s="19"/>
      <c r="I324" s="32"/>
    </row>
    <row r="325" spans="1:9" x14ac:dyDescent="0.2">
      <c r="A325" s="11"/>
      <c r="B325" s="11"/>
      <c r="C325" s="11"/>
      <c r="D325" s="19"/>
      <c r="I325" s="32"/>
    </row>
    <row r="326" spans="1:9" x14ac:dyDescent="0.2">
      <c r="A326" s="11"/>
      <c r="B326" s="11"/>
      <c r="C326" s="11"/>
      <c r="D326" s="19"/>
      <c r="I326" s="32"/>
    </row>
    <row r="327" spans="1:9" x14ac:dyDescent="0.2">
      <c r="A327" s="11"/>
      <c r="B327" s="11"/>
      <c r="C327" s="11"/>
      <c r="D327" s="19"/>
      <c r="I327" s="32"/>
    </row>
    <row r="328" spans="1:9" x14ac:dyDescent="0.2">
      <c r="A328" s="11"/>
      <c r="B328" s="11"/>
      <c r="C328" s="11"/>
      <c r="D328" s="19"/>
      <c r="I328" s="32"/>
    </row>
    <row r="329" spans="1:9" x14ac:dyDescent="0.2">
      <c r="A329" s="11"/>
      <c r="B329" s="8"/>
      <c r="C329" s="8"/>
      <c r="D329" s="19"/>
      <c r="I329" s="32"/>
    </row>
    <row r="330" spans="1:9" x14ac:dyDescent="0.2">
      <c r="A330" s="11"/>
      <c r="B330" s="11"/>
      <c r="C330" s="11"/>
      <c r="D330" s="19"/>
      <c r="I330" s="32"/>
    </row>
    <row r="331" spans="1:9" x14ac:dyDescent="0.2">
      <c r="A331" s="11"/>
      <c r="B331" s="11"/>
      <c r="C331" s="11"/>
      <c r="D331" s="19"/>
      <c r="I331" s="32"/>
    </row>
    <row r="332" spans="1:9" x14ac:dyDescent="0.2">
      <c r="A332" s="11"/>
      <c r="B332" s="11"/>
      <c r="C332" s="11"/>
      <c r="D332" s="19"/>
      <c r="I332" s="32"/>
    </row>
    <row r="333" spans="1:9" x14ac:dyDescent="0.2">
      <c r="A333" s="11"/>
      <c r="B333" s="11"/>
      <c r="C333" s="11"/>
      <c r="D333" s="19"/>
      <c r="I333" s="32"/>
    </row>
    <row r="334" spans="1:9" x14ac:dyDescent="0.2">
      <c r="A334" s="11"/>
      <c r="B334" s="11"/>
      <c r="C334" s="11"/>
      <c r="D334" s="19"/>
      <c r="I334" s="32"/>
    </row>
    <row r="335" spans="1:9" x14ac:dyDescent="0.2">
      <c r="A335" s="11"/>
      <c r="B335" s="11"/>
      <c r="C335" s="11"/>
      <c r="D335" s="19"/>
      <c r="I335" s="32"/>
    </row>
    <row r="336" spans="1:9" x14ac:dyDescent="0.2">
      <c r="A336" s="11"/>
      <c r="B336" s="11"/>
      <c r="C336" s="11"/>
      <c r="D336" s="19"/>
      <c r="I336" s="32"/>
    </row>
    <row r="337" spans="1:9" x14ac:dyDescent="0.2">
      <c r="A337" s="11"/>
      <c r="B337" s="11"/>
      <c r="C337" s="11"/>
      <c r="D337" s="19"/>
      <c r="I337" s="32"/>
    </row>
    <row r="338" spans="1:9" x14ac:dyDescent="0.2">
      <c r="A338" s="11"/>
      <c r="B338" s="11"/>
      <c r="C338" s="11"/>
      <c r="D338" s="19"/>
      <c r="I338" s="32"/>
    </row>
    <row r="339" spans="1:9" x14ac:dyDescent="0.2">
      <c r="A339" s="11"/>
      <c r="B339" s="11"/>
      <c r="C339" s="11"/>
      <c r="D339" s="19"/>
      <c r="I339" s="32"/>
    </row>
    <row r="340" spans="1:9" x14ac:dyDescent="0.2">
      <c r="A340" s="11"/>
      <c r="B340" s="11"/>
      <c r="C340" s="11"/>
      <c r="D340" s="19"/>
      <c r="I340" s="32"/>
    </row>
    <row r="341" spans="1:9" x14ac:dyDescent="0.2">
      <c r="A341" s="11"/>
      <c r="B341" s="11"/>
      <c r="C341" s="11"/>
      <c r="D341" s="19"/>
      <c r="I341" s="32"/>
    </row>
    <row r="342" spans="1:9" x14ac:dyDescent="0.2">
      <c r="A342" s="11"/>
      <c r="B342" s="11"/>
      <c r="C342" s="11"/>
      <c r="D342" s="19"/>
      <c r="I342" s="32"/>
    </row>
    <row r="343" spans="1:9" x14ac:dyDescent="0.2">
      <c r="A343" s="11"/>
      <c r="B343" s="11"/>
      <c r="C343" s="11"/>
      <c r="D343" s="19"/>
      <c r="I343" s="32"/>
    </row>
    <row r="344" spans="1:9" x14ac:dyDescent="0.2">
      <c r="A344" s="11"/>
      <c r="B344" s="11"/>
      <c r="C344" s="11"/>
      <c r="D344" s="19"/>
      <c r="I344" s="32"/>
    </row>
    <row r="345" spans="1:9" x14ac:dyDescent="0.2">
      <c r="A345" s="11"/>
      <c r="B345" s="11"/>
      <c r="C345" s="11"/>
      <c r="D345" s="19"/>
      <c r="I345" s="32"/>
    </row>
    <row r="346" spans="1:9" x14ac:dyDescent="0.2">
      <c r="A346" s="11"/>
      <c r="B346" s="11"/>
      <c r="C346" s="11"/>
      <c r="D346" s="19"/>
      <c r="I346" s="32"/>
    </row>
    <row r="347" spans="1:9" x14ac:dyDescent="0.2">
      <c r="A347" s="11"/>
      <c r="B347" s="11"/>
      <c r="C347" s="11"/>
      <c r="D347" s="19"/>
      <c r="I347" s="32"/>
    </row>
    <row r="348" spans="1:9" x14ac:dyDescent="0.2">
      <c r="A348" s="11"/>
      <c r="B348" s="11"/>
      <c r="C348" s="11"/>
      <c r="D348" s="19"/>
      <c r="I348" s="32"/>
    </row>
    <row r="349" spans="1:9" x14ac:dyDescent="0.2">
      <c r="A349" s="11"/>
      <c r="B349" s="11"/>
      <c r="C349" s="11"/>
      <c r="D349" s="19"/>
      <c r="I349" s="32"/>
    </row>
    <row r="350" spans="1:9" x14ac:dyDescent="0.2">
      <c r="A350" s="11"/>
      <c r="B350" s="11"/>
      <c r="C350" s="11"/>
      <c r="D350" s="19"/>
      <c r="I350" s="32"/>
    </row>
    <row r="351" spans="1:9" x14ac:dyDescent="0.2">
      <c r="A351" s="11"/>
      <c r="B351" s="11"/>
      <c r="C351" s="11"/>
      <c r="D351" s="19"/>
      <c r="I351" s="32"/>
    </row>
    <row r="352" spans="1:9" x14ac:dyDescent="0.2">
      <c r="A352" s="11"/>
      <c r="B352" s="11"/>
      <c r="C352" s="11"/>
      <c r="D352" s="19"/>
      <c r="I352" s="32"/>
    </row>
    <row r="353" spans="1:9" x14ac:dyDescent="0.2">
      <c r="A353" s="11"/>
      <c r="B353" s="11"/>
      <c r="C353" s="11"/>
      <c r="D353" s="19"/>
      <c r="I353" s="32"/>
    </row>
    <row r="354" spans="1:9" x14ac:dyDescent="0.2">
      <c r="A354" s="11"/>
      <c r="B354" s="11"/>
      <c r="C354" s="11"/>
      <c r="D354" s="19"/>
      <c r="I354" s="32"/>
    </row>
    <row r="355" spans="1:9" x14ac:dyDescent="0.2">
      <c r="A355" s="11"/>
      <c r="B355" s="11"/>
      <c r="C355" s="11"/>
      <c r="D355" s="19"/>
      <c r="I355" s="32"/>
    </row>
    <row r="356" spans="1:9" x14ac:dyDescent="0.2">
      <c r="A356" s="11"/>
      <c r="B356" s="11"/>
      <c r="C356" s="11"/>
      <c r="D356" s="19"/>
      <c r="I356" s="32"/>
    </row>
    <row r="357" spans="1:9" x14ac:dyDescent="0.2">
      <c r="A357" s="11"/>
      <c r="B357" s="11"/>
      <c r="C357" s="11"/>
      <c r="D357" s="19"/>
      <c r="I357" s="32"/>
    </row>
    <row r="358" spans="1:9" x14ac:dyDescent="0.2">
      <c r="A358" s="11"/>
      <c r="B358" s="11"/>
      <c r="C358" s="11"/>
      <c r="D358" s="19"/>
      <c r="I358" s="32"/>
    </row>
    <row r="359" spans="1:9" x14ac:dyDescent="0.2">
      <c r="A359" s="11"/>
      <c r="B359" s="11"/>
      <c r="C359" s="11"/>
      <c r="D359" s="19"/>
      <c r="I359" s="32"/>
    </row>
    <row r="360" spans="1:9" x14ac:dyDescent="0.2">
      <c r="A360" s="11"/>
      <c r="B360" s="11"/>
      <c r="C360" s="11"/>
      <c r="D360" s="19"/>
      <c r="I360" s="32"/>
    </row>
    <row r="361" spans="1:9" x14ac:dyDescent="0.2">
      <c r="A361" s="11"/>
      <c r="B361" s="11"/>
      <c r="C361" s="11"/>
      <c r="D361" s="19"/>
      <c r="I361" s="32"/>
    </row>
    <row r="362" spans="1:9" x14ac:dyDescent="0.2">
      <c r="A362" s="11"/>
      <c r="B362" s="11"/>
      <c r="C362" s="11"/>
      <c r="D362" s="19"/>
      <c r="I362" s="32"/>
    </row>
    <row r="363" spans="1:9" x14ac:dyDescent="0.2">
      <c r="A363" s="11"/>
      <c r="B363" s="11"/>
      <c r="C363" s="11"/>
      <c r="D363" s="19"/>
      <c r="I363" s="32"/>
    </row>
    <row r="364" spans="1:9" x14ac:dyDescent="0.2">
      <c r="A364" s="11"/>
      <c r="B364" s="11"/>
      <c r="C364" s="11"/>
      <c r="D364" s="19"/>
      <c r="I364" s="32"/>
    </row>
    <row r="365" spans="1:9" x14ac:dyDescent="0.2">
      <c r="A365" s="11"/>
      <c r="B365" s="11"/>
      <c r="C365" s="11"/>
      <c r="D365" s="19"/>
      <c r="I365" s="32"/>
    </row>
    <row r="366" spans="1:9" x14ac:dyDescent="0.2">
      <c r="A366" s="11"/>
      <c r="B366" s="11"/>
      <c r="C366" s="11"/>
      <c r="D366" s="19"/>
      <c r="I366" s="32"/>
    </row>
    <row r="367" spans="1:9" x14ac:dyDescent="0.2">
      <c r="A367" s="11"/>
      <c r="B367" s="11"/>
      <c r="C367" s="11"/>
      <c r="D367" s="19"/>
      <c r="I367" s="32"/>
    </row>
    <row r="368" spans="1:9" x14ac:dyDescent="0.2">
      <c r="A368" s="11"/>
      <c r="B368" s="11"/>
      <c r="C368" s="11"/>
      <c r="D368" s="19"/>
      <c r="I368" s="32"/>
    </row>
    <row r="369" spans="1:9" x14ac:dyDescent="0.2">
      <c r="A369" s="11"/>
      <c r="B369" s="11"/>
      <c r="C369" s="11"/>
      <c r="D369" s="19"/>
      <c r="I369" s="32"/>
    </row>
    <row r="370" spans="1:9" x14ac:dyDescent="0.2">
      <c r="A370" s="11"/>
      <c r="B370" s="11"/>
      <c r="C370" s="11"/>
      <c r="D370" s="19"/>
      <c r="I370" s="32"/>
    </row>
    <row r="371" spans="1:9" x14ac:dyDescent="0.2">
      <c r="A371" s="11"/>
      <c r="B371" s="11"/>
      <c r="C371" s="11"/>
      <c r="D371" s="19"/>
      <c r="I371" s="32"/>
    </row>
    <row r="372" spans="1:9" x14ac:dyDescent="0.2">
      <c r="A372" s="11"/>
      <c r="B372" s="11"/>
      <c r="C372" s="11"/>
      <c r="D372" s="19"/>
      <c r="I372" s="32"/>
    </row>
    <row r="373" spans="1:9" x14ac:dyDescent="0.2">
      <c r="A373" s="11"/>
      <c r="B373" s="11"/>
      <c r="C373" s="11"/>
      <c r="D373" s="19"/>
      <c r="I373" s="32"/>
    </row>
    <row r="374" spans="1:9" x14ac:dyDescent="0.2">
      <c r="A374" s="11"/>
      <c r="B374" s="11"/>
      <c r="C374" s="11"/>
      <c r="D374" s="19"/>
      <c r="I374" s="32"/>
    </row>
    <row r="375" spans="1:9" x14ac:dyDescent="0.2">
      <c r="A375" s="11"/>
      <c r="B375" s="11"/>
      <c r="C375" s="11"/>
      <c r="D375" s="19"/>
      <c r="I375" s="32"/>
    </row>
    <row r="376" spans="1:9" x14ac:dyDescent="0.2">
      <c r="A376" s="11"/>
      <c r="B376" s="11"/>
      <c r="C376" s="11"/>
      <c r="D376" s="19"/>
      <c r="I376" s="32"/>
    </row>
    <row r="377" spans="1:9" x14ac:dyDescent="0.2">
      <c r="A377" s="11"/>
      <c r="B377" s="11"/>
      <c r="C377" s="11"/>
      <c r="D377" s="19"/>
      <c r="I377" s="32"/>
    </row>
    <row r="378" spans="1:9" x14ac:dyDescent="0.2">
      <c r="A378" s="11"/>
      <c r="B378" s="11"/>
      <c r="C378" s="11"/>
      <c r="D378" s="19"/>
      <c r="I378" s="32"/>
    </row>
    <row r="379" spans="1:9" x14ac:dyDescent="0.2">
      <c r="A379" s="11"/>
      <c r="B379" s="11"/>
      <c r="C379" s="11"/>
      <c r="D379" s="19"/>
      <c r="I379" s="32"/>
    </row>
    <row r="380" spans="1:9" x14ac:dyDescent="0.2">
      <c r="A380" s="11"/>
      <c r="B380" s="11"/>
      <c r="C380" s="11"/>
      <c r="D380" s="19"/>
      <c r="I380" s="32"/>
    </row>
    <row r="381" spans="1:9" x14ac:dyDescent="0.2">
      <c r="A381" s="11"/>
      <c r="B381" s="11"/>
      <c r="C381" s="11"/>
      <c r="D381" s="19"/>
      <c r="I381" s="32"/>
    </row>
    <row r="382" spans="1:9" x14ac:dyDescent="0.2">
      <c r="A382" s="11"/>
      <c r="B382" s="11"/>
      <c r="C382" s="11"/>
      <c r="D382" s="19"/>
      <c r="I382" s="32"/>
    </row>
    <row r="383" spans="1:9" x14ac:dyDescent="0.2">
      <c r="A383" s="11"/>
      <c r="B383" s="11"/>
      <c r="C383" s="11"/>
      <c r="D383" s="19"/>
      <c r="I383" s="32"/>
    </row>
    <row r="384" spans="1:9" x14ac:dyDescent="0.2">
      <c r="A384" s="11"/>
      <c r="B384" s="11"/>
      <c r="C384" s="11"/>
      <c r="D384" s="19"/>
      <c r="I384" s="32"/>
    </row>
    <row r="385" spans="1:9" x14ac:dyDescent="0.2">
      <c r="A385" s="11"/>
      <c r="B385" s="11"/>
      <c r="C385" s="11"/>
      <c r="D385" s="19"/>
      <c r="I385" s="32"/>
    </row>
    <row r="386" spans="1:9" x14ac:dyDescent="0.2">
      <c r="A386" s="11"/>
      <c r="B386" s="11"/>
      <c r="C386" s="11"/>
      <c r="D386" s="19"/>
      <c r="I386" s="32"/>
    </row>
    <row r="387" spans="1:9" x14ac:dyDescent="0.2">
      <c r="A387" s="11"/>
      <c r="B387" s="11"/>
      <c r="C387" s="11"/>
      <c r="D387" s="19"/>
      <c r="I387" s="32"/>
    </row>
    <row r="388" spans="1:9" x14ac:dyDescent="0.2">
      <c r="A388" s="11"/>
      <c r="B388" s="11"/>
      <c r="C388" s="11"/>
      <c r="D388" s="19"/>
      <c r="I388" s="32"/>
    </row>
    <row r="389" spans="1:9" x14ac:dyDescent="0.2">
      <c r="A389" s="11"/>
      <c r="B389" s="11"/>
      <c r="C389" s="11"/>
      <c r="D389" s="19"/>
      <c r="I389" s="32"/>
    </row>
    <row r="390" spans="1:9" x14ac:dyDescent="0.2">
      <c r="A390" s="11"/>
      <c r="B390" s="11"/>
      <c r="C390" s="11"/>
      <c r="D390" s="19"/>
      <c r="I390" s="32"/>
    </row>
    <row r="391" spans="1:9" x14ac:dyDescent="0.2">
      <c r="A391" s="11"/>
      <c r="B391" s="11"/>
      <c r="C391" s="11"/>
      <c r="D391" s="19"/>
      <c r="I391" s="32"/>
    </row>
    <row r="392" spans="1:9" x14ac:dyDescent="0.2">
      <c r="A392" s="11"/>
      <c r="B392" s="11"/>
      <c r="C392" s="11"/>
      <c r="D392" s="19"/>
      <c r="I392" s="32"/>
    </row>
    <row r="393" spans="1:9" x14ac:dyDescent="0.2">
      <c r="A393" s="11"/>
      <c r="B393" s="11"/>
      <c r="C393" s="11"/>
      <c r="D393" s="19"/>
      <c r="I393" s="32"/>
    </row>
    <row r="394" spans="1:9" x14ac:dyDescent="0.2">
      <c r="A394" s="11"/>
      <c r="B394" s="11"/>
      <c r="C394" s="11"/>
      <c r="D394" s="19"/>
      <c r="I394" s="32"/>
    </row>
    <row r="395" spans="1:9" x14ac:dyDescent="0.2">
      <c r="A395" s="11"/>
      <c r="B395" s="11"/>
      <c r="C395" s="11"/>
      <c r="D395" s="19"/>
      <c r="I395" s="32"/>
    </row>
    <row r="396" spans="1:9" x14ac:dyDescent="0.2">
      <c r="A396" s="11"/>
      <c r="B396" s="11"/>
      <c r="C396" s="11"/>
      <c r="D396" s="19"/>
      <c r="I396" s="32"/>
    </row>
    <row r="397" spans="1:9" x14ac:dyDescent="0.2">
      <c r="A397" s="11"/>
      <c r="B397" s="11"/>
      <c r="C397" s="11"/>
      <c r="D397" s="19"/>
      <c r="I397" s="32"/>
    </row>
    <row r="398" spans="1:9" x14ac:dyDescent="0.2">
      <c r="A398" s="11"/>
      <c r="B398" s="11"/>
      <c r="C398" s="11"/>
      <c r="D398" s="19"/>
      <c r="I398" s="32"/>
    </row>
    <row r="399" spans="1:9" x14ac:dyDescent="0.2">
      <c r="A399" s="11"/>
      <c r="B399" s="11"/>
      <c r="C399" s="11"/>
      <c r="D399" s="19"/>
      <c r="I399" s="32"/>
    </row>
    <row r="400" spans="1:9" x14ac:dyDescent="0.2">
      <c r="A400" s="11"/>
      <c r="B400" s="11"/>
      <c r="C400" s="11"/>
      <c r="D400" s="19"/>
      <c r="I400" s="32"/>
    </row>
    <row r="401" spans="1:9" x14ac:dyDescent="0.2">
      <c r="A401" s="11"/>
      <c r="B401" s="11"/>
      <c r="C401" s="11"/>
      <c r="D401" s="19"/>
      <c r="I401" s="32"/>
    </row>
    <row r="402" spans="1:9" x14ac:dyDescent="0.2">
      <c r="A402" s="11"/>
      <c r="B402" s="11"/>
      <c r="C402" s="11"/>
      <c r="D402" s="19"/>
      <c r="I402" s="32"/>
    </row>
    <row r="403" spans="1:9" x14ac:dyDescent="0.2">
      <c r="A403" s="11"/>
      <c r="B403" s="11"/>
      <c r="C403" s="11"/>
      <c r="D403" s="19"/>
      <c r="I403" s="32"/>
    </row>
    <row r="404" spans="1:9" x14ac:dyDescent="0.2">
      <c r="A404" s="11"/>
      <c r="B404" s="11"/>
      <c r="C404" s="11"/>
      <c r="D404" s="19"/>
      <c r="I404" s="32"/>
    </row>
    <row r="405" spans="1:9" x14ac:dyDescent="0.2">
      <c r="A405" s="11"/>
      <c r="B405" s="11"/>
      <c r="C405" s="11"/>
      <c r="D405" s="19"/>
      <c r="I405" s="32"/>
    </row>
    <row r="406" spans="1:9" x14ac:dyDescent="0.2">
      <c r="A406" s="11"/>
      <c r="B406" s="11"/>
      <c r="C406" s="11"/>
      <c r="D406" s="19"/>
      <c r="I406" s="32"/>
    </row>
    <row r="407" spans="1:9" x14ac:dyDescent="0.2">
      <c r="A407" s="11"/>
      <c r="B407" s="11"/>
      <c r="C407" s="11"/>
      <c r="D407" s="19"/>
      <c r="I407" s="32"/>
    </row>
    <row r="408" spans="1:9" x14ac:dyDescent="0.2">
      <c r="A408" s="11"/>
      <c r="B408" s="11"/>
      <c r="C408" s="11"/>
      <c r="D408" s="19"/>
      <c r="I408" s="32"/>
    </row>
    <row r="409" spans="1:9" x14ac:dyDescent="0.2">
      <c r="A409" s="11"/>
      <c r="B409" s="11"/>
      <c r="C409" s="11"/>
      <c r="D409" s="19"/>
      <c r="I409" s="32"/>
    </row>
    <row r="410" spans="1:9" x14ac:dyDescent="0.2">
      <c r="A410" s="11"/>
      <c r="B410" s="11"/>
      <c r="C410" s="11"/>
      <c r="D410" s="19"/>
      <c r="I410" s="32"/>
    </row>
    <row r="411" spans="1:9" x14ac:dyDescent="0.2">
      <c r="A411" s="11"/>
      <c r="B411" s="11"/>
      <c r="C411" s="11"/>
      <c r="D411" s="19"/>
      <c r="I411" s="32"/>
    </row>
    <row r="412" spans="1:9" x14ac:dyDescent="0.2">
      <c r="A412" s="11"/>
      <c r="B412" s="11"/>
      <c r="C412" s="11"/>
      <c r="D412" s="19"/>
      <c r="I412" s="32"/>
    </row>
    <row r="413" spans="1:9" x14ac:dyDescent="0.2">
      <c r="A413" s="11"/>
      <c r="B413" s="11"/>
      <c r="C413" s="11"/>
      <c r="D413" s="19"/>
      <c r="I413" s="32"/>
    </row>
    <row r="414" spans="1:9" x14ac:dyDescent="0.2">
      <c r="A414" s="11"/>
      <c r="B414" s="11"/>
      <c r="C414" s="11"/>
      <c r="D414" s="19"/>
      <c r="I414" s="32"/>
    </row>
    <row r="415" spans="1:9" x14ac:dyDescent="0.2">
      <c r="A415" s="11"/>
      <c r="B415" s="11"/>
      <c r="C415" s="11"/>
      <c r="D415" s="19"/>
      <c r="I415" s="32"/>
    </row>
    <row r="416" spans="1:9" x14ac:dyDescent="0.2">
      <c r="A416" s="11"/>
      <c r="B416" s="11"/>
      <c r="C416" s="11"/>
      <c r="D416" s="19"/>
      <c r="I416" s="32"/>
    </row>
    <row r="417" spans="1:9" x14ac:dyDescent="0.2">
      <c r="A417" s="11"/>
      <c r="B417" s="11"/>
      <c r="C417" s="11"/>
      <c r="D417" s="19"/>
      <c r="I417" s="32"/>
    </row>
    <row r="418" spans="1:9" x14ac:dyDescent="0.2">
      <c r="A418" s="11"/>
      <c r="B418" s="11"/>
      <c r="C418" s="11"/>
      <c r="D418" s="19"/>
      <c r="I418" s="32"/>
    </row>
    <row r="419" spans="1:9" x14ac:dyDescent="0.2">
      <c r="A419" s="11"/>
      <c r="B419" s="11"/>
      <c r="C419" s="11"/>
      <c r="D419" s="19"/>
      <c r="I419" s="32"/>
    </row>
    <row r="420" spans="1:9" x14ac:dyDescent="0.2">
      <c r="A420" s="11"/>
      <c r="B420" s="11"/>
      <c r="C420" s="11"/>
      <c r="D420" s="19"/>
      <c r="I420" s="32"/>
    </row>
    <row r="421" spans="1:9" x14ac:dyDescent="0.2">
      <c r="A421" s="11"/>
      <c r="B421" s="11"/>
      <c r="C421" s="11"/>
      <c r="D421" s="19"/>
      <c r="I421" s="32"/>
    </row>
    <row r="422" spans="1:9" x14ac:dyDescent="0.2">
      <c r="A422" s="11"/>
      <c r="B422" s="11"/>
      <c r="C422" s="11"/>
      <c r="D422" s="19"/>
      <c r="I422" s="32"/>
    </row>
    <row r="423" spans="1:9" x14ac:dyDescent="0.2">
      <c r="A423" s="11"/>
      <c r="B423" s="11"/>
      <c r="C423" s="11"/>
      <c r="D423" s="19"/>
      <c r="I423" s="32"/>
    </row>
    <row r="424" spans="1:9" x14ac:dyDescent="0.2">
      <c r="A424" s="11"/>
      <c r="B424" s="11"/>
      <c r="C424" s="11"/>
      <c r="D424" s="19"/>
      <c r="I424" s="32"/>
    </row>
    <row r="425" spans="1:9" x14ac:dyDescent="0.2">
      <c r="A425" s="11"/>
      <c r="B425" s="11"/>
      <c r="C425" s="11"/>
      <c r="D425" s="19"/>
      <c r="I425" s="32"/>
    </row>
    <row r="426" spans="1:9" x14ac:dyDescent="0.2">
      <c r="A426" s="11"/>
      <c r="B426" s="11"/>
      <c r="C426" s="11"/>
      <c r="D426" s="19"/>
      <c r="I426" s="32"/>
    </row>
    <row r="427" spans="1:9" x14ac:dyDescent="0.2">
      <c r="A427" s="11"/>
      <c r="B427" s="11"/>
      <c r="C427" s="11"/>
      <c r="D427" s="19"/>
      <c r="I427" s="32"/>
    </row>
    <row r="428" spans="1:9" x14ac:dyDescent="0.2">
      <c r="A428" s="11"/>
      <c r="B428" s="11"/>
      <c r="C428" s="11"/>
      <c r="D428" s="19"/>
      <c r="I428" s="32"/>
    </row>
    <row r="429" spans="1:9" x14ac:dyDescent="0.2">
      <c r="A429" s="11"/>
      <c r="B429" s="11"/>
      <c r="C429" s="11"/>
      <c r="D429" s="19"/>
      <c r="I429" s="32"/>
    </row>
    <row r="430" spans="1:9" x14ac:dyDescent="0.2">
      <c r="A430" s="11"/>
      <c r="B430" s="11"/>
      <c r="C430" s="11"/>
      <c r="D430" s="19"/>
      <c r="I430" s="32"/>
    </row>
    <row r="431" spans="1:9" x14ac:dyDescent="0.2">
      <c r="A431" s="11"/>
      <c r="B431" s="11"/>
      <c r="C431" s="11"/>
      <c r="D431" s="19"/>
      <c r="I431" s="32"/>
    </row>
    <row r="432" spans="1:9" x14ac:dyDescent="0.2">
      <c r="A432" s="11"/>
      <c r="B432" s="11"/>
      <c r="C432" s="11"/>
      <c r="D432" s="19"/>
      <c r="I432" s="32"/>
    </row>
    <row r="433" spans="1:9" x14ac:dyDescent="0.2">
      <c r="A433" s="11"/>
      <c r="B433" s="11"/>
      <c r="C433" s="11"/>
      <c r="D433" s="19"/>
      <c r="I433" s="32"/>
    </row>
    <row r="434" spans="1:9" x14ac:dyDescent="0.2">
      <c r="A434" s="11"/>
      <c r="B434" s="11"/>
      <c r="C434" s="11"/>
      <c r="D434" s="19"/>
      <c r="I434" s="32"/>
    </row>
    <row r="435" spans="1:9" x14ac:dyDescent="0.2">
      <c r="A435" s="11"/>
      <c r="B435" s="11"/>
      <c r="C435" s="11"/>
      <c r="D435" s="19"/>
      <c r="I435" s="32"/>
    </row>
    <row r="436" spans="1:9" x14ac:dyDescent="0.2">
      <c r="A436" s="11"/>
      <c r="B436" s="11"/>
      <c r="C436" s="11"/>
      <c r="D436" s="19"/>
      <c r="I436" s="32"/>
    </row>
    <row r="437" spans="1:9" x14ac:dyDescent="0.2">
      <c r="A437" s="11"/>
      <c r="B437" s="11"/>
      <c r="C437" s="11"/>
      <c r="D437" s="19"/>
      <c r="I437" s="32"/>
    </row>
    <row r="438" spans="1:9" x14ac:dyDescent="0.2">
      <c r="A438" s="11"/>
      <c r="B438" s="11"/>
      <c r="C438" s="11"/>
      <c r="D438" s="19"/>
      <c r="I438" s="32"/>
    </row>
    <row r="439" spans="1:9" x14ac:dyDescent="0.2">
      <c r="A439" s="11"/>
      <c r="B439" s="11"/>
      <c r="C439" s="11"/>
      <c r="D439" s="19"/>
      <c r="I439" s="32"/>
    </row>
    <row r="440" spans="1:9" x14ac:dyDescent="0.2">
      <c r="A440" s="11"/>
      <c r="B440" s="11"/>
      <c r="C440" s="11"/>
      <c r="D440" s="19"/>
      <c r="I440" s="32"/>
    </row>
    <row r="441" spans="1:9" x14ac:dyDescent="0.2">
      <c r="A441" s="11"/>
      <c r="B441" s="11"/>
      <c r="C441" s="11"/>
      <c r="D441" s="19"/>
      <c r="I441" s="32"/>
    </row>
    <row r="442" spans="1:9" x14ac:dyDescent="0.2">
      <c r="A442" s="11"/>
      <c r="B442" s="11"/>
      <c r="C442" s="11"/>
      <c r="D442" s="19"/>
      <c r="I442" s="32"/>
    </row>
    <row r="443" spans="1:9" x14ac:dyDescent="0.2">
      <c r="A443" s="11"/>
      <c r="B443" s="11"/>
      <c r="C443" s="11"/>
      <c r="D443" s="19"/>
      <c r="I443" s="32"/>
    </row>
    <row r="444" spans="1:9" x14ac:dyDescent="0.2">
      <c r="A444" s="11"/>
      <c r="B444" s="11"/>
      <c r="C444" s="11"/>
      <c r="D444" s="19"/>
      <c r="I444" s="32"/>
    </row>
    <row r="445" spans="1:9" x14ac:dyDescent="0.2">
      <c r="A445" s="11"/>
      <c r="B445" s="11"/>
      <c r="C445" s="11"/>
      <c r="D445" s="19"/>
      <c r="I445" s="32"/>
    </row>
    <row r="446" spans="1:9" x14ac:dyDescent="0.2">
      <c r="A446" s="11"/>
      <c r="B446" s="11"/>
      <c r="C446" s="11"/>
      <c r="D446" s="19"/>
      <c r="I446" s="32"/>
    </row>
    <row r="447" spans="1:9" x14ac:dyDescent="0.2">
      <c r="A447" s="11"/>
      <c r="B447" s="11"/>
      <c r="C447" s="11"/>
      <c r="D447" s="19"/>
      <c r="I447" s="32"/>
    </row>
    <row r="448" spans="1:9" x14ac:dyDescent="0.2">
      <c r="A448" s="11"/>
      <c r="B448" s="11"/>
      <c r="C448" s="11"/>
      <c r="D448" s="19"/>
      <c r="I448" s="32"/>
    </row>
    <row r="449" spans="1:9" x14ac:dyDescent="0.2">
      <c r="A449" s="11"/>
      <c r="B449" s="11"/>
      <c r="C449" s="11"/>
      <c r="D449" s="19"/>
      <c r="I449" s="32"/>
    </row>
    <row r="450" spans="1:9" x14ac:dyDescent="0.2">
      <c r="A450" s="11"/>
      <c r="B450" s="11"/>
      <c r="C450" s="11"/>
      <c r="D450" s="19"/>
      <c r="I450" s="32"/>
    </row>
    <row r="451" spans="1:9" x14ac:dyDescent="0.2">
      <c r="A451" s="11"/>
      <c r="B451" s="11"/>
      <c r="C451" s="11"/>
      <c r="D451" s="19"/>
      <c r="I451" s="32"/>
    </row>
    <row r="452" spans="1:9" x14ac:dyDescent="0.2">
      <c r="A452" s="11"/>
      <c r="B452" s="11"/>
      <c r="C452" s="11"/>
      <c r="D452" s="19"/>
      <c r="I452" s="32"/>
    </row>
    <row r="453" spans="1:9" x14ac:dyDescent="0.2">
      <c r="A453" s="11"/>
      <c r="B453" s="11"/>
      <c r="C453" s="11"/>
      <c r="D453" s="19"/>
      <c r="I453" s="32"/>
    </row>
    <row r="454" spans="1:9" x14ac:dyDescent="0.2">
      <c r="A454" s="11"/>
      <c r="B454" s="11"/>
      <c r="C454" s="11"/>
      <c r="D454" s="19"/>
      <c r="I454" s="32"/>
    </row>
    <row r="455" spans="1:9" x14ac:dyDescent="0.2">
      <c r="A455" s="11"/>
      <c r="B455" s="11"/>
      <c r="C455" s="11"/>
      <c r="D455" s="19"/>
      <c r="I455" s="32"/>
    </row>
    <row r="456" spans="1:9" x14ac:dyDescent="0.2">
      <c r="A456" s="11"/>
      <c r="B456" s="11"/>
      <c r="C456" s="11"/>
      <c r="D456" s="19"/>
      <c r="I456" s="32"/>
    </row>
    <row r="457" spans="1:9" x14ac:dyDescent="0.2">
      <c r="A457" s="11"/>
      <c r="B457" s="11"/>
      <c r="C457" s="11"/>
      <c r="D457" s="19"/>
      <c r="I457" s="32"/>
    </row>
    <row r="458" spans="1:9" x14ac:dyDescent="0.2">
      <c r="A458" s="11"/>
      <c r="B458" s="11"/>
      <c r="C458" s="11"/>
      <c r="D458" s="19"/>
      <c r="I458" s="32"/>
    </row>
    <row r="459" spans="1:9" x14ac:dyDescent="0.2">
      <c r="A459" s="11"/>
      <c r="B459" s="11"/>
      <c r="C459" s="11"/>
      <c r="D459" s="19"/>
      <c r="I459" s="32"/>
    </row>
    <row r="460" spans="1:9" x14ac:dyDescent="0.2">
      <c r="A460" s="11"/>
      <c r="B460" s="11"/>
      <c r="C460" s="11"/>
      <c r="D460" s="19"/>
      <c r="I460" s="32"/>
    </row>
    <row r="461" spans="1:9" x14ac:dyDescent="0.2">
      <c r="A461" s="11"/>
      <c r="B461" s="11"/>
      <c r="C461" s="11"/>
      <c r="D461" s="19"/>
      <c r="I461" s="32"/>
    </row>
    <row r="462" spans="1:9" x14ac:dyDescent="0.2">
      <c r="A462" s="11"/>
      <c r="B462" s="11"/>
      <c r="C462" s="11"/>
      <c r="D462" s="19"/>
      <c r="I462" s="32"/>
    </row>
    <row r="463" spans="1:9" x14ac:dyDescent="0.2">
      <c r="A463" s="11"/>
      <c r="B463" s="11"/>
      <c r="C463" s="11"/>
      <c r="D463" s="19"/>
      <c r="I463" s="32"/>
    </row>
    <row r="464" spans="1:9" x14ac:dyDescent="0.2">
      <c r="A464" s="11"/>
      <c r="B464" s="11"/>
      <c r="C464" s="11"/>
      <c r="D464" s="19"/>
      <c r="I464" s="32"/>
    </row>
    <row r="465" spans="1:9" x14ac:dyDescent="0.2">
      <c r="A465" s="11"/>
      <c r="B465" s="11"/>
      <c r="C465" s="11"/>
      <c r="D465" s="19"/>
      <c r="I465" s="32"/>
    </row>
    <row r="466" spans="1:9" x14ac:dyDescent="0.2">
      <c r="A466" s="11"/>
      <c r="B466" s="11"/>
      <c r="C466" s="11"/>
      <c r="D466" s="19"/>
      <c r="I466" s="32"/>
    </row>
    <row r="467" spans="1:9" x14ac:dyDescent="0.2">
      <c r="A467" s="11"/>
      <c r="B467" s="11"/>
      <c r="C467" s="11"/>
      <c r="D467" s="19"/>
      <c r="I467" s="32"/>
    </row>
    <row r="468" spans="1:9" x14ac:dyDescent="0.2">
      <c r="A468" s="11"/>
      <c r="B468" s="11"/>
      <c r="C468" s="11"/>
      <c r="D468" s="19"/>
      <c r="I468" s="32"/>
    </row>
    <row r="469" spans="1:9" x14ac:dyDescent="0.2">
      <c r="A469" s="11"/>
      <c r="B469" s="11"/>
      <c r="C469" s="11"/>
      <c r="D469" s="19"/>
      <c r="I469" s="32"/>
    </row>
    <row r="470" spans="1:9" x14ac:dyDescent="0.2">
      <c r="A470" s="11"/>
      <c r="B470" s="11"/>
      <c r="C470" s="11"/>
      <c r="D470" s="19"/>
      <c r="I470" s="32"/>
    </row>
    <row r="471" spans="1:9" x14ac:dyDescent="0.2">
      <c r="A471" s="11"/>
      <c r="B471" s="11"/>
      <c r="C471" s="11"/>
      <c r="D471" s="19"/>
      <c r="I471" s="32"/>
    </row>
    <row r="472" spans="1:9" x14ac:dyDescent="0.2">
      <c r="A472" s="11"/>
      <c r="B472" s="11"/>
      <c r="C472" s="11"/>
      <c r="D472" s="19"/>
      <c r="I472" s="32"/>
    </row>
    <row r="473" spans="1:9" x14ac:dyDescent="0.2">
      <c r="A473" s="11"/>
      <c r="B473" s="11"/>
      <c r="C473" s="11"/>
      <c r="D473" s="19"/>
      <c r="I473" s="32"/>
    </row>
    <row r="474" spans="1:9" x14ac:dyDescent="0.2">
      <c r="A474" s="11"/>
      <c r="B474" s="11"/>
      <c r="C474" s="11"/>
      <c r="D474" s="19"/>
      <c r="I474" s="32"/>
    </row>
    <row r="475" spans="1:9" x14ac:dyDescent="0.2">
      <c r="A475" s="11"/>
      <c r="B475" s="11"/>
      <c r="C475" s="11"/>
      <c r="D475" s="19"/>
      <c r="I475" s="32"/>
    </row>
    <row r="476" spans="1:9" x14ac:dyDescent="0.2">
      <c r="A476" s="11"/>
      <c r="B476" s="11"/>
      <c r="C476" s="11"/>
      <c r="D476" s="19"/>
      <c r="I476" s="32"/>
    </row>
    <row r="477" spans="1:9" x14ac:dyDescent="0.2">
      <c r="A477" s="11"/>
      <c r="B477" s="11"/>
      <c r="C477" s="11"/>
      <c r="D477" s="19"/>
      <c r="I477" s="32"/>
    </row>
    <row r="478" spans="1:9" x14ac:dyDescent="0.2">
      <c r="A478" s="11"/>
      <c r="B478" s="11"/>
      <c r="C478" s="11"/>
      <c r="D478" s="19"/>
      <c r="I478" s="32"/>
    </row>
    <row r="479" spans="1:9" x14ac:dyDescent="0.2">
      <c r="A479" s="11"/>
      <c r="B479" s="11"/>
      <c r="C479" s="11"/>
      <c r="D479" s="19"/>
      <c r="I479" s="32"/>
    </row>
    <row r="480" spans="1:9" x14ac:dyDescent="0.2">
      <c r="A480" s="11"/>
      <c r="B480" s="11"/>
      <c r="C480" s="11"/>
      <c r="D480" s="19"/>
      <c r="I480" s="32"/>
    </row>
    <row r="481" spans="1:9" x14ac:dyDescent="0.2">
      <c r="A481" s="11"/>
      <c r="B481" s="11"/>
      <c r="C481" s="11"/>
      <c r="D481" s="19"/>
      <c r="I481" s="32"/>
    </row>
    <row r="482" spans="1:9" x14ac:dyDescent="0.2">
      <c r="A482" s="11"/>
      <c r="B482" s="11"/>
      <c r="C482" s="11"/>
      <c r="D482" s="19"/>
      <c r="I482" s="32"/>
    </row>
    <row r="483" spans="1:9" x14ac:dyDescent="0.2">
      <c r="A483" s="11"/>
      <c r="B483" s="11"/>
      <c r="C483" s="11"/>
      <c r="D483" s="19"/>
      <c r="I483" s="32"/>
    </row>
    <row r="484" spans="1:9" x14ac:dyDescent="0.2">
      <c r="A484" s="11"/>
      <c r="B484" s="11"/>
      <c r="C484" s="11"/>
      <c r="D484" s="19"/>
      <c r="I484" s="32"/>
    </row>
    <row r="485" spans="1:9" x14ac:dyDescent="0.2">
      <c r="A485" s="11"/>
      <c r="B485" s="14"/>
      <c r="C485" s="14"/>
      <c r="D485" s="19"/>
      <c r="I485" s="32"/>
    </row>
    <row r="486" spans="1:9" x14ac:dyDescent="0.2">
      <c r="A486" s="11"/>
      <c r="B486" s="11"/>
      <c r="C486" s="11"/>
      <c r="D486" s="19"/>
      <c r="I486" s="32"/>
    </row>
    <row r="487" spans="1:9" x14ac:dyDescent="0.2">
      <c r="A487" s="11"/>
      <c r="B487" s="11"/>
      <c r="C487" s="11"/>
      <c r="D487" s="19"/>
      <c r="I487" s="32"/>
    </row>
    <row r="488" spans="1:9" x14ac:dyDescent="0.2">
      <c r="A488" s="11"/>
      <c r="B488" s="11"/>
      <c r="C488" s="11"/>
      <c r="D488" s="19"/>
      <c r="I488" s="32"/>
    </row>
    <row r="489" spans="1:9" x14ac:dyDescent="0.2">
      <c r="A489" s="11"/>
      <c r="D489" s="19"/>
      <c r="I489" s="32"/>
    </row>
    <row r="490" spans="1:9" x14ac:dyDescent="0.2">
      <c r="A490" s="11"/>
      <c r="B490" s="11"/>
      <c r="C490" s="11"/>
      <c r="D490" s="19"/>
      <c r="I490" s="32"/>
    </row>
    <row r="491" spans="1:9" x14ac:dyDescent="0.2">
      <c r="A491" s="11"/>
      <c r="B491" s="11"/>
      <c r="C491" s="11"/>
      <c r="D491" s="19"/>
      <c r="I491" s="32"/>
    </row>
    <row r="492" spans="1:9" x14ac:dyDescent="0.2">
      <c r="A492" s="11"/>
      <c r="B492" s="11"/>
      <c r="C492" s="11"/>
      <c r="D492" s="19"/>
      <c r="I492" s="32"/>
    </row>
    <row r="493" spans="1:9" x14ac:dyDescent="0.2">
      <c r="A493" s="11"/>
      <c r="B493" s="11"/>
      <c r="C493" s="11"/>
      <c r="D493" s="19"/>
      <c r="I493" s="32"/>
    </row>
    <row r="494" spans="1:9" x14ac:dyDescent="0.2">
      <c r="A494" s="11"/>
      <c r="B494" s="11"/>
      <c r="C494" s="11"/>
      <c r="D494" s="19"/>
      <c r="I494" s="32"/>
    </row>
    <row r="495" spans="1:9" x14ac:dyDescent="0.2">
      <c r="A495" s="11"/>
      <c r="B495" s="11"/>
      <c r="C495" s="11"/>
      <c r="D495" s="19"/>
      <c r="I495" s="32"/>
    </row>
    <row r="496" spans="1:9" x14ac:dyDescent="0.2">
      <c r="A496" s="11"/>
      <c r="B496" s="11"/>
      <c r="C496" s="11"/>
      <c r="D496" s="19"/>
      <c r="I496" s="32"/>
    </row>
    <row r="497" spans="1:9" x14ac:dyDescent="0.2">
      <c r="A497" s="11"/>
      <c r="B497" s="14"/>
      <c r="C497" s="14"/>
      <c r="D497" s="19"/>
      <c r="I497" s="32"/>
    </row>
    <row r="498" spans="1:9" x14ac:dyDescent="0.2">
      <c r="A498" s="11"/>
      <c r="B498" s="11"/>
      <c r="C498" s="11"/>
      <c r="D498" s="19"/>
      <c r="I498" s="32"/>
    </row>
    <row r="499" spans="1:9" x14ac:dyDescent="0.2">
      <c r="A499" s="11"/>
      <c r="B499" s="11"/>
      <c r="C499" s="11"/>
      <c r="D499" s="19"/>
      <c r="I499" s="32"/>
    </row>
    <row r="500" spans="1:9" x14ac:dyDescent="0.2">
      <c r="A500" s="11"/>
      <c r="B500" s="14"/>
      <c r="C500" s="14"/>
      <c r="D500" s="19"/>
      <c r="I500" s="32"/>
    </row>
    <row r="501" spans="1:9" x14ac:dyDescent="0.2">
      <c r="A501" s="11"/>
      <c r="B501" s="11"/>
      <c r="C501" s="11"/>
      <c r="D501" s="19"/>
      <c r="I501" s="32"/>
    </row>
    <row r="502" spans="1:9" x14ac:dyDescent="0.2">
      <c r="A502" s="11"/>
      <c r="B502" s="14"/>
      <c r="C502" s="14"/>
      <c r="D502" s="19"/>
      <c r="I502" s="32"/>
    </row>
    <row r="503" spans="1:9" x14ac:dyDescent="0.2">
      <c r="A503" s="11"/>
      <c r="B503" s="11"/>
      <c r="C503" s="11"/>
      <c r="D503" s="19"/>
      <c r="I503" s="32"/>
    </row>
    <row r="504" spans="1:9" x14ac:dyDescent="0.2">
      <c r="A504" s="11"/>
      <c r="B504" s="14"/>
      <c r="C504" s="14"/>
      <c r="D504" s="19"/>
      <c r="I504" s="32"/>
    </row>
    <row r="505" spans="1:9" x14ac:dyDescent="0.2">
      <c r="A505" s="11"/>
      <c r="B505" s="11"/>
      <c r="C505" s="11"/>
      <c r="D505" s="19"/>
      <c r="I505" s="32"/>
    </row>
    <row r="506" spans="1:9" x14ac:dyDescent="0.2">
      <c r="A506" s="11"/>
      <c r="B506" s="11"/>
      <c r="C506" s="11"/>
      <c r="D506" s="19"/>
      <c r="I506" s="32"/>
    </row>
    <row r="507" spans="1:9" x14ac:dyDescent="0.2">
      <c r="A507" s="11"/>
      <c r="B507" s="14"/>
      <c r="C507" s="14"/>
      <c r="D507" s="19"/>
      <c r="I507" s="32"/>
    </row>
    <row r="508" spans="1:9" x14ac:dyDescent="0.2">
      <c r="A508" s="11"/>
      <c r="B508" s="11"/>
      <c r="C508" s="11"/>
      <c r="D508" s="19"/>
      <c r="I508" s="32"/>
    </row>
    <row r="509" spans="1:9" x14ac:dyDescent="0.2">
      <c r="A509" s="11"/>
      <c r="B509" s="11"/>
      <c r="C509" s="11"/>
      <c r="D509" s="19"/>
      <c r="I509" s="32"/>
    </row>
    <row r="510" spans="1:9" x14ac:dyDescent="0.2">
      <c r="A510" s="11"/>
      <c r="B510" s="11"/>
      <c r="C510" s="11"/>
      <c r="D510" s="19"/>
      <c r="I510" s="32"/>
    </row>
    <row r="511" spans="1:9" x14ac:dyDescent="0.2">
      <c r="A511" s="11"/>
      <c r="B511" s="11"/>
      <c r="C511" s="11"/>
      <c r="D511" s="19"/>
      <c r="I511" s="32"/>
    </row>
    <row r="512" spans="1:9" x14ac:dyDescent="0.2">
      <c r="A512" s="11"/>
      <c r="B512" s="11"/>
      <c r="C512" s="11"/>
      <c r="D512" s="19"/>
      <c r="I512" s="32"/>
    </row>
    <row r="513" spans="1:9" x14ac:dyDescent="0.2">
      <c r="A513" s="11"/>
      <c r="B513" s="11"/>
      <c r="C513" s="11"/>
      <c r="D513" s="19"/>
      <c r="I513" s="32"/>
    </row>
    <row r="514" spans="1:9" x14ac:dyDescent="0.2">
      <c r="A514" s="11"/>
      <c r="B514" s="11"/>
      <c r="C514" s="11"/>
      <c r="D514" s="19"/>
      <c r="I514" s="32"/>
    </row>
    <row r="515" spans="1:9" x14ac:dyDescent="0.2">
      <c r="A515" s="11"/>
      <c r="B515" s="11"/>
      <c r="C515" s="11"/>
      <c r="D515" s="19"/>
      <c r="I515" s="32"/>
    </row>
    <row r="516" spans="1:9" x14ac:dyDescent="0.2">
      <c r="A516" s="11"/>
      <c r="B516" s="11"/>
      <c r="C516" s="11"/>
      <c r="D516" s="19"/>
      <c r="I516" s="32"/>
    </row>
    <row r="517" spans="1:9" x14ac:dyDescent="0.2">
      <c r="A517" s="11"/>
      <c r="B517" s="11"/>
      <c r="C517" s="11"/>
      <c r="D517" s="19"/>
      <c r="I517" s="32"/>
    </row>
    <row r="518" spans="1:9" x14ac:dyDescent="0.2">
      <c r="A518" s="11"/>
      <c r="B518" s="11"/>
      <c r="C518" s="11"/>
      <c r="D518" s="19"/>
      <c r="I518" s="32"/>
    </row>
    <row r="519" spans="1:9" x14ac:dyDescent="0.2">
      <c r="A519" s="11"/>
      <c r="B519" s="11"/>
      <c r="C519" s="11"/>
      <c r="D519" s="19"/>
      <c r="I519" s="32"/>
    </row>
    <row r="520" spans="1:9" x14ac:dyDescent="0.2">
      <c r="A520" s="11"/>
      <c r="B520" s="11"/>
      <c r="C520" s="11"/>
      <c r="D520" s="19"/>
      <c r="I520" s="32"/>
    </row>
    <row r="521" spans="1:9" x14ac:dyDescent="0.2">
      <c r="A521" s="11"/>
      <c r="B521" s="11"/>
      <c r="C521" s="11"/>
      <c r="D521" s="19"/>
      <c r="I521" s="32"/>
    </row>
    <row r="522" spans="1:9" x14ac:dyDescent="0.2">
      <c r="A522" s="11"/>
      <c r="B522" s="11"/>
      <c r="C522" s="11"/>
      <c r="D522" s="19"/>
      <c r="I522" s="32"/>
    </row>
    <row r="523" spans="1:9" x14ac:dyDescent="0.2">
      <c r="A523" s="11"/>
      <c r="B523" s="11"/>
      <c r="C523" s="11"/>
      <c r="D523" s="19"/>
      <c r="I523" s="32"/>
    </row>
    <row r="524" spans="1:9" x14ac:dyDescent="0.2">
      <c r="A524" s="11"/>
      <c r="B524" s="11"/>
      <c r="C524" s="11"/>
      <c r="D524" s="19"/>
      <c r="I524" s="32"/>
    </row>
    <row r="525" spans="1:9" x14ac:dyDescent="0.2">
      <c r="A525" s="11"/>
      <c r="B525" s="11"/>
      <c r="C525" s="11"/>
      <c r="D525" s="19"/>
      <c r="I525" s="32"/>
    </row>
    <row r="526" spans="1:9" x14ac:dyDescent="0.2">
      <c r="A526" s="11"/>
      <c r="B526" s="11"/>
      <c r="C526" s="11"/>
      <c r="D526" s="19"/>
      <c r="I526" s="32"/>
    </row>
    <row r="527" spans="1:9" x14ac:dyDescent="0.2">
      <c r="A527" s="11"/>
      <c r="B527" s="11"/>
      <c r="C527" s="11"/>
      <c r="D527" s="19"/>
      <c r="I527" s="32"/>
    </row>
    <row r="528" spans="1:9" x14ac:dyDescent="0.2">
      <c r="A528" s="11"/>
      <c r="B528" s="11"/>
      <c r="C528" s="11"/>
      <c r="D528" s="19"/>
      <c r="I528" s="32"/>
    </row>
    <row r="529" spans="1:9" x14ac:dyDescent="0.2">
      <c r="A529" s="11"/>
      <c r="B529" s="11"/>
      <c r="C529" s="11"/>
      <c r="D529" s="19"/>
      <c r="I529" s="32"/>
    </row>
    <row r="530" spans="1:9" x14ac:dyDescent="0.2">
      <c r="A530" s="11"/>
      <c r="B530" s="11"/>
      <c r="C530" s="11"/>
      <c r="D530" s="19"/>
      <c r="I530" s="32"/>
    </row>
    <row r="531" spans="1:9" x14ac:dyDescent="0.2">
      <c r="A531" s="11"/>
      <c r="B531" s="11"/>
      <c r="C531" s="11"/>
      <c r="D531" s="19"/>
      <c r="I531" s="32"/>
    </row>
    <row r="532" spans="1:9" x14ac:dyDescent="0.2">
      <c r="A532" s="11"/>
      <c r="B532" s="11"/>
      <c r="C532" s="11"/>
      <c r="D532" s="19"/>
      <c r="I532" s="32"/>
    </row>
    <row r="533" spans="1:9" x14ac:dyDescent="0.2">
      <c r="A533" s="11"/>
      <c r="B533" s="11"/>
      <c r="C533" s="11"/>
      <c r="D533" s="19"/>
      <c r="I533" s="32"/>
    </row>
    <row r="534" spans="1:9" x14ac:dyDescent="0.2">
      <c r="A534" s="11"/>
      <c r="B534" s="11"/>
      <c r="C534" s="11"/>
      <c r="D534" s="19"/>
      <c r="I534" s="32"/>
    </row>
    <row r="535" spans="1:9" x14ac:dyDescent="0.2">
      <c r="A535" s="11"/>
      <c r="B535" s="11"/>
      <c r="C535" s="11"/>
      <c r="D535" s="19"/>
      <c r="I535" s="32"/>
    </row>
    <row r="536" spans="1:9" x14ac:dyDescent="0.2">
      <c r="A536" s="11"/>
      <c r="B536" s="11"/>
      <c r="C536" s="11"/>
      <c r="D536" s="19"/>
      <c r="I536" s="32"/>
    </row>
    <row r="537" spans="1:9" x14ac:dyDescent="0.2">
      <c r="A537" s="11"/>
      <c r="B537" s="11"/>
      <c r="C537" s="11"/>
      <c r="D537" s="19"/>
      <c r="I537" s="32"/>
    </row>
    <row r="538" spans="1:9" x14ac:dyDescent="0.2">
      <c r="A538" s="11"/>
      <c r="B538" s="11"/>
      <c r="C538" s="11"/>
      <c r="D538" s="19"/>
      <c r="I538" s="32"/>
    </row>
    <row r="539" spans="1:9" x14ac:dyDescent="0.2">
      <c r="A539" s="11"/>
      <c r="B539" s="11"/>
      <c r="C539" s="11"/>
      <c r="D539" s="19"/>
      <c r="I539" s="32"/>
    </row>
    <row r="540" spans="1:9" x14ac:dyDescent="0.2">
      <c r="A540" s="11"/>
      <c r="B540" s="11"/>
      <c r="C540" s="11"/>
      <c r="D540" s="19"/>
      <c r="I540" s="32"/>
    </row>
    <row r="541" spans="1:9" x14ac:dyDescent="0.2">
      <c r="A541" s="11"/>
      <c r="B541" s="11"/>
      <c r="C541" s="11"/>
      <c r="D541" s="19"/>
      <c r="I541" s="32"/>
    </row>
    <row r="542" spans="1:9" x14ac:dyDescent="0.2">
      <c r="A542" s="11"/>
      <c r="B542" s="11"/>
      <c r="C542" s="11"/>
      <c r="D542" s="19"/>
      <c r="I542" s="32"/>
    </row>
    <row r="543" spans="1:9" x14ac:dyDescent="0.2">
      <c r="A543" s="11"/>
      <c r="B543" s="11"/>
      <c r="C543" s="11"/>
      <c r="D543" s="19"/>
      <c r="I543" s="32"/>
    </row>
    <row r="544" spans="1:9" x14ac:dyDescent="0.2">
      <c r="A544" s="11"/>
      <c r="B544" s="11"/>
      <c r="C544" s="11"/>
      <c r="D544" s="19"/>
      <c r="I544" s="32"/>
    </row>
    <row r="545" spans="1:9" x14ac:dyDescent="0.2">
      <c r="A545" s="11"/>
      <c r="B545" s="11"/>
      <c r="C545" s="11"/>
      <c r="D545" s="19"/>
      <c r="I545" s="32"/>
    </row>
    <row r="546" spans="1:9" x14ac:dyDescent="0.2">
      <c r="A546" s="11"/>
      <c r="B546" s="11"/>
      <c r="C546" s="11"/>
      <c r="D546" s="19"/>
      <c r="I546" s="32"/>
    </row>
    <row r="547" spans="1:9" x14ac:dyDescent="0.2">
      <c r="A547" s="11"/>
      <c r="B547" s="11"/>
      <c r="C547" s="11"/>
      <c r="D547" s="19"/>
      <c r="I547" s="32"/>
    </row>
    <row r="548" spans="1:9" x14ac:dyDescent="0.2">
      <c r="A548" s="11"/>
      <c r="B548" s="11"/>
      <c r="C548" s="11"/>
      <c r="D548" s="19"/>
      <c r="I548" s="32"/>
    </row>
    <row r="549" spans="1:9" x14ac:dyDescent="0.2">
      <c r="A549" s="11"/>
      <c r="B549" s="11"/>
      <c r="C549" s="11"/>
      <c r="D549" s="19"/>
      <c r="I549" s="32"/>
    </row>
    <row r="550" spans="1:9" x14ac:dyDescent="0.2">
      <c r="A550" s="11"/>
      <c r="B550" s="11"/>
      <c r="C550" s="11"/>
      <c r="D550" s="19"/>
      <c r="I550" s="32"/>
    </row>
    <row r="551" spans="1:9" x14ac:dyDescent="0.2">
      <c r="A551" s="11"/>
      <c r="B551" s="11"/>
      <c r="C551" s="11"/>
      <c r="D551" s="19"/>
      <c r="I551" s="32"/>
    </row>
    <row r="552" spans="1:9" x14ac:dyDescent="0.2">
      <c r="A552" s="11"/>
      <c r="B552" s="11"/>
      <c r="C552" s="11"/>
      <c r="D552" s="19"/>
      <c r="I552" s="32"/>
    </row>
    <row r="553" spans="1:9" x14ac:dyDescent="0.2">
      <c r="A553" s="11"/>
      <c r="B553" s="11"/>
      <c r="C553" s="11"/>
      <c r="D553" s="19"/>
      <c r="I553" s="32"/>
    </row>
    <row r="554" spans="1:9" x14ac:dyDescent="0.2">
      <c r="A554" s="11"/>
      <c r="B554" s="11"/>
      <c r="C554" s="11"/>
      <c r="D554" s="19"/>
      <c r="I554" s="32"/>
    </row>
    <row r="555" spans="1:9" x14ac:dyDescent="0.2">
      <c r="A555" s="11"/>
      <c r="B555" s="11"/>
      <c r="C555" s="11"/>
      <c r="D555" s="19"/>
      <c r="I555" s="32"/>
    </row>
    <row r="556" spans="1:9" x14ac:dyDescent="0.2">
      <c r="A556" s="11"/>
      <c r="B556" s="11"/>
      <c r="C556" s="11"/>
      <c r="D556" s="19"/>
      <c r="I556" s="32"/>
    </row>
    <row r="557" spans="1:9" x14ac:dyDescent="0.2">
      <c r="A557" s="11"/>
      <c r="B557" s="11"/>
      <c r="C557" s="11"/>
      <c r="D557" s="19"/>
      <c r="I557" s="32"/>
    </row>
    <row r="558" spans="1:9" x14ac:dyDescent="0.2">
      <c r="A558" s="11"/>
      <c r="B558" s="11"/>
      <c r="C558" s="11"/>
      <c r="D558" s="19"/>
      <c r="I558" s="32"/>
    </row>
    <row r="559" spans="1:9" x14ac:dyDescent="0.2">
      <c r="A559" s="11"/>
      <c r="B559" s="11"/>
      <c r="C559" s="11"/>
      <c r="D559" s="19"/>
      <c r="I559" s="32"/>
    </row>
    <row r="560" spans="1:9" x14ac:dyDescent="0.2">
      <c r="A560" s="11"/>
      <c r="B560" s="11"/>
      <c r="C560" s="11"/>
      <c r="D560" s="19"/>
      <c r="I560" s="32"/>
    </row>
    <row r="561" spans="1:9" x14ac:dyDescent="0.2">
      <c r="A561" s="11"/>
      <c r="B561" s="11"/>
      <c r="C561" s="11"/>
      <c r="D561" s="19"/>
      <c r="I561" s="32"/>
    </row>
    <row r="562" spans="1:9" x14ac:dyDescent="0.2">
      <c r="A562" s="11"/>
      <c r="B562" s="11"/>
      <c r="C562" s="11"/>
      <c r="D562" s="19"/>
      <c r="I562" s="32"/>
    </row>
    <row r="563" spans="1:9" x14ac:dyDescent="0.2">
      <c r="A563" s="11"/>
      <c r="B563" s="11"/>
      <c r="C563" s="11"/>
      <c r="D563" s="19"/>
      <c r="I563" s="32"/>
    </row>
    <row r="564" spans="1:9" x14ac:dyDescent="0.2">
      <c r="A564" s="11"/>
      <c r="B564" s="11"/>
      <c r="C564" s="11"/>
      <c r="D564" s="19"/>
      <c r="I564" s="32"/>
    </row>
    <row r="565" spans="1:9" x14ac:dyDescent="0.2">
      <c r="A565" s="11"/>
      <c r="B565" s="11"/>
      <c r="C565" s="11"/>
      <c r="D565" s="19"/>
      <c r="I565" s="32"/>
    </row>
    <row r="566" spans="1:9" x14ac:dyDescent="0.2">
      <c r="A566" s="11"/>
      <c r="B566" s="11"/>
      <c r="C566" s="11"/>
      <c r="D566" s="19"/>
      <c r="I566" s="32"/>
    </row>
    <row r="567" spans="1:9" x14ac:dyDescent="0.2">
      <c r="A567" s="11"/>
      <c r="B567" s="11"/>
      <c r="C567" s="11"/>
      <c r="D567" s="19"/>
      <c r="I567" s="32"/>
    </row>
    <row r="568" spans="1:9" x14ac:dyDescent="0.2">
      <c r="A568" s="11"/>
      <c r="B568" s="11"/>
      <c r="C568" s="11"/>
      <c r="D568" s="19"/>
      <c r="I568" s="32"/>
    </row>
    <row r="569" spans="1:9" x14ac:dyDescent="0.2">
      <c r="A569" s="11"/>
      <c r="B569" s="11"/>
      <c r="C569" s="11"/>
      <c r="D569" s="19"/>
      <c r="I569" s="32"/>
    </row>
    <row r="570" spans="1:9" x14ac:dyDescent="0.2">
      <c r="A570" s="11"/>
      <c r="B570" s="11"/>
      <c r="C570" s="11"/>
      <c r="D570" s="19"/>
      <c r="I570" s="32"/>
    </row>
    <row r="571" spans="1:9" x14ac:dyDescent="0.2">
      <c r="A571" s="11"/>
      <c r="B571" s="11"/>
      <c r="C571" s="11"/>
      <c r="D571" s="19"/>
      <c r="I571" s="32"/>
    </row>
    <row r="572" spans="1:9" x14ac:dyDescent="0.2">
      <c r="A572" s="11"/>
      <c r="B572" s="11"/>
      <c r="C572" s="11"/>
      <c r="D572" s="19"/>
      <c r="I572" s="32"/>
    </row>
    <row r="573" spans="1:9" x14ac:dyDescent="0.2">
      <c r="A573" s="11"/>
      <c r="B573" s="11"/>
      <c r="C573" s="11"/>
      <c r="D573" s="19"/>
      <c r="I573" s="32"/>
    </row>
    <row r="574" spans="1:9" x14ac:dyDescent="0.2">
      <c r="A574" s="11"/>
      <c r="B574" s="11"/>
      <c r="C574" s="11"/>
      <c r="D574" s="19"/>
      <c r="I574" s="32"/>
    </row>
    <row r="575" spans="1:9" x14ac:dyDescent="0.2">
      <c r="A575" s="11"/>
      <c r="B575" s="11"/>
      <c r="C575" s="11"/>
      <c r="D575" s="19"/>
      <c r="I575" s="32"/>
    </row>
    <row r="576" spans="1:9" x14ac:dyDescent="0.2">
      <c r="A576" s="11"/>
      <c r="B576" s="14"/>
      <c r="C576" s="14"/>
      <c r="D576" s="19"/>
      <c r="I576" s="32"/>
    </row>
    <row r="577" spans="1:9" x14ac:dyDescent="0.2">
      <c r="A577" s="11"/>
      <c r="B577" s="11"/>
      <c r="C577" s="11"/>
      <c r="D577" s="19"/>
      <c r="I577" s="32"/>
    </row>
    <row r="578" spans="1:9" x14ac:dyDescent="0.2">
      <c r="A578" s="11"/>
      <c r="B578" s="11"/>
      <c r="C578" s="11"/>
      <c r="D578" s="19"/>
      <c r="I578" s="32"/>
    </row>
    <row r="579" spans="1:9" x14ac:dyDescent="0.2">
      <c r="A579" s="11"/>
      <c r="B579" s="11"/>
      <c r="C579" s="11"/>
      <c r="D579" s="19"/>
      <c r="I579" s="32"/>
    </row>
    <row r="580" spans="1:9" x14ac:dyDescent="0.2">
      <c r="A580" s="11"/>
      <c r="B580" s="11"/>
      <c r="C580" s="11"/>
      <c r="D580" s="19"/>
      <c r="I580" s="32"/>
    </row>
    <row r="581" spans="1:9" x14ac:dyDescent="0.2">
      <c r="A581" s="11"/>
      <c r="B581" s="11"/>
      <c r="C581" s="11"/>
      <c r="D581" s="19"/>
      <c r="I581" s="32"/>
    </row>
    <row r="582" spans="1:9" x14ac:dyDescent="0.2">
      <c r="A582" s="11"/>
      <c r="B582" s="11"/>
      <c r="C582" s="11"/>
      <c r="D582" s="19"/>
      <c r="I582" s="32"/>
    </row>
    <row r="583" spans="1:9" x14ac:dyDescent="0.2">
      <c r="A583" s="11"/>
      <c r="B583" s="11"/>
      <c r="C583" s="11"/>
      <c r="D583" s="19"/>
      <c r="I583" s="32"/>
    </row>
    <row r="584" spans="1:9" x14ac:dyDescent="0.2">
      <c r="A584" s="11"/>
      <c r="B584" s="11"/>
      <c r="C584" s="11"/>
      <c r="D584" s="19"/>
      <c r="I584" s="32"/>
    </row>
    <row r="585" spans="1:9" x14ac:dyDescent="0.2">
      <c r="A585" s="11"/>
      <c r="B585" s="11"/>
      <c r="C585" s="11"/>
      <c r="D585" s="19"/>
      <c r="I585" s="32"/>
    </row>
    <row r="586" spans="1:9" x14ac:dyDescent="0.2">
      <c r="A586" s="11"/>
      <c r="B586" s="11"/>
      <c r="C586" s="11"/>
      <c r="D586" s="19"/>
      <c r="I586" s="32"/>
    </row>
    <row r="587" spans="1:9" x14ac:dyDescent="0.2">
      <c r="A587" s="11"/>
      <c r="B587" s="14"/>
      <c r="C587" s="14"/>
      <c r="D587" s="19"/>
      <c r="I587" s="32"/>
    </row>
    <row r="588" spans="1:9" x14ac:dyDescent="0.2">
      <c r="A588" s="11"/>
      <c r="B588" s="11"/>
      <c r="C588" s="11"/>
      <c r="D588" s="19"/>
      <c r="I588" s="32"/>
    </row>
    <row r="589" spans="1:9" x14ac:dyDescent="0.2">
      <c r="A589" s="11"/>
      <c r="B589" s="14"/>
      <c r="C589" s="14"/>
      <c r="D589" s="19"/>
      <c r="I589" s="32"/>
    </row>
    <row r="590" spans="1:9" x14ac:dyDescent="0.2">
      <c r="A590" s="11"/>
      <c r="B590" s="11"/>
      <c r="C590" s="11"/>
      <c r="D590" s="19"/>
      <c r="I590" s="32"/>
    </row>
    <row r="591" spans="1:9" x14ac:dyDescent="0.2">
      <c r="A591" s="11"/>
      <c r="B591" s="11"/>
      <c r="C591" s="11"/>
      <c r="D591" s="19"/>
      <c r="I591" s="32"/>
    </row>
    <row r="592" spans="1:9" x14ac:dyDescent="0.2">
      <c r="A592" s="11"/>
      <c r="B592" s="14"/>
      <c r="C592" s="14"/>
      <c r="D592" s="19"/>
      <c r="I592" s="32"/>
    </row>
    <row r="593" spans="1:9" x14ac:dyDescent="0.2">
      <c r="A593" s="11"/>
      <c r="B593" s="11"/>
      <c r="C593" s="11"/>
      <c r="D593" s="19"/>
      <c r="I593" s="32"/>
    </row>
    <row r="594" spans="1:9" x14ac:dyDescent="0.2">
      <c r="A594" s="11"/>
      <c r="B594" s="11"/>
      <c r="C594" s="11"/>
      <c r="D594" s="19"/>
      <c r="I594" s="32"/>
    </row>
    <row r="595" spans="1:9" x14ac:dyDescent="0.2">
      <c r="A595" s="11"/>
      <c r="B595" s="11"/>
      <c r="C595" s="11"/>
      <c r="D595" s="19"/>
      <c r="I595" s="32"/>
    </row>
    <row r="596" spans="1:9" x14ac:dyDescent="0.2">
      <c r="A596" s="11"/>
      <c r="B596" s="14"/>
      <c r="C596" s="14"/>
      <c r="D596" s="19"/>
      <c r="I596" s="32"/>
    </row>
    <row r="597" spans="1:9" x14ac:dyDescent="0.2">
      <c r="A597" s="11"/>
      <c r="B597" s="11"/>
      <c r="C597" s="11"/>
      <c r="D597" s="19"/>
      <c r="I597" s="32"/>
    </row>
    <row r="598" spans="1:9" x14ac:dyDescent="0.2">
      <c r="A598" s="11"/>
      <c r="D598" s="19"/>
      <c r="I598" s="32"/>
    </row>
    <row r="599" spans="1:9" x14ac:dyDescent="0.2">
      <c r="A599" s="11"/>
      <c r="B599" s="11"/>
      <c r="C599" s="11"/>
      <c r="D599" s="19"/>
      <c r="I599" s="32"/>
    </row>
    <row r="600" spans="1:9" x14ac:dyDescent="0.2">
      <c r="A600" s="11"/>
      <c r="B600" s="11"/>
      <c r="C600" s="11"/>
      <c r="D600" s="19"/>
      <c r="I600" s="32"/>
    </row>
    <row r="601" spans="1:9" x14ac:dyDescent="0.2">
      <c r="A601" s="11"/>
      <c r="B601" s="11"/>
      <c r="C601" s="11"/>
      <c r="D601" s="19"/>
      <c r="I601" s="32"/>
    </row>
    <row r="602" spans="1:9" x14ac:dyDescent="0.2">
      <c r="A602" s="11"/>
      <c r="B602" s="14"/>
      <c r="C602" s="14"/>
      <c r="D602" s="19"/>
      <c r="I602" s="32"/>
    </row>
    <row r="603" spans="1:9" x14ac:dyDescent="0.2">
      <c r="A603" s="11"/>
      <c r="B603" s="11"/>
      <c r="C603" s="11"/>
      <c r="D603" s="19"/>
      <c r="I603" s="32"/>
    </row>
    <row r="604" spans="1:9" x14ac:dyDescent="0.2">
      <c r="A604" s="11"/>
      <c r="B604" s="14"/>
      <c r="C604" s="14"/>
      <c r="D604" s="19"/>
      <c r="I604" s="32"/>
    </row>
    <row r="605" spans="1:9" x14ac:dyDescent="0.2">
      <c r="A605" s="11"/>
      <c r="B605" s="11"/>
      <c r="C605" s="11"/>
      <c r="D605" s="19"/>
      <c r="I605" s="32"/>
    </row>
    <row r="606" spans="1:9" x14ac:dyDescent="0.2">
      <c r="A606" s="11"/>
      <c r="B606" s="11"/>
      <c r="C606" s="11"/>
      <c r="D606" s="19"/>
      <c r="I606" s="32"/>
    </row>
    <row r="607" spans="1:9" x14ac:dyDescent="0.2">
      <c r="A607" s="11"/>
      <c r="B607" s="11"/>
      <c r="C607" s="11"/>
      <c r="D607" s="19"/>
      <c r="I607" s="32"/>
    </row>
    <row r="608" spans="1:9" x14ac:dyDescent="0.2">
      <c r="A608" s="11"/>
      <c r="B608" s="11"/>
      <c r="C608" s="11"/>
      <c r="D608" s="19"/>
      <c r="I608" s="32"/>
    </row>
    <row r="609" spans="1:9" x14ac:dyDescent="0.2">
      <c r="A609" s="11"/>
      <c r="B609" s="11"/>
      <c r="C609" s="11"/>
      <c r="D609" s="19"/>
      <c r="I609" s="32"/>
    </row>
    <row r="610" spans="1:9" x14ac:dyDescent="0.2">
      <c r="A610" s="11"/>
      <c r="B610" s="11"/>
      <c r="C610" s="11"/>
      <c r="D610" s="19"/>
      <c r="I610" s="32"/>
    </row>
    <row r="611" spans="1:9" x14ac:dyDescent="0.2">
      <c r="A611" s="11"/>
      <c r="B611" s="11"/>
      <c r="C611" s="11"/>
      <c r="D611" s="19"/>
      <c r="I611" s="32"/>
    </row>
    <row r="612" spans="1:9" x14ac:dyDescent="0.2">
      <c r="A612" s="11"/>
      <c r="B612" s="11"/>
      <c r="C612" s="11"/>
      <c r="D612" s="19"/>
      <c r="I612" s="32"/>
    </row>
    <row r="613" spans="1:9" x14ac:dyDescent="0.2">
      <c r="A613" s="11"/>
      <c r="B613" s="11"/>
      <c r="C613" s="11"/>
      <c r="D613" s="19"/>
      <c r="I613" s="32"/>
    </row>
    <row r="614" spans="1:9" x14ac:dyDescent="0.2">
      <c r="A614" s="11"/>
      <c r="B614" s="11"/>
      <c r="C614" s="11"/>
      <c r="D614" s="19"/>
      <c r="I614" s="32"/>
    </row>
    <row r="615" spans="1:9" x14ac:dyDescent="0.2">
      <c r="A615" s="11"/>
      <c r="B615" s="11"/>
      <c r="C615" s="11"/>
      <c r="D615" s="19"/>
      <c r="I615" s="32"/>
    </row>
    <row r="616" spans="1:9" x14ac:dyDescent="0.2">
      <c r="A616" s="11"/>
      <c r="B616" s="11"/>
      <c r="C616" s="11"/>
      <c r="D616" s="19"/>
      <c r="I616" s="32"/>
    </row>
    <row r="617" spans="1:9" x14ac:dyDescent="0.2">
      <c r="A617" s="11"/>
      <c r="B617" s="11"/>
      <c r="C617" s="11"/>
      <c r="D617" s="19"/>
      <c r="I617" s="32"/>
    </row>
    <row r="618" spans="1:9" x14ac:dyDescent="0.2">
      <c r="A618" s="11"/>
      <c r="B618" s="11"/>
      <c r="C618" s="11"/>
      <c r="D618" s="19"/>
      <c r="I618" s="32"/>
    </row>
    <row r="619" spans="1:9" x14ac:dyDescent="0.2">
      <c r="A619" s="11"/>
      <c r="B619" s="11"/>
      <c r="C619" s="11"/>
      <c r="D619" s="19"/>
      <c r="I619" s="32"/>
    </row>
    <row r="620" spans="1:9" x14ac:dyDescent="0.2">
      <c r="A620" s="11"/>
      <c r="B620" s="11"/>
      <c r="C620" s="11"/>
      <c r="D620" s="19"/>
      <c r="I620" s="32"/>
    </row>
    <row r="621" spans="1:9" x14ac:dyDescent="0.2">
      <c r="A621" s="11"/>
      <c r="B621" s="11"/>
      <c r="C621" s="11"/>
      <c r="D621" s="19"/>
      <c r="I621" s="32"/>
    </row>
    <row r="622" spans="1:9" x14ac:dyDescent="0.2">
      <c r="A622" s="11"/>
      <c r="B622" s="11"/>
      <c r="C622" s="11"/>
      <c r="D622" s="19"/>
      <c r="I622" s="32"/>
    </row>
    <row r="623" spans="1:9" x14ac:dyDescent="0.2">
      <c r="A623" s="11"/>
      <c r="B623" s="11"/>
      <c r="C623" s="11"/>
      <c r="D623" s="19"/>
      <c r="I623" s="32"/>
    </row>
    <row r="624" spans="1:9" x14ac:dyDescent="0.2">
      <c r="A624" s="11"/>
      <c r="B624" s="11"/>
      <c r="C624" s="11"/>
      <c r="D624" s="19"/>
      <c r="I624" s="32"/>
    </row>
    <row r="625" spans="1:9" x14ac:dyDescent="0.2">
      <c r="A625" s="11"/>
      <c r="B625" s="11"/>
      <c r="C625" s="11"/>
      <c r="D625" s="19"/>
      <c r="I625" s="32"/>
    </row>
    <row r="626" spans="1:9" x14ac:dyDescent="0.2">
      <c r="A626" s="11"/>
      <c r="B626" s="11"/>
      <c r="C626" s="11"/>
      <c r="D626" s="19"/>
      <c r="I626" s="32"/>
    </row>
    <row r="627" spans="1:9" x14ac:dyDescent="0.2">
      <c r="A627" s="11"/>
      <c r="B627" s="11"/>
      <c r="C627" s="11"/>
      <c r="D627" s="19"/>
      <c r="I627" s="32"/>
    </row>
    <row r="628" spans="1:9" x14ac:dyDescent="0.2">
      <c r="A628" s="11"/>
      <c r="B628" s="11"/>
      <c r="C628" s="11"/>
      <c r="D628" s="19"/>
      <c r="I628" s="32"/>
    </row>
    <row r="629" spans="1:9" x14ac:dyDescent="0.2">
      <c r="A629" s="11"/>
      <c r="B629" s="11"/>
      <c r="C629" s="11"/>
      <c r="D629" s="19"/>
      <c r="I629" s="32"/>
    </row>
    <row r="630" spans="1:9" x14ac:dyDescent="0.2">
      <c r="A630" s="11"/>
      <c r="B630" s="11"/>
      <c r="C630" s="11"/>
      <c r="D630" s="19"/>
      <c r="I630" s="32"/>
    </row>
    <row r="631" spans="1:9" x14ac:dyDescent="0.2">
      <c r="A631" s="11"/>
      <c r="B631" s="11"/>
      <c r="C631" s="11"/>
      <c r="D631" s="19"/>
      <c r="I631" s="32"/>
    </row>
    <row r="632" spans="1:9" x14ac:dyDescent="0.2">
      <c r="A632" s="11"/>
      <c r="B632" s="11"/>
      <c r="C632" s="11"/>
      <c r="D632" s="19"/>
      <c r="I632" s="32"/>
    </row>
    <row r="633" spans="1:9" x14ac:dyDescent="0.2">
      <c r="A633" s="11"/>
      <c r="B633" s="11"/>
      <c r="C633" s="11"/>
      <c r="D633" s="19"/>
      <c r="I633" s="32"/>
    </row>
    <row r="634" spans="1:9" x14ac:dyDescent="0.2">
      <c r="A634" s="11"/>
      <c r="B634" s="11"/>
      <c r="C634" s="11"/>
      <c r="D634" s="19"/>
      <c r="I634" s="32"/>
    </row>
    <row r="635" spans="1:9" x14ac:dyDescent="0.2">
      <c r="A635" s="11"/>
      <c r="B635" s="11"/>
      <c r="C635" s="11"/>
      <c r="D635" s="19"/>
      <c r="I635" s="32"/>
    </row>
    <row r="636" spans="1:9" x14ac:dyDescent="0.2">
      <c r="A636" s="11"/>
      <c r="B636" s="11"/>
      <c r="C636" s="11"/>
      <c r="D636" s="19"/>
      <c r="I636" s="32"/>
    </row>
    <row r="637" spans="1:9" x14ac:dyDescent="0.2">
      <c r="A637" s="11"/>
      <c r="B637" s="11"/>
      <c r="C637" s="11"/>
      <c r="D637" s="19"/>
      <c r="I637" s="32"/>
    </row>
    <row r="638" spans="1:9" x14ac:dyDescent="0.2">
      <c r="A638" s="11"/>
      <c r="B638" s="11"/>
      <c r="C638" s="11"/>
      <c r="D638" s="19"/>
      <c r="I638" s="32"/>
    </row>
    <row r="639" spans="1:9" x14ac:dyDescent="0.2">
      <c r="A639" s="11"/>
      <c r="B639" s="11"/>
      <c r="C639" s="11"/>
      <c r="D639" s="19"/>
      <c r="I639" s="32"/>
    </row>
    <row r="640" spans="1:9" x14ac:dyDescent="0.2">
      <c r="A640" s="11"/>
      <c r="B640" s="11"/>
      <c r="C640" s="11"/>
      <c r="D640" s="19"/>
      <c r="I640" s="32"/>
    </row>
    <row r="641" spans="1:9" x14ac:dyDescent="0.2">
      <c r="A641" s="11"/>
      <c r="B641" s="11"/>
      <c r="C641" s="11"/>
      <c r="D641" s="19"/>
      <c r="I641" s="32"/>
    </row>
    <row r="642" spans="1:9" x14ac:dyDescent="0.2">
      <c r="A642" s="11"/>
      <c r="B642" s="11"/>
      <c r="C642" s="11"/>
      <c r="D642" s="19"/>
      <c r="I642" s="32"/>
    </row>
    <row r="643" spans="1:9" x14ac:dyDescent="0.2">
      <c r="A643" s="11"/>
      <c r="B643" s="11"/>
      <c r="C643" s="11"/>
      <c r="D643" s="19"/>
      <c r="I643" s="32"/>
    </row>
    <row r="644" spans="1:9" x14ac:dyDescent="0.2">
      <c r="A644" s="11"/>
      <c r="B644" s="11"/>
      <c r="C644" s="11"/>
      <c r="D644" s="19"/>
      <c r="I644" s="32"/>
    </row>
    <row r="645" spans="1:9" x14ac:dyDescent="0.2">
      <c r="A645" s="11"/>
      <c r="B645" s="11"/>
      <c r="C645" s="11"/>
      <c r="D645" s="19"/>
      <c r="I645" s="32"/>
    </row>
    <row r="646" spans="1:9" x14ac:dyDescent="0.2">
      <c r="A646" s="11"/>
      <c r="B646" s="11"/>
      <c r="C646" s="11"/>
      <c r="D646" s="19"/>
      <c r="I646" s="32"/>
    </row>
    <row r="647" spans="1:9" x14ac:dyDescent="0.2">
      <c r="A647" s="11"/>
      <c r="B647" s="11"/>
      <c r="C647" s="11"/>
      <c r="D647" s="19"/>
      <c r="I647" s="32"/>
    </row>
    <row r="648" spans="1:9" x14ac:dyDescent="0.2">
      <c r="A648" s="11"/>
      <c r="B648" s="11"/>
      <c r="C648" s="11"/>
      <c r="D648" s="19"/>
      <c r="I648" s="32"/>
    </row>
    <row r="649" spans="1:9" x14ac:dyDescent="0.2">
      <c r="A649" s="11"/>
      <c r="B649" s="11"/>
      <c r="C649" s="11"/>
      <c r="D649" s="19"/>
      <c r="I649" s="32"/>
    </row>
    <row r="650" spans="1:9" x14ac:dyDescent="0.2">
      <c r="A650" s="11"/>
      <c r="B650" s="11"/>
      <c r="C650" s="11"/>
      <c r="D650" s="19"/>
      <c r="I650" s="32"/>
    </row>
    <row r="651" spans="1:9" x14ac:dyDescent="0.2">
      <c r="A651" s="17"/>
      <c r="B651" s="11"/>
      <c r="C651" s="11"/>
      <c r="D651" s="19"/>
      <c r="I651" s="32"/>
    </row>
    <row r="652" spans="1:9" x14ac:dyDescent="0.2">
      <c r="A652" s="17"/>
      <c r="B652" s="11"/>
      <c r="C652" s="11"/>
      <c r="D652" s="19"/>
      <c r="I652" s="32"/>
    </row>
    <row r="653" spans="1:9" x14ac:dyDescent="0.2">
      <c r="A653" s="11"/>
      <c r="B653" s="11"/>
      <c r="C653" s="11"/>
      <c r="D653" s="19"/>
      <c r="I653" s="32"/>
    </row>
    <row r="654" spans="1:9" x14ac:dyDescent="0.2">
      <c r="A654" s="11"/>
      <c r="B654" s="11"/>
      <c r="C654" s="11"/>
      <c r="D654" s="19"/>
      <c r="I654" s="32"/>
    </row>
    <row r="655" spans="1:9" x14ac:dyDescent="0.2">
      <c r="A655" s="11"/>
      <c r="B655" s="11"/>
      <c r="C655" s="11"/>
      <c r="D655" s="19"/>
      <c r="I655" s="32"/>
    </row>
    <row r="656" spans="1:9" x14ac:dyDescent="0.2">
      <c r="A656" s="11"/>
      <c r="B656" s="11"/>
      <c r="C656" s="11"/>
      <c r="D656" s="19"/>
      <c r="I656" s="32"/>
    </row>
    <row r="657" spans="1:9" x14ac:dyDescent="0.2">
      <c r="A657" s="11"/>
      <c r="B657" s="11"/>
      <c r="C657" s="11"/>
      <c r="D657" s="19"/>
      <c r="I657" s="32"/>
    </row>
    <row r="658" spans="1:9" x14ac:dyDescent="0.2">
      <c r="A658" s="11"/>
      <c r="B658" s="11"/>
      <c r="C658" s="11"/>
      <c r="D658" s="19"/>
      <c r="I658" s="32"/>
    </row>
    <row r="659" spans="1:9" x14ac:dyDescent="0.2">
      <c r="A659" s="11"/>
      <c r="B659" s="11"/>
      <c r="C659" s="11"/>
      <c r="D659" s="19"/>
      <c r="I659" s="32"/>
    </row>
    <row r="660" spans="1:9" x14ac:dyDescent="0.2">
      <c r="A660" s="11"/>
      <c r="B660" s="11"/>
      <c r="C660" s="11"/>
      <c r="D660" s="19"/>
      <c r="I660" s="32"/>
    </row>
    <row r="661" spans="1:9" x14ac:dyDescent="0.2">
      <c r="A661" s="11"/>
      <c r="B661" s="11"/>
      <c r="C661" s="11"/>
      <c r="D661" s="19"/>
      <c r="I661" s="32"/>
    </row>
    <row r="662" spans="1:9" x14ac:dyDescent="0.2">
      <c r="A662" s="11"/>
      <c r="B662" s="11"/>
      <c r="C662" s="11"/>
      <c r="D662" s="19"/>
      <c r="I662" s="32"/>
    </row>
    <row r="663" spans="1:9" x14ac:dyDescent="0.2">
      <c r="A663" s="11"/>
      <c r="B663" s="11"/>
      <c r="C663" s="11"/>
      <c r="D663" s="19"/>
      <c r="I663" s="32"/>
    </row>
    <row r="664" spans="1:9" x14ac:dyDescent="0.2">
      <c r="A664" s="11"/>
      <c r="B664" s="11"/>
      <c r="C664" s="11"/>
      <c r="D664" s="19"/>
      <c r="I664" s="32"/>
    </row>
    <row r="665" spans="1:9" x14ac:dyDescent="0.2">
      <c r="A665" s="11"/>
      <c r="B665" s="11"/>
      <c r="C665" s="11"/>
      <c r="D665" s="19"/>
      <c r="I665" s="32"/>
    </row>
    <row r="666" spans="1:9" x14ac:dyDescent="0.2">
      <c r="A666" s="11"/>
      <c r="B666" s="11"/>
      <c r="C666" s="11"/>
      <c r="D666" s="19"/>
      <c r="I666" s="32"/>
    </row>
    <row r="667" spans="1:9" x14ac:dyDescent="0.2">
      <c r="A667" s="11"/>
      <c r="B667" s="11"/>
      <c r="C667" s="11"/>
      <c r="D667" s="19"/>
      <c r="I667" s="32"/>
    </row>
    <row r="668" spans="1:9" x14ac:dyDescent="0.2">
      <c r="A668" s="11"/>
      <c r="B668" s="11"/>
      <c r="C668" s="11"/>
      <c r="D668" s="19"/>
      <c r="I668" s="32"/>
    </row>
    <row r="669" spans="1:9" x14ac:dyDescent="0.2">
      <c r="A669" s="11"/>
      <c r="B669" s="11"/>
      <c r="C669" s="11"/>
      <c r="D669" s="19"/>
      <c r="I669" s="32"/>
    </row>
    <row r="670" spans="1:9" x14ac:dyDescent="0.2">
      <c r="A670" s="11"/>
      <c r="B670" s="11"/>
      <c r="C670" s="11"/>
      <c r="D670" s="19"/>
      <c r="I670" s="32"/>
    </row>
    <row r="671" spans="1:9" x14ac:dyDescent="0.2">
      <c r="A671" s="11"/>
      <c r="B671" s="11"/>
      <c r="C671" s="11"/>
      <c r="D671" s="19"/>
      <c r="I671" s="32"/>
    </row>
    <row r="672" spans="1:9" x14ac:dyDescent="0.2">
      <c r="A672" s="11"/>
      <c r="B672" s="11"/>
      <c r="C672" s="11"/>
      <c r="D672" s="19"/>
      <c r="I672" s="32"/>
    </row>
    <row r="673" spans="1:9" x14ac:dyDescent="0.2">
      <c r="A673" s="11"/>
      <c r="B673" s="11"/>
      <c r="C673" s="11"/>
      <c r="D673" s="19"/>
      <c r="I673" s="32"/>
    </row>
    <row r="674" spans="1:9" x14ac:dyDescent="0.2">
      <c r="A674" s="11"/>
      <c r="B674" s="8"/>
      <c r="C674" s="8"/>
      <c r="D674" s="19"/>
      <c r="I674" s="32"/>
    </row>
    <row r="675" spans="1:9" x14ac:dyDescent="0.2">
      <c r="A675" s="11"/>
      <c r="B675" s="11"/>
      <c r="C675" s="11"/>
      <c r="D675" s="19"/>
      <c r="I675" s="32"/>
    </row>
    <row r="676" spans="1:9" x14ac:dyDescent="0.2">
      <c r="A676" s="11"/>
      <c r="B676" s="11"/>
      <c r="C676" s="11"/>
      <c r="D676" s="19"/>
      <c r="I676" s="32"/>
    </row>
    <row r="677" spans="1:9" x14ac:dyDescent="0.2">
      <c r="A677" s="7"/>
      <c r="B677" s="7"/>
      <c r="C677" s="7"/>
      <c r="D677" s="21"/>
      <c r="I677" s="32"/>
    </row>
    <row r="678" spans="1:9" x14ac:dyDescent="0.2">
      <c r="A678" s="11"/>
      <c r="B678" s="11"/>
      <c r="C678" s="11"/>
      <c r="D678" s="19"/>
      <c r="I678" s="32"/>
    </row>
    <row r="679" spans="1:9" x14ac:dyDescent="0.2">
      <c r="A679" s="11"/>
      <c r="B679" s="11"/>
      <c r="C679" s="11"/>
      <c r="D679" s="19"/>
      <c r="I679" s="32"/>
    </row>
    <row r="680" spans="1:9" x14ac:dyDescent="0.2">
      <c r="A680" s="11"/>
      <c r="B680" s="11"/>
      <c r="C680" s="11"/>
      <c r="D680" s="19"/>
      <c r="I680" s="32"/>
    </row>
    <row r="681" spans="1:9" x14ac:dyDescent="0.2">
      <c r="A681" s="7"/>
      <c r="B681" s="7"/>
      <c r="C681" s="7"/>
      <c r="D681" s="20"/>
      <c r="I681" s="32"/>
    </row>
    <row r="682" spans="1:9" x14ac:dyDescent="0.2">
      <c r="A682" s="11"/>
      <c r="B682" s="11"/>
      <c r="C682" s="11"/>
      <c r="D682" s="19"/>
      <c r="I682" s="32"/>
    </row>
    <row r="683" spans="1:9" x14ac:dyDescent="0.2">
      <c r="A683" s="11"/>
      <c r="B683" s="11"/>
      <c r="C683" s="11"/>
      <c r="D683" s="19"/>
      <c r="I683" s="32"/>
    </row>
    <row r="684" spans="1:9" x14ac:dyDescent="0.2">
      <c r="A684" s="11"/>
      <c r="B684" s="11"/>
      <c r="C684" s="11"/>
      <c r="D684" s="19"/>
      <c r="I684" s="32"/>
    </row>
    <row r="685" spans="1:9" x14ac:dyDescent="0.2">
      <c r="A685" s="11"/>
      <c r="B685" s="11"/>
      <c r="C685" s="11"/>
      <c r="D685" s="19"/>
      <c r="I685" s="32"/>
    </row>
    <row r="686" spans="1:9" x14ac:dyDescent="0.2">
      <c r="A686" s="11"/>
      <c r="B686" s="11"/>
      <c r="C686" s="11"/>
      <c r="D686" s="19"/>
      <c r="I686" s="32"/>
    </row>
    <row r="687" spans="1:9" x14ac:dyDescent="0.2">
      <c r="A687" s="11"/>
      <c r="B687" s="11"/>
      <c r="C687" s="11"/>
      <c r="D687" s="19"/>
      <c r="I687" s="32"/>
    </row>
    <row r="688" spans="1:9" x14ac:dyDescent="0.2">
      <c r="A688" s="11"/>
      <c r="B688" s="11"/>
      <c r="C688" s="11"/>
      <c r="D688" s="19"/>
      <c r="I688" s="32"/>
    </row>
    <row r="689" spans="1:9" x14ac:dyDescent="0.2">
      <c r="A689" s="11"/>
      <c r="B689" s="11"/>
      <c r="C689" s="11"/>
      <c r="D689" s="19"/>
      <c r="I689" s="32"/>
    </row>
    <row r="690" spans="1:9" x14ac:dyDescent="0.2">
      <c r="A690" s="11"/>
      <c r="B690" s="11"/>
      <c r="C690" s="11"/>
      <c r="D690" s="19"/>
      <c r="I690" s="32"/>
    </row>
    <row r="691" spans="1:9" x14ac:dyDescent="0.2">
      <c r="A691" s="11"/>
      <c r="B691" s="11"/>
      <c r="C691" s="11"/>
      <c r="D691" s="19"/>
      <c r="I691" s="32"/>
    </row>
    <row r="692" spans="1:9" x14ac:dyDescent="0.2">
      <c r="A692" s="11"/>
      <c r="B692" s="11"/>
      <c r="C692" s="11"/>
      <c r="D692" s="19"/>
      <c r="I692" s="32"/>
    </row>
    <row r="693" spans="1:9" x14ac:dyDescent="0.2">
      <c r="A693" s="11"/>
      <c r="B693" s="11"/>
      <c r="C693" s="11"/>
      <c r="D693" s="19"/>
      <c r="I693" s="32"/>
    </row>
    <row r="694" spans="1:9" x14ac:dyDescent="0.2">
      <c r="A694" s="11"/>
      <c r="B694" s="11"/>
      <c r="C694" s="11"/>
      <c r="D694" s="19"/>
      <c r="I694" s="32"/>
    </row>
    <row r="695" spans="1:9" x14ac:dyDescent="0.2">
      <c r="A695" s="11"/>
      <c r="B695" s="11"/>
      <c r="C695" s="11"/>
      <c r="D695" s="19"/>
      <c r="I695" s="32"/>
    </row>
    <row r="696" spans="1:9" x14ac:dyDescent="0.2">
      <c r="A696" s="11"/>
      <c r="B696" s="11"/>
      <c r="C696" s="11"/>
      <c r="D696" s="19"/>
      <c r="I696" s="32"/>
    </row>
    <row r="697" spans="1:9" x14ac:dyDescent="0.2">
      <c r="A697" s="11"/>
      <c r="B697" s="11"/>
      <c r="C697" s="11"/>
      <c r="D697" s="19"/>
      <c r="I697" s="32"/>
    </row>
    <row r="698" spans="1:9" x14ac:dyDescent="0.2">
      <c r="A698" s="11"/>
      <c r="B698" s="11"/>
      <c r="C698" s="11"/>
      <c r="D698" s="19"/>
      <c r="I698" s="32"/>
    </row>
    <row r="699" spans="1:9" x14ac:dyDescent="0.2">
      <c r="A699" s="11"/>
      <c r="B699" s="17"/>
      <c r="C699" s="17"/>
      <c r="D699" s="19"/>
      <c r="I699" s="32"/>
    </row>
    <row r="700" spans="1:9" x14ac:dyDescent="0.2">
      <c r="A700" s="11"/>
      <c r="B700" s="11"/>
      <c r="C700" s="11"/>
      <c r="D700" s="19"/>
      <c r="I700" s="32"/>
    </row>
    <row r="701" spans="1:9" x14ac:dyDescent="0.2">
      <c r="A701" s="11"/>
      <c r="B701" s="11"/>
      <c r="C701" s="11"/>
      <c r="D701" s="19"/>
      <c r="I701" s="32"/>
    </row>
    <row r="702" spans="1:9" x14ac:dyDescent="0.2">
      <c r="A702" s="11"/>
      <c r="B702" s="11"/>
      <c r="C702" s="11"/>
      <c r="D702" s="19"/>
      <c r="I702" s="32"/>
    </row>
    <row r="703" spans="1:9" x14ac:dyDescent="0.2">
      <c r="A703" s="11"/>
      <c r="B703" s="11"/>
      <c r="C703" s="11"/>
      <c r="D703" s="19"/>
      <c r="I703" s="32"/>
    </row>
    <row r="704" spans="1:9" x14ac:dyDescent="0.2">
      <c r="A704" s="11"/>
      <c r="B704" s="11"/>
      <c r="C704" s="11"/>
      <c r="D704" s="19"/>
      <c r="I704" s="32"/>
    </row>
    <row r="705" spans="1:9" x14ac:dyDescent="0.2">
      <c r="A705" s="11"/>
      <c r="B705" s="11"/>
      <c r="C705" s="11"/>
      <c r="D705" s="19"/>
      <c r="I705" s="32"/>
    </row>
    <row r="706" spans="1:9" x14ac:dyDescent="0.2">
      <c r="A706" s="11"/>
      <c r="B706" s="11"/>
      <c r="C706" s="11"/>
      <c r="D706" s="19"/>
      <c r="I706" s="32"/>
    </row>
    <row r="707" spans="1:9" x14ac:dyDescent="0.2">
      <c r="A707" s="11"/>
      <c r="B707" s="11"/>
      <c r="C707" s="11"/>
      <c r="D707" s="19"/>
      <c r="I707" s="32"/>
    </row>
    <row r="708" spans="1:9" x14ac:dyDescent="0.2">
      <c r="A708" s="11"/>
      <c r="B708" s="11"/>
      <c r="C708" s="11"/>
      <c r="I708" s="32"/>
    </row>
    <row r="709" spans="1:9" x14ac:dyDescent="0.2">
      <c r="A709" s="11"/>
      <c r="B709" s="11"/>
      <c r="C709" s="11"/>
      <c r="D709" s="19"/>
      <c r="I709" s="32"/>
    </row>
    <row r="710" spans="1:9" x14ac:dyDescent="0.2">
      <c r="A710" s="11"/>
      <c r="B710" s="11"/>
      <c r="C710" s="11"/>
      <c r="D710" s="19"/>
      <c r="I710" s="32"/>
    </row>
    <row r="711" spans="1:9" x14ac:dyDescent="0.2">
      <c r="A711" s="11"/>
      <c r="B711" s="11"/>
      <c r="C711" s="11"/>
      <c r="D711" s="19"/>
      <c r="I711" s="32"/>
    </row>
    <row r="712" spans="1:9" x14ac:dyDescent="0.2">
      <c r="A712" s="11"/>
      <c r="B712" s="11"/>
      <c r="C712" s="11"/>
      <c r="D712" s="19"/>
      <c r="I712" s="32"/>
    </row>
    <row r="713" spans="1:9" x14ac:dyDescent="0.2">
      <c r="A713" s="11"/>
      <c r="B713" s="11"/>
      <c r="C713" s="11"/>
      <c r="D713" s="19"/>
      <c r="I713" s="32"/>
    </row>
    <row r="714" spans="1:9" x14ac:dyDescent="0.2">
      <c r="A714" s="11"/>
      <c r="B714" s="11"/>
      <c r="C714" s="11"/>
      <c r="D714" s="19"/>
      <c r="I714" s="32"/>
    </row>
    <row r="715" spans="1:9" x14ac:dyDescent="0.2">
      <c r="A715" s="11"/>
      <c r="B715" s="11"/>
      <c r="C715" s="11"/>
      <c r="D715" s="19"/>
      <c r="I715" s="32"/>
    </row>
    <row r="716" spans="1:9" x14ac:dyDescent="0.2">
      <c r="A716" s="7"/>
      <c r="B716" s="7"/>
      <c r="C716" s="7"/>
      <c r="D716" s="20"/>
      <c r="I716" s="32"/>
    </row>
    <row r="717" spans="1:9" x14ac:dyDescent="0.2">
      <c r="A717" s="11"/>
      <c r="B717" s="11"/>
      <c r="C717" s="11"/>
      <c r="D717" s="19"/>
      <c r="I717" s="32"/>
    </row>
    <row r="718" spans="1:9" x14ac:dyDescent="0.2">
      <c r="A718" s="11"/>
      <c r="B718" s="11"/>
      <c r="C718" s="11"/>
      <c r="D718" s="19"/>
      <c r="I718" s="32"/>
    </row>
    <row r="719" spans="1:9" x14ac:dyDescent="0.2">
      <c r="A719" s="11"/>
      <c r="B719" s="11"/>
      <c r="C719" s="11"/>
      <c r="D719" s="19"/>
      <c r="I719" s="32"/>
    </row>
    <row r="720" spans="1:9" x14ac:dyDescent="0.2">
      <c r="A720" s="11"/>
      <c r="B720" s="11"/>
      <c r="C720" s="11"/>
      <c r="D720" s="19"/>
      <c r="I720" s="32"/>
    </row>
    <row r="721" spans="1:9" x14ac:dyDescent="0.2">
      <c r="A721" s="11"/>
      <c r="B721" s="11"/>
      <c r="C721" s="11"/>
      <c r="D721" s="19"/>
      <c r="I721" s="32"/>
    </row>
    <row r="722" spans="1:9" x14ac:dyDescent="0.2">
      <c r="A722" s="11"/>
      <c r="B722" s="11"/>
      <c r="C722" s="11"/>
      <c r="D722" s="19"/>
      <c r="I722" s="32"/>
    </row>
    <row r="723" spans="1:9" x14ac:dyDescent="0.2">
      <c r="A723" s="11"/>
      <c r="B723" s="11"/>
      <c r="C723" s="11"/>
      <c r="D723" s="19"/>
      <c r="I723" s="32"/>
    </row>
    <row r="724" spans="1:9" x14ac:dyDescent="0.2">
      <c r="A724" s="11"/>
      <c r="B724" s="11"/>
      <c r="C724" s="11"/>
      <c r="D724" s="19"/>
      <c r="I724" s="32"/>
    </row>
    <row r="725" spans="1:9" x14ac:dyDescent="0.2">
      <c r="A725" s="11"/>
      <c r="B725" s="11"/>
      <c r="C725" s="11"/>
      <c r="D725" s="19"/>
      <c r="I725" s="32"/>
    </row>
    <row r="726" spans="1:9" x14ac:dyDescent="0.2">
      <c r="A726" s="11"/>
      <c r="B726" s="11"/>
      <c r="C726" s="11"/>
      <c r="D726" s="19"/>
      <c r="I726" s="32"/>
    </row>
    <row r="727" spans="1:9" x14ac:dyDescent="0.2">
      <c r="A727" s="11"/>
      <c r="B727" s="11"/>
      <c r="C727" s="11"/>
      <c r="D727" s="19"/>
      <c r="I727" s="32"/>
    </row>
    <row r="728" spans="1:9" x14ac:dyDescent="0.2">
      <c r="A728" s="11"/>
      <c r="B728" s="11"/>
      <c r="C728" s="11"/>
      <c r="D728" s="19"/>
      <c r="I728" s="32"/>
    </row>
    <row r="729" spans="1:9" x14ac:dyDescent="0.2">
      <c r="A729" s="11"/>
      <c r="B729" s="11"/>
      <c r="C729" s="11"/>
      <c r="D729" s="19"/>
      <c r="I729" s="32"/>
    </row>
    <row r="730" spans="1:9" x14ac:dyDescent="0.2">
      <c r="A730" s="11"/>
      <c r="B730" s="11"/>
      <c r="C730" s="11"/>
      <c r="D730" s="19"/>
      <c r="I730" s="32"/>
    </row>
    <row r="731" spans="1:9" x14ac:dyDescent="0.2">
      <c r="A731" s="11"/>
      <c r="B731" s="11"/>
      <c r="C731" s="11"/>
      <c r="D731" s="19"/>
      <c r="I731" s="32"/>
    </row>
    <row r="732" spans="1:9" x14ac:dyDescent="0.2">
      <c r="A732" s="11"/>
      <c r="B732" s="11"/>
      <c r="C732" s="11"/>
      <c r="D732" s="19"/>
      <c r="I732" s="32"/>
    </row>
    <row r="733" spans="1:9" x14ac:dyDescent="0.2">
      <c r="A733" s="11"/>
      <c r="B733" s="11"/>
      <c r="C733" s="11"/>
      <c r="D733" s="19"/>
      <c r="I733" s="32"/>
    </row>
    <row r="734" spans="1:9" x14ac:dyDescent="0.2">
      <c r="A734" s="11"/>
      <c r="B734" s="11"/>
      <c r="C734" s="11"/>
      <c r="D734" s="19"/>
      <c r="I734" s="32"/>
    </row>
    <row r="735" spans="1:9" x14ac:dyDescent="0.2">
      <c r="A735" s="11"/>
      <c r="B735" s="11"/>
      <c r="C735" s="11"/>
      <c r="D735" s="19"/>
      <c r="I735" s="32"/>
    </row>
    <row r="736" spans="1:9" x14ac:dyDescent="0.2">
      <c r="A736" s="11"/>
      <c r="B736" s="11"/>
      <c r="C736" s="11"/>
      <c r="D736" s="19"/>
      <c r="I736" s="32"/>
    </row>
    <row r="1632" spans="9:9" x14ac:dyDescent="0.2">
      <c r="I1632" s="23"/>
    </row>
    <row r="1642" spans="9:9" x14ac:dyDescent="0.2">
      <c r="I1642" s="23"/>
    </row>
    <row r="1662" spans="9:9" x14ac:dyDescent="0.2">
      <c r="I1662" s="23"/>
    </row>
    <row r="1678" spans="9:9" x14ac:dyDescent="0.2">
      <c r="I1678" s="23"/>
    </row>
    <row r="1693" spans="9:9" x14ac:dyDescent="0.2">
      <c r="I1693" s="23"/>
    </row>
    <row r="1711" spans="9:9" x14ac:dyDescent="0.2">
      <c r="I1711" s="23"/>
    </row>
    <row r="1726" spans="9:9" x14ac:dyDescent="0.2">
      <c r="I1726" s="23"/>
    </row>
    <row r="1734" spans="9:9" x14ac:dyDescent="0.2">
      <c r="I1734" s="23"/>
    </row>
    <row r="1753" spans="9:9" x14ac:dyDescent="0.2">
      <c r="I1753" s="23"/>
    </row>
    <row r="1770" spans="9:9" x14ac:dyDescent="0.2">
      <c r="I1770" s="23"/>
    </row>
    <row r="1785" spans="9:9" x14ac:dyDescent="0.2">
      <c r="I1785" s="23"/>
    </row>
    <row r="1813" spans="9:9" x14ac:dyDescent="0.2">
      <c r="I1813" s="23"/>
    </row>
    <row r="3629" spans="9:9" x14ac:dyDescent="0.2">
      <c r="I362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3"/>
  <sheetViews>
    <sheetView zoomScaleNormal="100" workbookViewId="0">
      <pane ySplit="4" topLeftCell="A5" activePane="bottomLeft" state="frozen"/>
      <selection activeCell="D4" sqref="D4:XFD4"/>
      <selection pane="bottomLeft" activeCell="J1" sqref="J1"/>
    </sheetView>
  </sheetViews>
  <sheetFormatPr defaultRowHeight="17.25" customHeight="1" x14ac:dyDescent="0.25"/>
  <cols>
    <col min="1" max="1" width="14.83203125" style="46" bestFit="1" customWidth="1"/>
    <col min="2" max="2" width="66" style="46" bestFit="1" customWidth="1"/>
    <col min="3" max="3" width="56.1640625" style="85" customWidth="1"/>
    <col min="4" max="4" width="12.83203125" style="46" bestFit="1" customWidth="1"/>
    <col min="5" max="5" width="13.5" style="46" bestFit="1" customWidth="1"/>
    <col min="6" max="6" width="23.83203125" style="46" bestFit="1" customWidth="1"/>
    <col min="7" max="7" width="13" style="46" bestFit="1" customWidth="1"/>
    <col min="8" max="8" width="17.6640625" style="46" bestFit="1" customWidth="1"/>
    <col min="9" max="16384" width="9.33203125" style="46"/>
  </cols>
  <sheetData>
    <row r="1" spans="1:10" s="111" customFormat="1" ht="17.25" customHeight="1" x14ac:dyDescent="0.25">
      <c r="A1" s="110" t="s">
        <v>48</v>
      </c>
      <c r="B1" s="299" t="s">
        <v>15</v>
      </c>
      <c r="C1" s="147" t="s">
        <v>49</v>
      </c>
      <c r="D1" s="300" t="s">
        <v>126</v>
      </c>
      <c r="E1" s="110" t="s">
        <v>226</v>
      </c>
      <c r="F1" s="299" t="s">
        <v>38</v>
      </c>
      <c r="G1" s="110" t="s">
        <v>9</v>
      </c>
      <c r="H1" s="299" t="s">
        <v>228</v>
      </c>
      <c r="I1" s="107" t="s">
        <v>327</v>
      </c>
      <c r="J1" s="297" t="b">
        <v>0</v>
      </c>
    </row>
    <row r="2" spans="1:10" s="58" customFormat="1" ht="17.25" customHeight="1" x14ac:dyDescent="0.25">
      <c r="A2" s="127" t="s">
        <v>580</v>
      </c>
      <c r="B2" s="177" t="s">
        <v>579</v>
      </c>
      <c r="C2" s="177" t="s">
        <v>215</v>
      </c>
      <c r="D2" s="177" t="s">
        <v>577</v>
      </c>
      <c r="E2" s="57"/>
      <c r="F2" s="292" t="s">
        <v>501</v>
      </c>
      <c r="G2" s="293"/>
      <c r="H2" s="293"/>
      <c r="I2" s="294"/>
      <c r="J2" s="82"/>
    </row>
    <row r="3" spans="1:10" s="58" customFormat="1" ht="17.25" customHeight="1" x14ac:dyDescent="0.25">
      <c r="A3" s="177" t="s">
        <v>620</v>
      </c>
      <c r="B3" s="177" t="s">
        <v>576</v>
      </c>
      <c r="C3" s="177" t="s">
        <v>502</v>
      </c>
      <c r="D3" s="177" t="s">
        <v>578</v>
      </c>
      <c r="E3" s="57"/>
      <c r="F3" s="131" t="s">
        <v>502</v>
      </c>
      <c r="G3" s="132"/>
      <c r="H3" s="132"/>
      <c r="I3" s="132"/>
      <c r="J3" s="82"/>
    </row>
    <row r="4" spans="1:10" s="62" customFormat="1" ht="17.25" customHeight="1" x14ac:dyDescent="0.25">
      <c r="A4" s="45" t="s">
        <v>6</v>
      </c>
      <c r="B4" s="45" t="s">
        <v>226</v>
      </c>
      <c r="C4" s="148" t="s">
        <v>9</v>
      </c>
      <c r="D4" s="60" t="s">
        <v>50</v>
      </c>
      <c r="E4" s="61" t="s">
        <v>503</v>
      </c>
      <c r="F4" s="133" t="s">
        <v>500</v>
      </c>
      <c r="G4" s="132"/>
      <c r="H4" s="132"/>
      <c r="I4" s="132"/>
      <c r="J4" s="63"/>
    </row>
    <row r="5" spans="1:10" ht="17.25" customHeight="1" x14ac:dyDescent="0.25">
      <c r="A5" s="46" t="s">
        <v>10</v>
      </c>
      <c r="B5" s="46" t="s">
        <v>59</v>
      </c>
      <c r="C5" s="85" t="s">
        <v>99</v>
      </c>
      <c r="F5"/>
      <c r="G5" s="132"/>
      <c r="H5" s="132"/>
      <c r="I5" s="132"/>
    </row>
    <row r="6" spans="1:10" ht="17.25" customHeight="1" x14ac:dyDescent="0.25">
      <c r="A6" s="46" t="s">
        <v>3</v>
      </c>
      <c r="B6" s="46" t="s">
        <v>60</v>
      </c>
      <c r="C6" s="85" t="s">
        <v>100</v>
      </c>
      <c r="F6"/>
      <c r="G6" s="132"/>
      <c r="H6" s="132"/>
      <c r="I6" s="132"/>
    </row>
    <row r="7" spans="1:10" ht="17.25" customHeight="1" x14ac:dyDescent="0.25">
      <c r="A7" s="46" t="s">
        <v>13</v>
      </c>
      <c r="B7" s="46" t="s">
        <v>96</v>
      </c>
      <c r="C7" s="85" t="s">
        <v>97</v>
      </c>
      <c r="F7"/>
      <c r="G7" s="132"/>
      <c r="H7" s="132"/>
      <c r="I7" s="132"/>
    </row>
    <row r="8" spans="1:10" ht="17.25" customHeight="1" x14ac:dyDescent="0.25">
      <c r="A8" s="46" t="s">
        <v>12</v>
      </c>
      <c r="B8" s="46" t="s">
        <v>61</v>
      </c>
      <c r="C8" s="85" t="s">
        <v>98</v>
      </c>
      <c r="F8"/>
      <c r="G8" s="132"/>
      <c r="H8" s="132"/>
      <c r="I8" s="132"/>
    </row>
    <row r="9" spans="1:10" ht="17.25" customHeight="1" x14ac:dyDescent="0.25">
      <c r="A9" s="46" t="s">
        <v>2</v>
      </c>
      <c r="B9" s="46" t="s">
        <v>62</v>
      </c>
      <c r="C9" s="85" t="s">
        <v>101</v>
      </c>
      <c r="G9" s="132"/>
      <c r="H9" s="132"/>
      <c r="I9" s="132"/>
    </row>
    <row r="10" spans="1:10" ht="17.25" customHeight="1" x14ac:dyDescent="0.25">
      <c r="A10" s="46" t="s">
        <v>11</v>
      </c>
      <c r="B10" s="46" t="s">
        <v>102</v>
      </c>
      <c r="C10" s="85" t="s">
        <v>103</v>
      </c>
      <c r="G10" s="132"/>
      <c r="H10" s="132"/>
      <c r="I10" s="132"/>
    </row>
    <row r="11" spans="1:10" ht="17.25" customHeight="1" x14ac:dyDescent="0.25">
      <c r="A11" s="46" t="s">
        <v>104</v>
      </c>
      <c r="B11" s="46" t="s">
        <v>105</v>
      </c>
      <c r="C11" s="85" t="s">
        <v>106</v>
      </c>
      <c r="G11" s="132"/>
      <c r="H11" s="132"/>
      <c r="I11" s="132"/>
    </row>
    <row r="12" spans="1:10" ht="17.25" customHeight="1" x14ac:dyDescent="0.25">
      <c r="A12" s="46" t="s">
        <v>107</v>
      </c>
      <c r="B12" s="46" t="s">
        <v>108</v>
      </c>
      <c r="C12" s="85" t="s">
        <v>109</v>
      </c>
      <c r="G12" s="132"/>
      <c r="H12" s="132"/>
      <c r="I12" s="132"/>
    </row>
    <row r="13" spans="1:10" ht="17.25" customHeight="1" x14ac:dyDescent="0.25">
      <c r="A13" s="46" t="s">
        <v>110</v>
      </c>
      <c r="B13" s="46" t="s">
        <v>111</v>
      </c>
      <c r="C13" s="85" t="s">
        <v>112</v>
      </c>
      <c r="G13" s="132"/>
      <c r="H13" s="132"/>
      <c r="I13" s="132"/>
    </row>
    <row r="14" spans="1:10" ht="17.25" customHeight="1" x14ac:dyDescent="0.25">
      <c r="A14" s="46" t="s">
        <v>1</v>
      </c>
      <c r="B14" s="46" t="s">
        <v>113</v>
      </c>
      <c r="C14" s="85" t="s">
        <v>114</v>
      </c>
      <c r="G14" s="132"/>
      <c r="H14" s="132"/>
      <c r="I14" s="132"/>
    </row>
    <row r="15" spans="1:10" ht="17.25" customHeight="1" x14ac:dyDescent="0.25">
      <c r="H15" s="113"/>
    </row>
    <row r="16" spans="1:10" ht="17.25" customHeight="1" x14ac:dyDescent="0.25">
      <c r="H16" s="113"/>
    </row>
    <row r="17" spans="8:8" ht="17.25" customHeight="1" x14ac:dyDescent="0.25">
      <c r="H17" s="113"/>
    </row>
    <row r="18" spans="8:8" ht="17.25" customHeight="1" x14ac:dyDescent="0.25">
      <c r="H18" s="113"/>
    </row>
    <row r="19" spans="8:8" ht="17.25" customHeight="1" x14ac:dyDescent="0.25">
      <c r="H19" s="113"/>
    </row>
    <row r="20" spans="8:8" ht="17.25" customHeight="1" x14ac:dyDescent="0.25">
      <c r="H20" s="113"/>
    </row>
    <row r="21" spans="8:8" ht="17.25" customHeight="1" x14ac:dyDescent="0.25">
      <c r="H21" s="113"/>
    </row>
    <row r="22" spans="8:8" ht="17.25" customHeight="1" x14ac:dyDescent="0.25">
      <c r="H22" s="113"/>
    </row>
    <row r="23" spans="8:8" ht="17.25" customHeight="1" x14ac:dyDescent="0.25">
      <c r="H23" s="11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4"/>
  <sheetViews>
    <sheetView zoomScaleNormal="100" workbookViewId="0">
      <pane ySplit="4" topLeftCell="A5" activePane="bottomLeft" state="frozen"/>
      <selection activeCell="D4" sqref="D4:XFD4"/>
      <selection pane="bottomLeft" activeCell="J1" sqref="J1"/>
    </sheetView>
  </sheetViews>
  <sheetFormatPr defaultRowHeight="14.25" customHeight="1" x14ac:dyDescent="0.25"/>
  <cols>
    <col min="1" max="1" width="15" style="46" bestFit="1" customWidth="1"/>
    <col min="2" max="2" width="51.83203125" style="46" bestFit="1" customWidth="1"/>
    <col min="3" max="3" width="36.33203125" style="95" customWidth="1"/>
    <col min="4" max="4" width="12.83203125" style="46" bestFit="1" customWidth="1"/>
    <col min="5" max="5" width="13.5" style="46" bestFit="1" customWidth="1"/>
    <col min="6" max="6" width="20.83203125" style="46" bestFit="1" customWidth="1"/>
    <col min="7" max="7" width="14.33203125" style="46" bestFit="1" customWidth="1"/>
    <col min="8" max="8" width="17.6640625" style="46" bestFit="1" customWidth="1"/>
    <col min="9" max="9" width="14.6640625" style="46" customWidth="1"/>
    <col min="10" max="12" width="14.33203125" style="46" bestFit="1" customWidth="1"/>
    <col min="13" max="16384" width="9.33203125" style="46"/>
  </cols>
  <sheetData>
    <row r="1" spans="1:12" s="111" customFormat="1" ht="14.25" customHeight="1" x14ac:dyDescent="0.25">
      <c r="A1" s="110" t="s">
        <v>48</v>
      </c>
      <c r="B1" s="299" t="s">
        <v>15</v>
      </c>
      <c r="C1" s="143" t="s">
        <v>49</v>
      </c>
      <c r="D1" s="300" t="s">
        <v>126</v>
      </c>
      <c r="E1" s="110" t="s">
        <v>226</v>
      </c>
      <c r="F1" s="299" t="s">
        <v>40</v>
      </c>
      <c r="G1" s="110" t="s">
        <v>9</v>
      </c>
      <c r="H1" s="299" t="s">
        <v>228</v>
      </c>
      <c r="I1" s="107" t="s">
        <v>327</v>
      </c>
      <c r="J1" s="297" t="b">
        <v>0</v>
      </c>
    </row>
    <row r="2" spans="1:12" s="58" customFormat="1" ht="14.25" customHeight="1" x14ac:dyDescent="0.25">
      <c r="A2" s="127" t="s">
        <v>580</v>
      </c>
      <c r="B2" s="177" t="s">
        <v>579</v>
      </c>
      <c r="C2" s="177" t="s">
        <v>215</v>
      </c>
      <c r="D2" s="177" t="s">
        <v>577</v>
      </c>
      <c r="E2" s="57"/>
      <c r="F2" s="295" t="s">
        <v>501</v>
      </c>
      <c r="G2" s="296"/>
      <c r="H2" s="296"/>
      <c r="I2" s="296"/>
      <c r="J2" s="296"/>
      <c r="K2" s="296"/>
      <c r="L2" s="296"/>
    </row>
    <row r="3" spans="1:12" s="58" customFormat="1" ht="14.25" customHeight="1" x14ac:dyDescent="0.25">
      <c r="A3" s="177" t="s">
        <v>620</v>
      </c>
      <c r="B3" s="177" t="s">
        <v>576</v>
      </c>
      <c r="C3" s="177" t="s">
        <v>502</v>
      </c>
      <c r="D3" s="177" t="s">
        <v>578</v>
      </c>
      <c r="E3" s="57"/>
      <c r="F3" s="131" t="s">
        <v>502</v>
      </c>
      <c r="G3" s="141" t="s">
        <v>481</v>
      </c>
      <c r="H3" s="141"/>
      <c r="I3" s="141"/>
      <c r="J3" s="141"/>
      <c r="K3" s="141"/>
      <c r="L3" s="141"/>
    </row>
    <row r="4" spans="1:12" s="62" customFormat="1" ht="14.25" customHeight="1" x14ac:dyDescent="0.25">
      <c r="A4" s="45" t="s">
        <v>6</v>
      </c>
      <c r="B4" s="45" t="s">
        <v>226</v>
      </c>
      <c r="C4" s="59" t="s">
        <v>9</v>
      </c>
      <c r="D4" s="60" t="s">
        <v>50</v>
      </c>
      <c r="E4" s="61" t="s">
        <v>503</v>
      </c>
      <c r="F4" s="133" t="s">
        <v>500</v>
      </c>
      <c r="G4" s="141" t="s">
        <v>30</v>
      </c>
      <c r="H4" s="141"/>
      <c r="I4" s="141"/>
      <c r="J4" s="141"/>
      <c r="K4" s="141"/>
      <c r="L4" s="141"/>
    </row>
    <row r="5" spans="1:12" ht="14.25" customHeight="1" x14ac:dyDescent="0.25">
      <c r="A5" s="142" t="s">
        <v>11</v>
      </c>
      <c r="B5" s="142" t="s">
        <v>505</v>
      </c>
      <c r="C5" s="144" t="s">
        <v>506</v>
      </c>
      <c r="G5" s="141">
        <v>1</v>
      </c>
      <c r="H5" s="141"/>
      <c r="I5" s="141"/>
      <c r="J5" s="141"/>
      <c r="K5" s="141"/>
      <c r="L5" s="141"/>
    </row>
    <row r="6" spans="1:12" ht="14.25" customHeight="1" x14ac:dyDescent="0.25">
      <c r="A6" s="142" t="s">
        <v>8</v>
      </c>
      <c r="B6" s="142" t="s">
        <v>507</v>
      </c>
      <c r="C6" s="144" t="s">
        <v>508</v>
      </c>
      <c r="G6" s="141">
        <v>1</v>
      </c>
      <c r="H6" s="141"/>
      <c r="I6" s="141"/>
      <c r="J6" s="141"/>
      <c r="K6" s="141"/>
      <c r="L6" s="141"/>
    </row>
    <row r="7" spans="1:12" ht="14.25" customHeight="1" x14ac:dyDescent="0.25">
      <c r="A7" s="142" t="s">
        <v>3</v>
      </c>
      <c r="B7" s="142" t="s">
        <v>509</v>
      </c>
      <c r="C7" s="144" t="s">
        <v>510</v>
      </c>
      <c r="G7" s="141">
        <v>1</v>
      </c>
      <c r="H7" s="141"/>
      <c r="I7" s="141"/>
      <c r="J7" s="141"/>
      <c r="K7" s="141"/>
      <c r="L7" s="141"/>
    </row>
    <row r="8" spans="1:12" ht="14.25" customHeight="1" x14ac:dyDescent="0.25">
      <c r="A8" s="142" t="s">
        <v>511</v>
      </c>
      <c r="B8" s="142" t="s">
        <v>512</v>
      </c>
      <c r="C8" s="145" t="s">
        <v>513</v>
      </c>
      <c r="G8" s="141">
        <v>1</v>
      </c>
      <c r="H8" s="141"/>
      <c r="I8" s="141"/>
      <c r="J8" s="141"/>
      <c r="K8" s="141"/>
      <c r="L8" s="141"/>
    </row>
    <row r="9" spans="1:12" ht="14.25" customHeight="1" x14ac:dyDescent="0.25">
      <c r="A9" s="142" t="s">
        <v>13</v>
      </c>
      <c r="B9" s="142" t="s">
        <v>514</v>
      </c>
      <c r="C9" s="144" t="s">
        <v>515</v>
      </c>
      <c r="G9" s="133"/>
      <c r="H9" s="133"/>
      <c r="I9" s="133"/>
      <c r="J9" s="133"/>
      <c r="K9" s="133"/>
      <c r="L9" s="133"/>
    </row>
    <row r="10" spans="1:12" ht="14.25" customHeight="1" x14ac:dyDescent="0.25">
      <c r="A10" s="142" t="s">
        <v>110</v>
      </c>
      <c r="B10" s="142" t="s">
        <v>516</v>
      </c>
      <c r="C10" s="144" t="s">
        <v>517</v>
      </c>
      <c r="G10" s="133"/>
      <c r="H10" s="133"/>
      <c r="I10" s="133"/>
      <c r="J10" s="133"/>
      <c r="K10" s="133"/>
      <c r="L10" s="133"/>
    </row>
    <row r="11" spans="1:12" ht="14.25" customHeight="1" x14ac:dyDescent="0.25">
      <c r="A11" s="142" t="s">
        <v>518</v>
      </c>
      <c r="B11" s="142" t="s">
        <v>519</v>
      </c>
      <c r="C11" s="144" t="s">
        <v>520</v>
      </c>
      <c r="G11" s="133"/>
      <c r="H11" s="133"/>
      <c r="I11" s="133"/>
      <c r="J11" s="133"/>
      <c r="K11" s="133"/>
      <c r="L11" s="133"/>
    </row>
    <row r="12" spans="1:12" ht="14.25" customHeight="1" x14ac:dyDescent="0.25">
      <c r="A12" s="142" t="s">
        <v>521</v>
      </c>
      <c r="B12" s="142" t="s">
        <v>522</v>
      </c>
      <c r="C12" s="144" t="s">
        <v>523</v>
      </c>
      <c r="G12" s="133"/>
      <c r="H12" s="133"/>
      <c r="I12" s="133"/>
      <c r="J12" s="133"/>
      <c r="K12" s="133"/>
      <c r="L12" s="133"/>
    </row>
    <row r="13" spans="1:12" ht="14.25" customHeight="1" x14ac:dyDescent="0.25">
      <c r="A13" s="142" t="s">
        <v>14</v>
      </c>
      <c r="B13" s="142" t="s">
        <v>524</v>
      </c>
      <c r="C13" s="144" t="s">
        <v>525</v>
      </c>
      <c r="G13" s="133"/>
      <c r="H13" s="133"/>
      <c r="I13" s="133"/>
      <c r="J13" s="133"/>
      <c r="K13" s="133"/>
      <c r="L13" s="133"/>
    </row>
    <row r="14" spans="1:12" ht="14.25" customHeight="1" x14ac:dyDescent="0.25">
      <c r="A14" s="142" t="s">
        <v>104</v>
      </c>
      <c r="B14" s="142" t="s">
        <v>526</v>
      </c>
      <c r="C14" s="144" t="s">
        <v>527</v>
      </c>
      <c r="G14" s="141"/>
      <c r="H14" s="141"/>
      <c r="I14" s="141"/>
      <c r="J14" s="141"/>
      <c r="K14" s="141"/>
      <c r="L14" s="141"/>
    </row>
    <row r="15" spans="1:12" ht="14.25" customHeight="1" x14ac:dyDescent="0.25">
      <c r="A15" s="142" t="s">
        <v>1</v>
      </c>
      <c r="B15" s="142" t="s">
        <v>528</v>
      </c>
      <c r="C15" s="145" t="s">
        <v>529</v>
      </c>
      <c r="G15" s="133"/>
      <c r="H15" s="133"/>
      <c r="I15" s="133"/>
      <c r="J15" s="133"/>
      <c r="K15" s="133"/>
      <c r="L15" s="133"/>
    </row>
    <row r="16" spans="1:12" ht="14.25" customHeight="1" x14ac:dyDescent="0.25">
      <c r="A16" s="142" t="s">
        <v>530</v>
      </c>
      <c r="B16" s="142" t="s">
        <v>531</v>
      </c>
      <c r="C16" s="144" t="s">
        <v>532</v>
      </c>
      <c r="G16" s="133"/>
      <c r="H16" s="133"/>
      <c r="I16" s="133"/>
      <c r="J16" s="133"/>
      <c r="K16" s="133"/>
      <c r="L16" s="133"/>
    </row>
    <row r="17" spans="1:12" ht="14.25" customHeight="1" x14ac:dyDescent="0.25">
      <c r="A17" s="142" t="s">
        <v>2</v>
      </c>
      <c r="B17" s="142" t="s">
        <v>533</v>
      </c>
      <c r="C17" s="144" t="s">
        <v>534</v>
      </c>
      <c r="G17" s="133"/>
      <c r="H17" s="133"/>
      <c r="I17" s="133"/>
      <c r="J17" s="133"/>
      <c r="K17" s="133"/>
      <c r="L17" s="133"/>
    </row>
    <row r="18" spans="1:12" ht="14.25" customHeight="1" x14ac:dyDescent="0.25">
      <c r="A18" s="142" t="s">
        <v>535</v>
      </c>
      <c r="B18" s="142" t="s">
        <v>536</v>
      </c>
      <c r="C18" s="144" t="s">
        <v>537</v>
      </c>
      <c r="G18" s="141"/>
      <c r="H18" s="141"/>
      <c r="I18" s="141"/>
      <c r="J18" s="141"/>
      <c r="K18" s="141"/>
      <c r="L18" s="141"/>
    </row>
    <row r="19" spans="1:12" ht="14.25" customHeight="1" x14ac:dyDescent="0.25">
      <c r="A19" s="142" t="s">
        <v>0</v>
      </c>
      <c r="B19" s="142" t="s">
        <v>538</v>
      </c>
      <c r="C19" s="144" t="s">
        <v>539</v>
      </c>
      <c r="G19" s="141"/>
      <c r="H19" s="141"/>
      <c r="I19" s="141"/>
      <c r="J19" s="141"/>
      <c r="K19" s="141"/>
      <c r="L19" s="141"/>
    </row>
    <row r="20" spans="1:12" ht="14.25" customHeight="1" x14ac:dyDescent="0.25">
      <c r="A20" s="142" t="s">
        <v>7</v>
      </c>
      <c r="B20" s="142" t="s">
        <v>540</v>
      </c>
      <c r="C20" s="144" t="s">
        <v>541</v>
      </c>
      <c r="G20" s="141"/>
      <c r="H20" s="141"/>
      <c r="I20" s="141"/>
      <c r="J20" s="141"/>
      <c r="K20" s="141"/>
      <c r="L20" s="141"/>
    </row>
    <row r="21" spans="1:12" ht="14.25" customHeight="1" x14ac:dyDescent="0.25">
      <c r="A21" s="142" t="s">
        <v>542</v>
      </c>
      <c r="B21" s="142" t="s">
        <v>543</v>
      </c>
      <c r="C21" s="144" t="s">
        <v>544</v>
      </c>
      <c r="G21" s="133"/>
      <c r="H21" s="133"/>
      <c r="I21" s="133"/>
      <c r="J21" s="133"/>
      <c r="K21" s="133"/>
      <c r="L21" s="133"/>
    </row>
    <row r="22" spans="1:12" ht="14.25" customHeight="1" x14ac:dyDescent="0.25">
      <c r="A22" s="142" t="s">
        <v>12</v>
      </c>
      <c r="B22" s="142" t="s">
        <v>545</v>
      </c>
      <c r="C22" s="144" t="s">
        <v>546</v>
      </c>
      <c r="G22" s="133"/>
      <c r="H22" s="133"/>
      <c r="I22" s="133"/>
      <c r="J22" s="133"/>
      <c r="K22" s="133"/>
      <c r="L22" s="133"/>
    </row>
    <row r="23" spans="1:12" ht="14.25" customHeight="1" x14ac:dyDescent="0.25">
      <c r="A23" s="142" t="s">
        <v>547</v>
      </c>
      <c r="B23" s="142" t="s">
        <v>548</v>
      </c>
      <c r="C23" s="144" t="s">
        <v>549</v>
      </c>
      <c r="G23" s="133"/>
      <c r="H23" s="133"/>
      <c r="I23" s="133"/>
      <c r="J23" s="133"/>
      <c r="K23" s="133"/>
      <c r="L23" s="133"/>
    </row>
    <row r="24" spans="1:12" ht="14.25" customHeight="1" x14ac:dyDescent="0.25">
      <c r="A24" s="142" t="s">
        <v>550</v>
      </c>
      <c r="B24" s="142" t="s">
        <v>551</v>
      </c>
      <c r="C24" s="144" t="s">
        <v>552</v>
      </c>
      <c r="G24" s="133"/>
      <c r="H24" s="133"/>
      <c r="I24" s="133"/>
      <c r="J24" s="133"/>
      <c r="K24" s="133"/>
      <c r="L24" s="133"/>
    </row>
  </sheetData>
  <mergeCells count="1">
    <mergeCell ref="F2:L2"/>
  </mergeCells>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
  <sheetViews>
    <sheetView zoomScaleNormal="100" workbookViewId="0">
      <pane ySplit="4" topLeftCell="A5" activePane="bottomLeft" state="frozen"/>
      <selection activeCell="D4" sqref="D4:XFD4"/>
      <selection pane="bottomLeft" activeCell="J1" sqref="J1"/>
    </sheetView>
  </sheetViews>
  <sheetFormatPr defaultRowHeight="15" x14ac:dyDescent="0.25"/>
  <cols>
    <col min="1" max="1" width="14.83203125" style="46" bestFit="1" customWidth="1"/>
    <col min="2" max="2" width="9.33203125" style="46"/>
    <col min="3" max="3" width="22.1640625" style="46" customWidth="1"/>
    <col min="4" max="4" width="23.6640625" style="46" customWidth="1"/>
    <col min="5" max="5" width="13.5" style="46" bestFit="1" customWidth="1"/>
    <col min="6" max="6" width="14.5" style="46" customWidth="1"/>
    <col min="7" max="7" width="15" style="46" customWidth="1"/>
    <col min="8" max="8" width="21.5" style="46" customWidth="1"/>
    <col min="9" max="16384" width="9.33203125" style="46"/>
  </cols>
  <sheetData>
    <row r="1" spans="1:12" s="111" customFormat="1" x14ac:dyDescent="0.25">
      <c r="A1" s="110" t="s">
        <v>48</v>
      </c>
      <c r="B1" s="299" t="s">
        <v>15</v>
      </c>
      <c r="C1" s="112" t="s">
        <v>49</v>
      </c>
      <c r="D1" s="300" t="s">
        <v>126</v>
      </c>
      <c r="E1" s="110" t="s">
        <v>226</v>
      </c>
      <c r="F1" s="299" t="s">
        <v>39</v>
      </c>
      <c r="G1" s="110" t="s">
        <v>9</v>
      </c>
      <c r="H1" s="299" t="s">
        <v>228</v>
      </c>
      <c r="I1" s="107" t="s">
        <v>327</v>
      </c>
      <c r="J1" s="297" t="b">
        <v>0</v>
      </c>
    </row>
    <row r="2" spans="1:12" s="58" customFormat="1" x14ac:dyDescent="0.25">
      <c r="A2" s="127" t="s">
        <v>580</v>
      </c>
      <c r="B2" s="177" t="s">
        <v>579</v>
      </c>
      <c r="C2" s="177" t="s">
        <v>215</v>
      </c>
      <c r="D2" s="177" t="s">
        <v>577</v>
      </c>
      <c r="E2" s="57"/>
      <c r="F2" s="292" t="s">
        <v>501</v>
      </c>
      <c r="G2" s="293"/>
      <c r="H2" s="293"/>
      <c r="I2" s="294"/>
      <c r="J2" s="82"/>
    </row>
    <row r="3" spans="1:12" s="58" customFormat="1" x14ac:dyDescent="0.25">
      <c r="A3" s="177" t="s">
        <v>620</v>
      </c>
      <c r="B3" s="177" t="s">
        <v>576</v>
      </c>
      <c r="C3" s="177" t="s">
        <v>502</v>
      </c>
      <c r="D3" s="177" t="s">
        <v>578</v>
      </c>
      <c r="E3" s="57"/>
      <c r="F3" s="131" t="s">
        <v>502</v>
      </c>
      <c r="G3" s="132"/>
      <c r="H3" s="132"/>
      <c r="I3" s="132"/>
      <c r="J3" s="82"/>
    </row>
    <row r="4" spans="1:12" s="62" customFormat="1" x14ac:dyDescent="0.25">
      <c r="A4" s="45" t="s">
        <v>6</v>
      </c>
      <c r="B4" s="45" t="s">
        <v>226</v>
      </c>
      <c r="C4" s="59" t="s">
        <v>9</v>
      </c>
      <c r="D4" s="60" t="s">
        <v>50</v>
      </c>
      <c r="E4" s="61" t="s">
        <v>503</v>
      </c>
      <c r="F4" s="133" t="s">
        <v>500</v>
      </c>
      <c r="G4" s="132"/>
      <c r="H4" s="132"/>
      <c r="I4" s="132"/>
      <c r="J4" s="63"/>
    </row>
    <row r="5" spans="1:12" x14ac:dyDescent="0.25">
      <c r="A5" s="114">
        <v>0</v>
      </c>
      <c r="B5" s="114" t="s">
        <v>148</v>
      </c>
      <c r="C5" s="114"/>
      <c r="D5" s="114"/>
      <c r="E5" s="114"/>
      <c r="F5"/>
      <c r="G5" s="132"/>
      <c r="H5" s="132"/>
      <c r="I5" s="132"/>
      <c r="J5" s="114"/>
      <c r="K5" s="114"/>
      <c r="L5" s="114"/>
    </row>
    <row r="6" spans="1:12" x14ac:dyDescent="0.25">
      <c r="A6" s="114">
        <v>1</v>
      </c>
      <c r="B6" s="114" t="s">
        <v>149</v>
      </c>
      <c r="C6" s="114"/>
      <c r="D6" s="114"/>
      <c r="E6" s="114"/>
      <c r="F6"/>
      <c r="G6" s="132"/>
      <c r="H6" s="132"/>
      <c r="I6" s="132"/>
      <c r="J6" s="114"/>
      <c r="K6" s="114"/>
      <c r="L6" s="114"/>
    </row>
    <row r="7" spans="1:12" x14ac:dyDescent="0.25">
      <c r="A7" s="114">
        <v>2</v>
      </c>
      <c r="B7" s="114" t="s">
        <v>150</v>
      </c>
      <c r="C7" s="114"/>
      <c r="D7" s="114"/>
      <c r="E7" s="114"/>
      <c r="F7"/>
      <c r="G7" s="132"/>
      <c r="H7" s="132"/>
      <c r="I7" s="132"/>
      <c r="J7" s="114"/>
      <c r="K7" s="114"/>
      <c r="L7" s="114"/>
    </row>
    <row r="8" spans="1:12" x14ac:dyDescent="0.25">
      <c r="A8" s="114">
        <v>3</v>
      </c>
      <c r="B8" s="114" t="s">
        <v>151</v>
      </c>
      <c r="C8" s="114"/>
      <c r="D8" s="114"/>
      <c r="E8" s="114"/>
      <c r="F8"/>
      <c r="G8" s="132"/>
      <c r="H8" s="132"/>
      <c r="I8" s="132"/>
      <c r="J8" s="114"/>
      <c r="K8" s="114"/>
      <c r="L8" s="114"/>
    </row>
    <row r="9" spans="1:12" x14ac:dyDescent="0.25">
      <c r="A9" s="114">
        <v>4</v>
      </c>
      <c r="B9" s="114" t="s">
        <v>152</v>
      </c>
      <c r="C9" s="114"/>
      <c r="D9" s="114"/>
      <c r="E9" s="114"/>
      <c r="F9" s="114"/>
      <c r="G9" s="132"/>
      <c r="H9" s="132"/>
      <c r="I9" s="132"/>
      <c r="J9" s="114"/>
      <c r="K9" s="114"/>
      <c r="L9" s="114"/>
    </row>
    <row r="10" spans="1:12" x14ac:dyDescent="0.25">
      <c r="A10" s="114">
        <v>5</v>
      </c>
      <c r="B10" s="114" t="s">
        <v>153</v>
      </c>
      <c r="C10" s="114"/>
      <c r="D10" s="114"/>
      <c r="E10" s="114"/>
      <c r="F10" s="114"/>
      <c r="G10" s="132"/>
      <c r="H10" s="132"/>
      <c r="I10" s="132"/>
      <c r="J10" s="114"/>
      <c r="K10" s="114"/>
      <c r="L10" s="114"/>
    </row>
    <row r="11" spans="1:12" x14ac:dyDescent="0.25">
      <c r="A11" s="114">
        <v>6</v>
      </c>
      <c r="B11" s="114" t="s">
        <v>154</v>
      </c>
      <c r="C11" s="114"/>
      <c r="D11" s="114"/>
      <c r="E11" s="114"/>
      <c r="F11" s="114"/>
      <c r="G11" s="132"/>
      <c r="H11" s="132"/>
      <c r="I11" s="132"/>
      <c r="J11" s="114"/>
      <c r="K11" s="114"/>
      <c r="L11" s="114"/>
    </row>
    <row r="12" spans="1:12" x14ac:dyDescent="0.25">
      <c r="A12" s="114">
        <v>7</v>
      </c>
      <c r="B12" s="114" t="s">
        <v>155</v>
      </c>
      <c r="C12" s="114"/>
      <c r="D12" s="114"/>
      <c r="E12" s="114"/>
      <c r="F12" s="114"/>
      <c r="G12" s="132"/>
      <c r="H12" s="132"/>
      <c r="I12" s="132"/>
      <c r="J12" s="114"/>
      <c r="K12" s="114"/>
      <c r="L12" s="114"/>
    </row>
    <row r="13" spans="1:12" x14ac:dyDescent="0.25">
      <c r="A13" s="114">
        <v>8</v>
      </c>
      <c r="B13" s="114" t="s">
        <v>156</v>
      </c>
      <c r="C13" s="114"/>
      <c r="D13" s="114"/>
      <c r="E13" s="114"/>
      <c r="F13" s="114"/>
      <c r="G13" s="132"/>
      <c r="H13" s="132"/>
      <c r="I13" s="132"/>
      <c r="J13" s="114"/>
      <c r="K13" s="114"/>
      <c r="L13" s="114"/>
    </row>
    <row r="14" spans="1:12" x14ac:dyDescent="0.25">
      <c r="A14" s="114">
        <v>9</v>
      </c>
      <c r="B14" s="114" t="s">
        <v>157</v>
      </c>
      <c r="C14" s="114"/>
      <c r="D14" s="114"/>
      <c r="E14" s="114"/>
      <c r="F14" s="114"/>
      <c r="G14" s="132"/>
      <c r="H14" s="132"/>
      <c r="I14" s="132"/>
      <c r="J14" s="114"/>
      <c r="K14" s="114"/>
      <c r="L14" s="114"/>
    </row>
    <row r="15" spans="1:12" x14ac:dyDescent="0.25">
      <c r="A15" s="114">
        <v>10</v>
      </c>
      <c r="B15" s="114" t="s">
        <v>158</v>
      </c>
      <c r="C15" s="114"/>
      <c r="D15" s="114"/>
      <c r="E15" s="114"/>
      <c r="F15" s="114"/>
      <c r="G15" s="132"/>
      <c r="H15" s="132"/>
      <c r="I15" s="132"/>
      <c r="J15" s="114"/>
      <c r="K15" s="114"/>
      <c r="L15" s="114"/>
    </row>
    <row r="16" spans="1:12" x14ac:dyDescent="0.25">
      <c r="A16" s="114">
        <v>11</v>
      </c>
      <c r="B16" s="114" t="s">
        <v>159</v>
      </c>
      <c r="C16" s="114"/>
      <c r="D16" s="114"/>
      <c r="E16" s="114"/>
      <c r="F16" s="114"/>
      <c r="G16" s="132"/>
      <c r="H16" s="132"/>
      <c r="I16" s="132"/>
      <c r="J16" s="114"/>
      <c r="K16" s="114"/>
      <c r="L16" s="114"/>
    </row>
    <row r="17" spans="1:12" x14ac:dyDescent="0.25">
      <c r="A17" s="114">
        <v>12</v>
      </c>
      <c r="B17" s="114" t="s">
        <v>160</v>
      </c>
      <c r="C17" s="114"/>
      <c r="D17" s="114"/>
      <c r="E17" s="114"/>
      <c r="F17" s="114"/>
      <c r="G17" s="132"/>
      <c r="H17" s="132"/>
      <c r="I17" s="132"/>
      <c r="J17" s="114"/>
      <c r="K17" s="114"/>
      <c r="L17" s="114"/>
    </row>
    <row r="18" spans="1:12" x14ac:dyDescent="0.25">
      <c r="A18" s="114">
        <v>13</v>
      </c>
      <c r="B18" s="114" t="s">
        <v>161</v>
      </c>
      <c r="C18" s="114"/>
      <c r="D18" s="114"/>
      <c r="E18" s="114"/>
      <c r="F18" s="114"/>
      <c r="G18" s="132"/>
      <c r="H18" s="132"/>
      <c r="I18" s="132"/>
      <c r="J18" s="114"/>
      <c r="K18" s="114"/>
      <c r="L18" s="114"/>
    </row>
    <row r="19" spans="1:12" x14ac:dyDescent="0.25">
      <c r="A19" s="114">
        <v>14</v>
      </c>
      <c r="B19" s="114" t="s">
        <v>162</v>
      </c>
      <c r="C19" s="114"/>
      <c r="D19" s="114"/>
      <c r="E19" s="114"/>
      <c r="F19" s="114"/>
      <c r="G19" s="132"/>
      <c r="H19" s="132"/>
      <c r="I19" s="132"/>
      <c r="J19" s="114"/>
      <c r="K19" s="114"/>
      <c r="L19" s="114"/>
    </row>
    <row r="20" spans="1:12" x14ac:dyDescent="0.25">
      <c r="A20" s="114">
        <v>15</v>
      </c>
      <c r="B20" s="114" t="s">
        <v>163</v>
      </c>
      <c r="C20" s="114"/>
      <c r="D20" s="114"/>
      <c r="E20" s="114"/>
      <c r="F20" s="114"/>
      <c r="G20" s="132"/>
      <c r="H20" s="132"/>
      <c r="I20" s="132"/>
      <c r="J20" s="114"/>
      <c r="K20" s="114"/>
      <c r="L20" s="114"/>
    </row>
    <row r="23" spans="1:12" ht="72.75" customHeight="1" x14ac:dyDescent="0.25"/>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25"/>
  <sheetViews>
    <sheetView zoomScaleNormal="100" workbookViewId="0">
      <pane ySplit="4" topLeftCell="A5" activePane="bottomLeft" state="frozen"/>
      <selection activeCell="D4" sqref="D4:XFD4"/>
      <selection pane="bottomLeft" activeCell="J1" sqref="J1"/>
    </sheetView>
  </sheetViews>
  <sheetFormatPr defaultColWidth="40" defaultRowHeight="15.75" customHeight="1" x14ac:dyDescent="0.25"/>
  <cols>
    <col min="1" max="1" width="14.83203125" style="46" bestFit="1" customWidth="1"/>
    <col min="2" max="2" width="40" style="46"/>
    <col min="3" max="3" width="44" style="151" customWidth="1"/>
    <col min="4" max="4" width="12.83203125" style="46" bestFit="1" customWidth="1"/>
    <col min="5" max="5" width="13.5" style="46" bestFit="1" customWidth="1"/>
    <col min="6" max="6" width="14" style="46" bestFit="1" customWidth="1"/>
    <col min="7" max="7" width="40" style="46"/>
    <col min="8" max="8" width="40" style="116"/>
    <col min="9" max="16384" width="40" style="46"/>
  </cols>
  <sheetData>
    <row r="1" spans="1:12" s="111" customFormat="1" ht="15.75" customHeight="1" x14ac:dyDescent="0.25">
      <c r="A1" s="110" t="s">
        <v>48</v>
      </c>
      <c r="B1" s="299" t="s">
        <v>15</v>
      </c>
      <c r="C1" s="149" t="s">
        <v>49</v>
      </c>
      <c r="D1" s="300" t="s">
        <v>126</v>
      </c>
      <c r="E1" s="110" t="s">
        <v>226</v>
      </c>
      <c r="F1" s="299" t="s">
        <v>326</v>
      </c>
      <c r="G1" s="110" t="s">
        <v>9</v>
      </c>
      <c r="H1" s="299" t="s">
        <v>228</v>
      </c>
      <c r="I1" s="107" t="s">
        <v>327</v>
      </c>
      <c r="J1" s="297" t="b">
        <v>0</v>
      </c>
    </row>
    <row r="2" spans="1:12" s="58" customFormat="1" ht="15.75" customHeight="1" x14ac:dyDescent="0.25">
      <c r="A2" s="127" t="s">
        <v>580</v>
      </c>
      <c r="B2" s="177" t="s">
        <v>579</v>
      </c>
      <c r="C2" s="177" t="s">
        <v>215</v>
      </c>
      <c r="D2" s="177" t="s">
        <v>577</v>
      </c>
      <c r="E2" s="57"/>
      <c r="F2" s="292" t="s">
        <v>501</v>
      </c>
      <c r="G2" s="293"/>
      <c r="H2" s="293"/>
      <c r="I2" s="294"/>
      <c r="J2" s="82"/>
    </row>
    <row r="3" spans="1:12" s="58" customFormat="1" ht="15.75" customHeight="1" x14ac:dyDescent="0.25">
      <c r="A3" s="177" t="s">
        <v>620</v>
      </c>
      <c r="B3" s="177" t="s">
        <v>576</v>
      </c>
      <c r="C3" s="177" t="s">
        <v>502</v>
      </c>
      <c r="D3" s="177" t="s">
        <v>578</v>
      </c>
      <c r="E3" s="57"/>
      <c r="F3" s="131" t="s">
        <v>502</v>
      </c>
      <c r="G3" s="132"/>
      <c r="H3" s="132"/>
      <c r="I3" s="132"/>
      <c r="J3" s="82"/>
    </row>
    <row r="4" spans="1:12" s="62" customFormat="1" ht="15.75" customHeight="1" x14ac:dyDescent="0.25">
      <c r="A4" s="45" t="s">
        <v>6</v>
      </c>
      <c r="B4" s="45" t="s">
        <v>226</v>
      </c>
      <c r="C4" s="78" t="s">
        <v>9</v>
      </c>
      <c r="D4" s="60" t="s">
        <v>50</v>
      </c>
      <c r="E4" s="61" t="s">
        <v>503</v>
      </c>
      <c r="F4" s="133" t="s">
        <v>500</v>
      </c>
      <c r="G4" s="132"/>
      <c r="H4" s="132"/>
      <c r="I4" s="132"/>
      <c r="J4" s="63"/>
    </row>
    <row r="5" spans="1:12" ht="15.75" customHeight="1" x14ac:dyDescent="0.25">
      <c r="A5" s="115" t="s">
        <v>172</v>
      </c>
      <c r="B5" s="115" t="s">
        <v>63</v>
      </c>
      <c r="C5" s="150" t="s">
        <v>79</v>
      </c>
      <c r="D5" s="115"/>
      <c r="E5" s="115"/>
      <c r="F5"/>
      <c r="G5" s="132"/>
      <c r="H5" s="132"/>
      <c r="I5" s="132"/>
      <c r="J5" s="115"/>
      <c r="K5" s="115"/>
      <c r="L5" s="113"/>
    </row>
    <row r="6" spans="1:12" ht="15.75" customHeight="1" x14ac:dyDescent="0.25">
      <c r="A6" s="115" t="s">
        <v>173</v>
      </c>
      <c r="B6" s="115" t="s">
        <v>64</v>
      </c>
      <c r="C6" s="150" t="s">
        <v>80</v>
      </c>
      <c r="D6" s="115"/>
      <c r="E6" s="115"/>
      <c r="F6"/>
      <c r="G6" s="132"/>
      <c r="H6" s="132"/>
      <c r="I6" s="132"/>
      <c r="J6" s="115"/>
      <c r="K6" s="115"/>
      <c r="L6" s="113"/>
    </row>
    <row r="7" spans="1:12" ht="15.75" customHeight="1" x14ac:dyDescent="0.25">
      <c r="A7" s="115" t="s">
        <v>174</v>
      </c>
      <c r="B7" s="115" t="s">
        <v>175</v>
      </c>
      <c r="C7" s="150" t="s">
        <v>81</v>
      </c>
      <c r="D7" s="115"/>
      <c r="E7" s="115"/>
      <c r="F7"/>
      <c r="G7" s="132"/>
      <c r="H7" s="132"/>
      <c r="I7" s="132"/>
      <c r="J7" s="115"/>
      <c r="K7" s="115"/>
      <c r="L7" s="113"/>
    </row>
    <row r="8" spans="1:12" ht="15.75" customHeight="1" x14ac:dyDescent="0.25">
      <c r="A8" s="115" t="s">
        <v>176</v>
      </c>
      <c r="B8" s="115" t="s">
        <v>177</v>
      </c>
      <c r="C8" s="150" t="s">
        <v>82</v>
      </c>
      <c r="D8" s="115"/>
      <c r="E8" s="115"/>
      <c r="F8"/>
      <c r="G8" s="132"/>
      <c r="H8" s="132"/>
      <c r="I8" s="132"/>
      <c r="J8" s="115"/>
      <c r="K8" s="115"/>
      <c r="L8" s="113"/>
    </row>
    <row r="9" spans="1:12" ht="15.75" customHeight="1" x14ac:dyDescent="0.25">
      <c r="A9" s="115" t="s">
        <v>178</v>
      </c>
      <c r="B9" s="115" t="s">
        <v>179</v>
      </c>
      <c r="C9" s="150" t="s">
        <v>83</v>
      </c>
      <c r="D9" s="115"/>
      <c r="E9" s="115"/>
      <c r="F9" s="115"/>
      <c r="G9" s="132"/>
      <c r="H9" s="132"/>
      <c r="I9" s="132"/>
      <c r="J9" s="115"/>
      <c r="K9" s="115"/>
      <c r="L9" s="113"/>
    </row>
    <row r="10" spans="1:12" ht="15.75" customHeight="1" x14ac:dyDescent="0.25">
      <c r="A10" s="115" t="s">
        <v>180</v>
      </c>
      <c r="B10" s="115" t="s">
        <v>181</v>
      </c>
      <c r="C10" s="150" t="s">
        <v>84</v>
      </c>
      <c r="D10" s="115"/>
      <c r="E10" s="115"/>
      <c r="F10" s="115"/>
      <c r="G10" s="132"/>
      <c r="H10" s="132"/>
      <c r="I10" s="132"/>
      <c r="J10" s="115"/>
      <c r="K10" s="115"/>
      <c r="L10" s="113"/>
    </row>
    <row r="11" spans="1:12" ht="15.75" customHeight="1" x14ac:dyDescent="0.25">
      <c r="A11" s="115" t="s">
        <v>182</v>
      </c>
      <c r="B11" s="115" t="s">
        <v>183</v>
      </c>
      <c r="C11" s="150" t="s">
        <v>85</v>
      </c>
      <c r="D11" s="115"/>
      <c r="E11" s="115"/>
      <c r="F11" s="115"/>
      <c r="G11" s="132"/>
      <c r="H11" s="132"/>
      <c r="I11" s="132"/>
      <c r="J11" s="115"/>
      <c r="K11" s="115"/>
      <c r="L11" s="113"/>
    </row>
    <row r="12" spans="1:12" ht="15.75" customHeight="1" x14ac:dyDescent="0.25">
      <c r="A12" s="115" t="s">
        <v>184</v>
      </c>
      <c r="B12" s="115" t="s">
        <v>185</v>
      </c>
      <c r="C12" s="150" t="s">
        <v>86</v>
      </c>
      <c r="D12" s="115"/>
      <c r="E12" s="115"/>
      <c r="F12" s="115"/>
      <c r="G12" s="132"/>
      <c r="H12" s="132"/>
      <c r="I12" s="132"/>
      <c r="J12" s="115"/>
      <c r="K12" s="115"/>
      <c r="L12" s="113"/>
    </row>
    <row r="13" spans="1:12" ht="15.75" customHeight="1" x14ac:dyDescent="0.25">
      <c r="A13" s="115" t="s">
        <v>186</v>
      </c>
      <c r="B13" s="115" t="s">
        <v>187</v>
      </c>
      <c r="C13" s="150" t="s">
        <v>87</v>
      </c>
      <c r="D13" s="115"/>
      <c r="E13" s="115"/>
      <c r="F13" s="115"/>
      <c r="G13" s="132"/>
      <c r="H13" s="132"/>
      <c r="I13" s="132"/>
      <c r="J13" s="115"/>
      <c r="K13" s="115"/>
      <c r="L13" s="113"/>
    </row>
    <row r="14" spans="1:12" ht="15.75" customHeight="1" x14ac:dyDescent="0.25">
      <c r="A14" s="115" t="s">
        <v>188</v>
      </c>
      <c r="B14" s="115" t="s">
        <v>77</v>
      </c>
      <c r="C14" s="150" t="s">
        <v>88</v>
      </c>
      <c r="D14" s="115"/>
      <c r="E14" s="115"/>
      <c r="F14" s="115"/>
      <c r="G14" s="132"/>
      <c r="H14" s="132"/>
      <c r="I14" s="132"/>
      <c r="J14" s="115"/>
      <c r="K14" s="115"/>
      <c r="L14" s="113"/>
    </row>
    <row r="15" spans="1:12" ht="15.75" customHeight="1" x14ac:dyDescent="0.25">
      <c r="A15" s="115" t="s">
        <v>189</v>
      </c>
      <c r="B15" s="115" t="s">
        <v>78</v>
      </c>
      <c r="C15" s="150" t="s">
        <v>89</v>
      </c>
      <c r="D15" s="115"/>
      <c r="E15" s="115"/>
      <c r="F15" s="115"/>
      <c r="G15" s="132"/>
      <c r="H15" s="132"/>
      <c r="I15" s="132"/>
      <c r="J15" s="115"/>
      <c r="K15" s="115"/>
      <c r="L15" s="113"/>
    </row>
    <row r="16" spans="1:12" ht="15.75" customHeight="1" x14ac:dyDescent="0.25">
      <c r="A16" s="115" t="s">
        <v>190</v>
      </c>
      <c r="B16" s="115" t="s">
        <v>90</v>
      </c>
      <c r="C16" s="150" t="s">
        <v>93</v>
      </c>
      <c r="D16" s="115"/>
      <c r="E16" s="115"/>
      <c r="F16" s="115"/>
      <c r="G16" s="132"/>
      <c r="H16" s="132"/>
      <c r="I16" s="132"/>
      <c r="J16" s="115"/>
      <c r="K16" s="115"/>
      <c r="L16" s="113"/>
    </row>
    <row r="17" spans="1:12" ht="15.75" customHeight="1" x14ac:dyDescent="0.25">
      <c r="A17" s="115" t="s">
        <v>191</v>
      </c>
      <c r="B17" s="115" t="s">
        <v>91</v>
      </c>
      <c r="C17" s="150" t="s">
        <v>94</v>
      </c>
      <c r="D17" s="115"/>
      <c r="E17" s="115"/>
      <c r="F17" s="115"/>
      <c r="G17" s="132"/>
      <c r="H17" s="132"/>
      <c r="I17" s="132"/>
      <c r="J17" s="115"/>
      <c r="K17" s="115"/>
      <c r="L17" s="113"/>
    </row>
    <row r="18" spans="1:12" ht="15.75" customHeight="1" x14ac:dyDescent="0.25">
      <c r="A18" s="115" t="s">
        <v>192</v>
      </c>
      <c r="B18" s="115" t="s">
        <v>92</v>
      </c>
      <c r="C18" s="150" t="s">
        <v>95</v>
      </c>
      <c r="D18" s="115"/>
      <c r="E18" s="115"/>
      <c r="F18" s="115"/>
      <c r="G18" s="132"/>
      <c r="H18" s="132"/>
      <c r="I18" s="132"/>
      <c r="J18" s="115"/>
      <c r="K18" s="115"/>
      <c r="L18" s="113"/>
    </row>
    <row r="19" spans="1:12" ht="15.75" customHeight="1" x14ac:dyDescent="0.25">
      <c r="A19" s="115" t="s">
        <v>65</v>
      </c>
      <c r="B19" s="115" t="s">
        <v>193</v>
      </c>
      <c r="C19" s="150" t="s">
        <v>66</v>
      </c>
      <c r="D19" s="115"/>
      <c r="E19" s="115"/>
      <c r="F19" s="115"/>
      <c r="G19" s="132"/>
      <c r="H19" s="132"/>
      <c r="I19" s="132"/>
      <c r="J19" s="115"/>
      <c r="K19" s="115"/>
      <c r="L19" s="113"/>
    </row>
    <row r="20" spans="1:12" ht="15.75" customHeight="1" x14ac:dyDescent="0.25">
      <c r="A20" s="115" t="s">
        <v>67</v>
      </c>
      <c r="B20" s="115" t="s">
        <v>68</v>
      </c>
      <c r="C20" s="150" t="s">
        <v>66</v>
      </c>
      <c r="D20" s="115"/>
      <c r="E20" s="115"/>
      <c r="F20" s="115"/>
      <c r="G20" s="132"/>
      <c r="H20" s="132"/>
      <c r="I20" s="132"/>
      <c r="J20" s="115"/>
      <c r="K20" s="115"/>
      <c r="L20" s="113"/>
    </row>
    <row r="21" spans="1:12" ht="15.75" customHeight="1" x14ac:dyDescent="0.25">
      <c r="A21" s="115" t="s">
        <v>69</v>
      </c>
      <c r="B21" s="115" t="s">
        <v>24</v>
      </c>
      <c r="C21" s="150" t="s">
        <v>66</v>
      </c>
      <c r="D21" s="115"/>
      <c r="E21" s="115"/>
      <c r="F21" s="115"/>
      <c r="G21" s="132"/>
      <c r="H21" s="132"/>
      <c r="I21" s="132"/>
      <c r="J21" s="115"/>
      <c r="K21" s="115"/>
      <c r="L21" s="113"/>
    </row>
    <row r="22" spans="1:12" ht="15.75" customHeight="1" x14ac:dyDescent="0.25">
      <c r="A22" s="115" t="s">
        <v>70</v>
      </c>
      <c r="B22" s="115" t="s">
        <v>25</v>
      </c>
      <c r="C22" s="150" t="s">
        <v>66</v>
      </c>
      <c r="D22" s="115"/>
      <c r="E22" s="115"/>
      <c r="F22" s="115"/>
      <c r="G22" s="132"/>
      <c r="H22" s="132"/>
      <c r="I22" s="132"/>
      <c r="J22" s="115"/>
      <c r="K22" s="115"/>
      <c r="L22" s="113"/>
    </row>
    <row r="23" spans="1:12" ht="15.75" customHeight="1" x14ac:dyDescent="0.25">
      <c r="A23" s="115" t="s">
        <v>71</v>
      </c>
      <c r="B23" s="115" t="s">
        <v>72</v>
      </c>
      <c r="C23" s="150" t="s">
        <v>66</v>
      </c>
      <c r="D23" s="115"/>
      <c r="E23" s="115"/>
      <c r="F23" s="115"/>
      <c r="G23" s="132"/>
      <c r="H23" s="132"/>
      <c r="I23" s="132"/>
      <c r="J23" s="115"/>
      <c r="K23" s="115"/>
      <c r="L23" s="113"/>
    </row>
    <row r="24" spans="1:12" ht="15.75" customHeight="1" x14ac:dyDescent="0.25">
      <c r="A24" s="115" t="s">
        <v>73</v>
      </c>
      <c r="B24" s="115" t="s">
        <v>74</v>
      </c>
      <c r="C24" s="150" t="s">
        <v>66</v>
      </c>
      <c r="D24" s="115"/>
      <c r="E24" s="115"/>
      <c r="F24" s="115"/>
      <c r="G24" s="132"/>
      <c r="H24" s="132"/>
      <c r="I24" s="132"/>
      <c r="J24" s="115"/>
      <c r="K24" s="115"/>
      <c r="L24" s="113"/>
    </row>
    <row r="25" spans="1:12" ht="15.75" customHeight="1" x14ac:dyDescent="0.25">
      <c r="A25" s="115" t="s">
        <v>75</v>
      </c>
      <c r="B25" s="115" t="s">
        <v>76</v>
      </c>
      <c r="C25" s="150" t="s">
        <v>66</v>
      </c>
      <c r="D25" s="115"/>
      <c r="E25" s="115"/>
      <c r="F25" s="115"/>
      <c r="G25" s="132"/>
      <c r="H25" s="132"/>
      <c r="I25" s="132"/>
      <c r="J25" s="115"/>
      <c r="K25" s="115"/>
      <c r="L25" s="11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35"/>
  <sheetViews>
    <sheetView zoomScaleNormal="100" workbookViewId="0">
      <pane ySplit="4" topLeftCell="A5" activePane="bottomLeft" state="frozen"/>
      <selection activeCell="D4" sqref="D4:XFD4"/>
      <selection pane="bottomLeft" activeCell="J1" sqref="J1"/>
    </sheetView>
  </sheetViews>
  <sheetFormatPr defaultColWidth="21.6640625" defaultRowHeight="15" x14ac:dyDescent="0.2"/>
  <cols>
    <col min="1" max="1" width="15" style="87" bestFit="1" customWidth="1"/>
    <col min="2" max="2" width="23.83203125" style="87" bestFit="1" customWidth="1"/>
    <col min="3" max="3" width="26" style="87" customWidth="1"/>
    <col min="4" max="4" width="21.6640625" style="87" bestFit="1" customWidth="1"/>
    <col min="5" max="5" width="13.5" style="87" bestFit="1" customWidth="1"/>
    <col min="6" max="6" width="16.5" style="87" bestFit="1" customWidth="1"/>
    <col min="7" max="7" width="13" style="87" bestFit="1" customWidth="1"/>
    <col min="8" max="8" width="17.6640625" style="87" bestFit="1" customWidth="1"/>
    <col min="9" max="9" width="7.83203125" style="87" bestFit="1" customWidth="1"/>
    <col min="10" max="10" width="7.33203125" style="87" bestFit="1" customWidth="1"/>
    <col min="11" max="16384" width="21.6640625" style="87"/>
  </cols>
  <sheetData>
    <row r="1" spans="1:10" s="108" customFormat="1" x14ac:dyDescent="0.2">
      <c r="A1" s="107" t="s">
        <v>48</v>
      </c>
      <c r="B1" s="297" t="s">
        <v>15</v>
      </c>
      <c r="C1" s="109" t="s">
        <v>49</v>
      </c>
      <c r="D1" s="298" t="s">
        <v>594</v>
      </c>
      <c r="E1" s="107" t="s">
        <v>226</v>
      </c>
      <c r="F1" s="297" t="s">
        <v>42</v>
      </c>
      <c r="G1" s="107" t="s">
        <v>9</v>
      </c>
      <c r="H1" s="297" t="s">
        <v>228</v>
      </c>
      <c r="I1" s="107" t="s">
        <v>327</v>
      </c>
      <c r="J1" s="297" t="b">
        <v>0</v>
      </c>
    </row>
    <row r="2" spans="1:10" s="82" customFormat="1" x14ac:dyDescent="0.2">
      <c r="A2" s="129" t="s">
        <v>580</v>
      </c>
      <c r="B2" s="192" t="s">
        <v>579</v>
      </c>
      <c r="C2" s="192" t="s">
        <v>215</v>
      </c>
      <c r="D2" s="192" t="s">
        <v>577</v>
      </c>
      <c r="E2" s="193"/>
      <c r="F2" s="292" t="s">
        <v>501</v>
      </c>
      <c r="G2" s="293"/>
      <c r="H2" s="293"/>
      <c r="I2" s="294"/>
    </row>
    <row r="3" spans="1:10" s="82" customFormat="1" x14ac:dyDescent="0.2">
      <c r="A3" s="177" t="s">
        <v>620</v>
      </c>
      <c r="B3" s="192" t="s">
        <v>576</v>
      </c>
      <c r="C3" s="192" t="s">
        <v>502</v>
      </c>
      <c r="D3" s="192" t="s">
        <v>578</v>
      </c>
      <c r="E3" s="193"/>
      <c r="F3" s="131" t="s">
        <v>502</v>
      </c>
      <c r="G3" s="194"/>
      <c r="H3" s="194"/>
      <c r="I3" s="194"/>
    </row>
    <row r="4" spans="1:10" s="75" customFormat="1" x14ac:dyDescent="0.2">
      <c r="A4" s="178" t="s">
        <v>6</v>
      </c>
      <c r="B4" s="178" t="s">
        <v>226</v>
      </c>
      <c r="C4" s="148" t="s">
        <v>9</v>
      </c>
      <c r="D4" s="195" t="s">
        <v>50</v>
      </c>
      <c r="E4" s="196" t="s">
        <v>503</v>
      </c>
      <c r="F4" s="133" t="s">
        <v>500</v>
      </c>
      <c r="G4" s="194"/>
      <c r="H4" s="194"/>
      <c r="I4" s="194"/>
      <c r="J4" s="76"/>
    </row>
    <row r="5" spans="1:10" ht="17.25" x14ac:dyDescent="0.25">
      <c r="A5" s="46">
        <v>0</v>
      </c>
      <c r="B5" s="46" t="s">
        <v>164</v>
      </c>
      <c r="C5" s="46" t="s">
        <v>631</v>
      </c>
    </row>
    <row r="6" spans="1:10" ht="17.25" x14ac:dyDescent="0.25">
      <c r="A6" s="46">
        <v>1</v>
      </c>
      <c r="B6" s="46" t="s">
        <v>165</v>
      </c>
      <c r="C6" s="46" t="s">
        <v>632</v>
      </c>
    </row>
    <row r="7" spans="1:10" x14ac:dyDescent="0.25">
      <c r="A7" s="46">
        <v>2</v>
      </c>
      <c r="B7" s="46" t="s">
        <v>166</v>
      </c>
      <c r="C7" s="46" t="s">
        <v>595</v>
      </c>
    </row>
    <row r="8" spans="1:10" x14ac:dyDescent="0.25">
      <c r="A8" s="46">
        <v>3</v>
      </c>
      <c r="B8" s="46" t="s">
        <v>167</v>
      </c>
      <c r="C8" s="46" t="s">
        <v>596</v>
      </c>
    </row>
    <row r="9" spans="1:10" ht="17.25" x14ac:dyDescent="0.25">
      <c r="A9" s="46">
        <v>4</v>
      </c>
      <c r="B9" s="46" t="s">
        <v>168</v>
      </c>
      <c r="C9" s="46" t="s">
        <v>633</v>
      </c>
    </row>
    <row r="10" spans="1:10" ht="17.25" x14ac:dyDescent="0.25">
      <c r="A10" s="46">
        <v>5</v>
      </c>
      <c r="B10" s="46" t="s">
        <v>169</v>
      </c>
      <c r="C10" s="46" t="s">
        <v>634</v>
      </c>
    </row>
    <row r="11" spans="1:10" ht="17.25" x14ac:dyDescent="0.25">
      <c r="A11" s="46">
        <v>6</v>
      </c>
      <c r="B11" s="46" t="s">
        <v>170</v>
      </c>
      <c r="C11" s="46" t="s">
        <v>635</v>
      </c>
    </row>
    <row r="12" spans="1:10" ht="17.25" x14ac:dyDescent="0.25">
      <c r="A12" s="46">
        <v>7</v>
      </c>
      <c r="B12" s="46" t="s">
        <v>597</v>
      </c>
      <c r="C12" s="46" t="s">
        <v>636</v>
      </c>
    </row>
    <row r="13" spans="1:10" ht="17.25" x14ac:dyDescent="0.25">
      <c r="A13" s="46">
        <v>8</v>
      </c>
      <c r="B13" s="46" t="s">
        <v>598</v>
      </c>
      <c r="C13" s="46" t="s">
        <v>637</v>
      </c>
    </row>
    <row r="14" spans="1:10" ht="17.25" x14ac:dyDescent="0.25">
      <c r="A14" s="46">
        <v>9</v>
      </c>
      <c r="B14" s="46" t="s">
        <v>171</v>
      </c>
      <c r="C14" s="46" t="s">
        <v>638</v>
      </c>
    </row>
    <row r="15" spans="1:10" ht="17.25" x14ac:dyDescent="0.25">
      <c r="A15" s="46">
        <v>10</v>
      </c>
      <c r="B15" s="46" t="s">
        <v>599</v>
      </c>
      <c r="C15" s="46" t="s">
        <v>639</v>
      </c>
    </row>
    <row r="16" spans="1:10" ht="17.25" x14ac:dyDescent="0.25">
      <c r="A16" s="46">
        <v>11</v>
      </c>
      <c r="B16" s="46" t="s">
        <v>600</v>
      </c>
      <c r="C16" s="46" t="s">
        <v>640</v>
      </c>
    </row>
    <row r="17" spans="1:3" ht="17.25" x14ac:dyDescent="0.25">
      <c r="A17" s="46">
        <v>12</v>
      </c>
      <c r="B17" s="46" t="s">
        <v>601</v>
      </c>
      <c r="C17" s="46" t="s">
        <v>641</v>
      </c>
    </row>
    <row r="18" spans="1:3" ht="17.25" x14ac:dyDescent="0.25">
      <c r="A18" s="46">
        <v>13</v>
      </c>
      <c r="B18" s="46" t="s">
        <v>602</v>
      </c>
      <c r="C18" s="46" t="s">
        <v>642</v>
      </c>
    </row>
    <row r="19" spans="1:3" ht="17.25" x14ac:dyDescent="0.25">
      <c r="A19" s="46">
        <v>14</v>
      </c>
      <c r="B19" s="46" t="s">
        <v>603</v>
      </c>
      <c r="C19" s="46" t="s">
        <v>643</v>
      </c>
    </row>
    <row r="20" spans="1:3" ht="17.25" x14ac:dyDescent="0.25">
      <c r="A20" s="46">
        <v>15</v>
      </c>
      <c r="B20" s="46" t="s">
        <v>604</v>
      </c>
      <c r="C20" s="46" t="s">
        <v>644</v>
      </c>
    </row>
    <row r="21" spans="1:3" ht="17.25" x14ac:dyDescent="0.25">
      <c r="A21" s="46">
        <v>-1</v>
      </c>
      <c r="B21" s="46" t="s">
        <v>605</v>
      </c>
      <c r="C21" s="46" t="s">
        <v>645</v>
      </c>
    </row>
    <row r="22" spans="1:3" ht="17.25" x14ac:dyDescent="0.25">
      <c r="A22" s="46">
        <v>-2</v>
      </c>
      <c r="B22" s="46" t="s">
        <v>606</v>
      </c>
      <c r="C22" s="46" t="s">
        <v>646</v>
      </c>
    </row>
    <row r="23" spans="1:3" ht="17.25" x14ac:dyDescent="0.25">
      <c r="A23" s="46">
        <v>-3</v>
      </c>
      <c r="B23" s="46" t="s">
        <v>592</v>
      </c>
      <c r="C23" s="46" t="s">
        <v>647</v>
      </c>
    </row>
    <row r="24" spans="1:3" ht="17.25" x14ac:dyDescent="0.25">
      <c r="A24" s="46">
        <v>-4</v>
      </c>
      <c r="B24" s="46" t="s">
        <v>607</v>
      </c>
      <c r="C24" s="46" t="s">
        <v>648</v>
      </c>
    </row>
    <row r="25" spans="1:3" ht="17.25" x14ac:dyDescent="0.25">
      <c r="A25" s="46">
        <v>-5</v>
      </c>
      <c r="B25" s="46" t="s">
        <v>608</v>
      </c>
      <c r="C25" s="46" t="s">
        <v>649</v>
      </c>
    </row>
    <row r="26" spans="1:3" ht="17.25" x14ac:dyDescent="0.25">
      <c r="A26" s="46">
        <v>-6</v>
      </c>
      <c r="B26" s="46" t="s">
        <v>609</v>
      </c>
      <c r="C26" s="46" t="s">
        <v>650</v>
      </c>
    </row>
    <row r="27" spans="1:3" ht="17.25" x14ac:dyDescent="0.25">
      <c r="A27" s="46">
        <v>-7</v>
      </c>
      <c r="B27" s="46" t="s">
        <v>610</v>
      </c>
      <c r="C27" s="46" t="s">
        <v>651</v>
      </c>
    </row>
    <row r="28" spans="1:3" ht="17.25" x14ac:dyDescent="0.25">
      <c r="A28" s="46">
        <v>-8</v>
      </c>
      <c r="B28" s="46" t="s">
        <v>611</v>
      </c>
      <c r="C28" s="46" t="s">
        <v>652</v>
      </c>
    </row>
    <row r="29" spans="1:3" ht="17.25" x14ac:dyDescent="0.25">
      <c r="A29" s="46">
        <v>-9</v>
      </c>
      <c r="B29" s="46" t="s">
        <v>612</v>
      </c>
      <c r="C29" s="46" t="s">
        <v>653</v>
      </c>
    </row>
    <row r="30" spans="1:3" ht="17.25" x14ac:dyDescent="0.25">
      <c r="A30" s="46">
        <v>-10</v>
      </c>
      <c r="B30" s="46" t="s">
        <v>613</v>
      </c>
      <c r="C30" s="46" t="s">
        <v>654</v>
      </c>
    </row>
    <row r="31" spans="1:3" ht="17.25" x14ac:dyDescent="0.25">
      <c r="A31" s="46">
        <v>-11</v>
      </c>
      <c r="B31" s="46" t="s">
        <v>614</v>
      </c>
      <c r="C31" s="46" t="s">
        <v>655</v>
      </c>
    </row>
    <row r="32" spans="1:3" ht="17.25" x14ac:dyDescent="0.25">
      <c r="A32" s="46">
        <v>-12</v>
      </c>
      <c r="B32" s="46" t="s">
        <v>615</v>
      </c>
      <c r="C32" s="46" t="s">
        <v>656</v>
      </c>
    </row>
    <row r="33" spans="1:3" ht="17.25" x14ac:dyDescent="0.25">
      <c r="A33" s="46">
        <v>-13</v>
      </c>
      <c r="B33" s="46" t="s">
        <v>616</v>
      </c>
      <c r="C33" s="46" t="s">
        <v>657</v>
      </c>
    </row>
    <row r="34" spans="1:3" ht="17.25" x14ac:dyDescent="0.25">
      <c r="A34" s="46">
        <v>-14</v>
      </c>
      <c r="B34" s="46" t="s">
        <v>617</v>
      </c>
      <c r="C34" s="46" t="s">
        <v>658</v>
      </c>
    </row>
    <row r="35" spans="1:3" ht="17.25" x14ac:dyDescent="0.25">
      <c r="A35" s="46">
        <v>-15</v>
      </c>
      <c r="B35" s="46" t="s">
        <v>618</v>
      </c>
      <c r="C35" s="46" t="s">
        <v>659</v>
      </c>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4"/>
  <sheetViews>
    <sheetView zoomScaleNormal="100" workbookViewId="0">
      <selection activeCell="J1" sqref="J1"/>
    </sheetView>
  </sheetViews>
  <sheetFormatPr defaultRowHeight="12.75" x14ac:dyDescent="0.2"/>
  <cols>
    <col min="1" max="1" width="15" style="155" bestFit="1" customWidth="1"/>
    <col min="2" max="2" width="17.1640625" style="155" bestFit="1" customWidth="1"/>
    <col min="3" max="3" width="13.6640625" style="155" customWidth="1"/>
    <col min="4" max="4" width="21.6640625" style="155" bestFit="1" customWidth="1"/>
    <col min="5" max="5" width="13.5" style="155" bestFit="1" customWidth="1"/>
    <col min="6" max="6" width="13.83203125" style="155" customWidth="1"/>
    <col min="7" max="9" width="9.33203125" style="155"/>
  </cols>
  <sheetData>
    <row r="1" spans="1:10" ht="15" x14ac:dyDescent="0.25">
      <c r="A1" s="110" t="s">
        <v>48</v>
      </c>
      <c r="B1" s="299" t="s">
        <v>15</v>
      </c>
      <c r="C1" s="112" t="s">
        <v>49</v>
      </c>
      <c r="D1" s="300" t="s">
        <v>147</v>
      </c>
      <c r="E1" s="110" t="s">
        <v>226</v>
      </c>
      <c r="F1" s="299" t="s">
        <v>624</v>
      </c>
      <c r="G1" s="110" t="s">
        <v>9</v>
      </c>
      <c r="H1" s="299"/>
      <c r="I1" s="107" t="s">
        <v>327</v>
      </c>
      <c r="J1" s="297" t="b">
        <v>0</v>
      </c>
    </row>
    <row r="2" spans="1:10" ht="15" x14ac:dyDescent="0.25">
      <c r="A2" s="210" t="s">
        <v>580</v>
      </c>
      <c r="B2" s="211" t="s">
        <v>579</v>
      </c>
      <c r="C2" s="211" t="s">
        <v>215</v>
      </c>
      <c r="D2" s="211" t="s">
        <v>577</v>
      </c>
      <c r="E2" s="209"/>
      <c r="F2" s="293" t="s">
        <v>501</v>
      </c>
      <c r="G2" s="293"/>
      <c r="H2" s="293"/>
      <c r="I2" s="294"/>
      <c r="J2" s="82"/>
    </row>
    <row r="3" spans="1:10" ht="15" x14ac:dyDescent="0.25">
      <c r="A3" s="212" t="s">
        <v>620</v>
      </c>
      <c r="B3" s="211" t="s">
        <v>576</v>
      </c>
      <c r="C3" s="211" t="s">
        <v>502</v>
      </c>
      <c r="D3" s="211" t="s">
        <v>578</v>
      </c>
      <c r="E3" s="209"/>
      <c r="F3" s="208" t="s">
        <v>502</v>
      </c>
      <c r="J3" s="82"/>
    </row>
    <row r="4" spans="1:10" s="154" customFormat="1" ht="15" x14ac:dyDescent="0.2">
      <c r="A4" s="77" t="s">
        <v>6</v>
      </c>
      <c r="B4" s="77" t="s">
        <v>226</v>
      </c>
      <c r="C4" s="78" t="s">
        <v>9</v>
      </c>
      <c r="D4" s="79" t="s">
        <v>50</v>
      </c>
      <c r="E4" s="80" t="s">
        <v>503</v>
      </c>
      <c r="F4" s="133" t="s">
        <v>500</v>
      </c>
      <c r="G4" s="155"/>
      <c r="H4" s="155"/>
      <c r="I4" s="155"/>
      <c r="J4" s="213"/>
    </row>
    <row r="5" spans="1:10" ht="15" x14ac:dyDescent="0.25">
      <c r="J5" s="114"/>
    </row>
    <row r="6" spans="1:10" ht="15" x14ac:dyDescent="0.25">
      <c r="J6" s="114"/>
    </row>
    <row r="7" spans="1:10" ht="15" x14ac:dyDescent="0.25">
      <c r="J7" s="114"/>
    </row>
    <row r="8" spans="1:10" ht="15" x14ac:dyDescent="0.25">
      <c r="J8" s="114"/>
    </row>
    <row r="9" spans="1:10" ht="15" x14ac:dyDescent="0.25">
      <c r="J9" s="114"/>
    </row>
    <row r="10" spans="1:10" ht="15" x14ac:dyDescent="0.25">
      <c r="J10" s="114"/>
    </row>
    <row r="11" spans="1:10" ht="15" x14ac:dyDescent="0.25">
      <c r="J11" s="114"/>
    </row>
    <row r="12" spans="1:10" ht="15" x14ac:dyDescent="0.25">
      <c r="J12" s="114"/>
    </row>
    <row r="13" spans="1:10" ht="15" x14ac:dyDescent="0.25">
      <c r="J13" s="114"/>
    </row>
    <row r="14" spans="1:10" ht="15" x14ac:dyDescent="0.25">
      <c r="J14" s="114"/>
    </row>
  </sheetData>
  <protectedRanges>
    <protectedRange algorithmName="SHA-512" hashValue="tJCJQaOgfmy2r1rFYCnjXhzZEhE2kP4S8Vf+gB8pONH/1a7tGQ/hC3ume17TqtVdr7YBov/Z4zJR/nYK8XqTtQ==" saltValue="EGiuSnaV98/e+Uxf8wUSWg==" spinCount="100000" sqref="A2:E4 F2:I2 F3:F4" name="Range1"/>
  </protectedRanges>
  <dataConsolidate/>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4"/>
  <sheetViews>
    <sheetView tabSelected="1" zoomScaleNormal="100" workbookViewId="0">
      <selection activeCell="K16" sqref="K16"/>
    </sheetView>
  </sheetViews>
  <sheetFormatPr defaultRowHeight="12.75" x14ac:dyDescent="0.2"/>
  <cols>
    <col min="1" max="1" width="15" style="155" bestFit="1" customWidth="1"/>
    <col min="2" max="2" width="17.1640625" style="155" bestFit="1" customWidth="1"/>
    <col min="3" max="3" width="13.6640625" style="155" customWidth="1"/>
    <col min="4" max="4" width="21.6640625" style="155" bestFit="1" customWidth="1"/>
    <col min="5" max="5" width="13.5" style="155" bestFit="1" customWidth="1"/>
    <col min="6" max="6" width="13.83203125" style="155" customWidth="1"/>
    <col min="7" max="9" width="9.33203125" style="155"/>
  </cols>
  <sheetData>
    <row r="1" spans="1:10" ht="15" x14ac:dyDescent="0.25">
      <c r="A1" s="110" t="s">
        <v>48</v>
      </c>
      <c r="B1" s="299"/>
      <c r="C1" s="112" t="s">
        <v>49</v>
      </c>
      <c r="D1" s="300"/>
      <c r="E1" s="110" t="s">
        <v>226</v>
      </c>
      <c r="F1" s="299"/>
      <c r="G1" s="110" t="s">
        <v>9</v>
      </c>
      <c r="H1" s="299"/>
      <c r="I1" s="107" t="s">
        <v>327</v>
      </c>
      <c r="J1" s="297" t="b">
        <v>0</v>
      </c>
    </row>
    <row r="2" spans="1:10" ht="15" x14ac:dyDescent="0.25">
      <c r="A2" s="210" t="s">
        <v>580</v>
      </c>
      <c r="B2" s="211" t="s">
        <v>579</v>
      </c>
      <c r="C2" s="211" t="s">
        <v>215</v>
      </c>
      <c r="D2" s="211" t="s">
        <v>577</v>
      </c>
      <c r="E2" s="209"/>
      <c r="F2" s="293" t="s">
        <v>501</v>
      </c>
      <c r="G2" s="293"/>
      <c r="H2" s="293"/>
      <c r="I2" s="294"/>
      <c r="J2" s="82"/>
    </row>
    <row r="3" spans="1:10" ht="15" x14ac:dyDescent="0.25">
      <c r="A3" s="212" t="s">
        <v>620</v>
      </c>
      <c r="B3" s="211" t="s">
        <v>576</v>
      </c>
      <c r="C3" s="211" t="s">
        <v>502</v>
      </c>
      <c r="D3" s="211" t="s">
        <v>578</v>
      </c>
      <c r="E3" s="209"/>
      <c r="F3" s="208" t="s">
        <v>502</v>
      </c>
      <c r="J3" s="82"/>
    </row>
    <row r="4" spans="1:10" s="154" customFormat="1" ht="15" x14ac:dyDescent="0.2">
      <c r="A4" s="77" t="s">
        <v>6</v>
      </c>
      <c r="B4" s="77" t="s">
        <v>226</v>
      </c>
      <c r="C4" s="78" t="s">
        <v>9</v>
      </c>
      <c r="D4" s="79" t="s">
        <v>50</v>
      </c>
      <c r="E4" s="80" t="s">
        <v>503</v>
      </c>
      <c r="F4" s="133" t="s">
        <v>500</v>
      </c>
      <c r="G4" s="155"/>
      <c r="H4" s="155"/>
      <c r="I4" s="155"/>
      <c r="J4" s="213"/>
    </row>
    <row r="5" spans="1:10" ht="15" x14ac:dyDescent="0.25">
      <c r="J5" s="114"/>
    </row>
    <row r="6" spans="1:10" ht="15" x14ac:dyDescent="0.25">
      <c r="J6" s="114"/>
    </row>
    <row r="7" spans="1:10" ht="15" x14ac:dyDescent="0.25">
      <c r="J7" s="114"/>
    </row>
    <row r="8" spans="1:10" ht="15" x14ac:dyDescent="0.25">
      <c r="J8" s="114"/>
    </row>
    <row r="9" spans="1:10" ht="15" x14ac:dyDescent="0.25">
      <c r="J9" s="114"/>
    </row>
    <row r="10" spans="1:10" ht="15" x14ac:dyDescent="0.25">
      <c r="J10" s="114"/>
    </row>
    <row r="11" spans="1:10" ht="15" x14ac:dyDescent="0.25">
      <c r="J11" s="114"/>
    </row>
    <row r="12" spans="1:10" ht="15" x14ac:dyDescent="0.25">
      <c r="J12" s="114"/>
    </row>
    <row r="13" spans="1:10" ht="15" x14ac:dyDescent="0.25">
      <c r="J13" s="114"/>
    </row>
    <row r="14" spans="1:10" ht="15" x14ac:dyDescent="0.25">
      <c r="J14" s="114"/>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Generate SDMX &amp; Params</vt:lpstr>
      <vt:lpstr>Dropdowns</vt:lpstr>
      <vt:lpstr>How to use</vt:lpstr>
      <vt:lpstr>Indicator-Concept Matrix</vt:lpstr>
      <vt:lpstr>Concept Scheme</vt:lpstr>
      <vt:lpstr>DSDs</vt:lpstr>
      <vt:lpstr>Dataflows</vt:lpstr>
      <vt:lpstr>DSD-Concept Matrix</vt:lpstr>
      <vt:lpstr>Constraints</vt:lpstr>
      <vt:lpstr>CountDims</vt:lpstr>
      <vt:lpstr>XML_Fragments</vt:lpstr>
      <vt:lpstr>Constraints (2)</vt:lpstr>
      <vt:lpstr>ConstraintsSummary</vt:lpstr>
      <vt:lpstr>CL_FREQ</vt:lpstr>
      <vt:lpstr>XML_Output</vt:lpstr>
      <vt:lpstr>CL_AREA</vt:lpstr>
      <vt:lpstr>CL_MEASURE</vt:lpstr>
      <vt:lpstr>CL_UNIT_MEASURE</vt:lpstr>
      <vt:lpstr>CL_CONF_STATUS</vt:lpstr>
      <vt:lpstr>CL_OBS_STATUS</vt:lpstr>
      <vt:lpstr>CL_DECIMALS</vt:lpstr>
      <vt:lpstr>CL_TIME_FORMAT</vt:lpstr>
      <vt:lpstr>CL_UNIT_MULT</vt:lpstr>
      <vt:lpstr>CL_TRANSFORMATION</vt:lpstr>
      <vt:lpstr>New CL Template</vt:lpstr>
      <vt:lpstr>CL_AREA!_Toc521320262</vt:lpstr>
      <vt:lpstr>ConAttrs</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2019-01-10T17:20:50Z</dcterms:modified>
</cp:coreProperties>
</file>