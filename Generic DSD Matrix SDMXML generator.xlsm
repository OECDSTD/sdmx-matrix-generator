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FS-CH-1.main.oecd.org\Users1\barraclough_d\SDMX\SWG\SDMX Matrix Generator\"/>
    </mc:Choice>
  </mc:AlternateContent>
  <bookViews>
    <workbookView xWindow="0" yWindow="0" windowWidth="16815" windowHeight="6135" tabRatio="868" firstSheet="2" activeTab="11"/>
  </bookViews>
  <sheets>
    <sheet name="How to use" sheetId="75" r:id="rId1"/>
    <sheet name="Indicator-Concept Matrix" sheetId="76" r:id="rId2"/>
    <sheet name="Generate SDMX &amp; Params" sheetId="84" r:id="rId3"/>
    <sheet name="Dropdowns" sheetId="92" state="hidden" r:id="rId4"/>
    <sheet name="Concept Scheme" sheetId="133" r:id="rId5"/>
    <sheet name="DSDs" sheetId="85" r:id="rId6"/>
    <sheet name="Dataflows" sheetId="87" r:id="rId7"/>
    <sheet name="CountDims" sheetId="77" state="hidden" r:id="rId8"/>
    <sheet name="DSD-Concept Matrix" sheetId="132" r:id="rId9"/>
    <sheet name="XML_Fragments" sheetId="82" state="hidden" r:id="rId10"/>
    <sheet name="ConstraintsSummary" sheetId="90" state="hidden" r:id="rId11"/>
    <sheet name="CL_FREQ" sheetId="54" r:id="rId12"/>
    <sheet name="XML_Output" sheetId="83" state="hidden" r:id="rId13"/>
    <sheet name="CL_AREA" sheetId="49" r:id="rId14"/>
    <sheet name="CL_MEASURE" sheetId="78" r:id="rId15"/>
    <sheet name="CL_UNIT_MEASURE" sheetId="80" r:id="rId16"/>
    <sheet name="CL_CONF_STATUS" sheetId="69" r:id="rId17"/>
    <sheet name="CL_DECIMALS" sheetId="131" r:id="rId18"/>
    <sheet name="CL_OBS_STATUS" sheetId="70" r:id="rId19"/>
    <sheet name="CL_TIME_FORMAT" sheetId="72" r:id="rId20"/>
    <sheet name="CL_UNIT_MULT" sheetId="73" r:id="rId21"/>
    <sheet name="New CL Template" sheetId="91" r:id="rId22"/>
  </sheets>
  <functionGroups builtInGroupCount="18"/>
  <definedNames>
    <definedName name="_xlnm._FilterDatabase" localSheetId="13" hidden="1">CL_AREA!$A$4:$B$253</definedName>
    <definedName name="_xlnm._FilterDatabase" localSheetId="11" hidden="1">CL_FREQ!$A$4:$B$4</definedName>
    <definedName name="_xlnm._FilterDatabase" localSheetId="14" hidden="1">CL_MEASURE!$A$1:$B$940</definedName>
    <definedName name="_xlnm._FilterDatabase" localSheetId="15" hidden="1">CL_UNIT_MEASURE!$A$1:$B$944</definedName>
    <definedName name="_xlnm._FilterDatabase" localSheetId="8" hidden="1">'DSD-Concept Matrix'!$H$5:$K$5</definedName>
    <definedName name="_xlnm._FilterDatabase" localSheetId="1" hidden="1">'Indicator-Concept Matrix'!$A$1:$A$3</definedName>
    <definedName name="_Toc521320262" localSheetId="13">CL_AREA!#REF!</definedName>
    <definedName name="ConAttrs" localSheetId="4">#REF!</definedName>
    <definedName name="ConAttrs" localSheetId="8">'DSD-Concept Matrix'!#REF!</definedName>
    <definedName name="ConAttrs">#REF!</definedName>
    <definedName name="ConAttrVals" localSheetId="8">'DSD-Concept Matrix'!$K$6:$K$42</definedName>
    <definedName name="ConAttrVals">#REF!</definedName>
    <definedName name="ConDims" localSheetId="8">'DSD-Concept Matrix'!$H$3:$I$4</definedName>
    <definedName name="ConDims">#REF!</definedName>
    <definedName name="ConDimVals" localSheetId="8">'DSD-Concept Matrix'!$F$6:$K$53</definedName>
    <definedName name="ConDimVals">#REF!</definedName>
    <definedName name="CountConsforDSDs">CountDims!$CC$2:$CC$36</definedName>
    <definedName name="CountDSDs">CountDims!$A$2:$A$48</definedName>
    <definedName name="CountUniqueDSDs">CountDims!$AQ$2:$AQ$36</definedName>
    <definedName name="_xlnm.Criteria" localSheetId="1">'Indicator-Concept Matrix'!$D$2:$E$2</definedName>
    <definedName name="DataflowIDs">OFFSET(Dataflows!$A$2,0,0,COUNTA(Dataflows!$A:$A),1)</definedName>
    <definedName name="drpBoolean">Dropdowns!$B$15:$B$16</definedName>
    <definedName name="drpConceptRoles">Dropdowns!$B$20:$B$26</definedName>
    <definedName name="drpDimAttrMeas">Dropdowns!$B$1:$B$10</definedName>
    <definedName name="drpSenderReceiver">Dropdowns!$B$17:$B$19</definedName>
    <definedName name="drpTypes">Dropdowns!$B$11:$B$14</definedName>
    <definedName name="DSDDimCount" localSheetId="8">'DSD-Concept Matrix'!$D$6:$D$42</definedName>
    <definedName name="DSDDimCount">#REF!</definedName>
    <definedName name="DSDIds">OFFSET(DSDs!$A$2,0,0,COUNTA(DSDs!$A:$A),1)</definedName>
    <definedName name="DSDs" localSheetId="8">'DSD-Concept Matrix'!$C$6:$C$42</definedName>
    <definedName name="DSDs">#REF!</definedName>
    <definedName name="FIRSTROW">CountDims!$AR$2:$CB$2</definedName>
    <definedName name="Functional_category">#VALUE!</definedName>
    <definedName name="International_account_item" localSheetId="14">#REF!</definedName>
    <definedName name="International_account_item" localSheetId="15">#REF!</definedName>
    <definedName name="International_account_item" localSheetId="4">#REF!</definedName>
    <definedName name="International_account_item" localSheetId="6">#REF!</definedName>
    <definedName name="International_account_item" localSheetId="8">#REF!</definedName>
    <definedName name="International_account_item">#REF!</definedName>
    <definedName name="old_iai" localSheetId="14">#REF!</definedName>
    <definedName name="old_iai" localSheetId="15">#REF!</definedName>
    <definedName name="old_iai" localSheetId="4">#REF!</definedName>
    <definedName name="old_iai" localSheetId="6">#REF!</definedName>
    <definedName name="old_iai" localSheetId="8">#REF!</definedName>
    <definedName name="old_iai">#REF!</definedName>
    <definedName name="old_range" localSheetId="14">#REF!</definedName>
    <definedName name="old_range" localSheetId="15">#REF!</definedName>
    <definedName name="old_range" localSheetId="4">#REF!</definedName>
    <definedName name="old_range" localSheetId="6">#REF!</definedName>
    <definedName name="old_range" localSheetId="8">#REF!</definedName>
    <definedName name="old_range">#REF!</definedName>
    <definedName name="old_test" localSheetId="14">#REF!</definedName>
    <definedName name="old_test" localSheetId="15">#REF!</definedName>
    <definedName name="old_test" localSheetId="4">#REF!</definedName>
    <definedName name="old_test" localSheetId="6">#REF!</definedName>
    <definedName name="old_test" localSheetId="8">#REF!</definedName>
    <definedName name="old_test">#REF!</definedName>
    <definedName name="old_test1" localSheetId="14">#REF!</definedName>
    <definedName name="old_test1" localSheetId="15">#REF!</definedName>
    <definedName name="old_test1" localSheetId="4">#REF!</definedName>
    <definedName name="old_test1" localSheetId="6">#REF!</definedName>
    <definedName name="old_test1" localSheetId="8">#REF!</definedName>
    <definedName name="old_test1">#REF!</definedName>
    <definedName name="Range_DSTNotes" localSheetId="14">#REF!</definedName>
    <definedName name="Range_DSTNotes" localSheetId="15">#REF!</definedName>
    <definedName name="Range_DSTNotes" localSheetId="4">#REF!</definedName>
    <definedName name="Range_DSTNotes" localSheetId="6">#REF!</definedName>
    <definedName name="Range_DSTNotes" localSheetId="8">#REF!</definedName>
    <definedName name="Range_DSTNotes">#REF!</definedName>
    <definedName name="Reporting_sector_financial">#VALUE!</definedName>
    <definedName name="Test" localSheetId="14">#REF!</definedName>
    <definedName name="Test" localSheetId="15">#REF!</definedName>
    <definedName name="Test" localSheetId="4">#REF!</definedName>
    <definedName name="Test" localSheetId="6">#REF!</definedName>
    <definedName name="Test" localSheetId="8">#REF!</definedName>
    <definedName name="Test">#REF!</definedName>
    <definedName name="Test1" localSheetId="14">#REF!</definedName>
    <definedName name="Test1" localSheetId="15">#REF!</definedName>
    <definedName name="Test1" localSheetId="4">#REF!</definedName>
    <definedName name="Test1" localSheetId="6">#REF!</definedName>
    <definedName name="Test1" localSheetId="8">#REF!</definedName>
    <definedName name="Test1">#REF!</definedName>
    <definedName name="Z_609B000A_3B9D_4F2C_A882_9D8FED21A0B4_.wvu.Cols" localSheetId="8" hidden="1">'DSD-Concept Matrix'!#REF!</definedName>
    <definedName name="Z_609B000A_3B9D_4F2C_A882_9D8FED21A0B4_.wvu.FilterData" localSheetId="13" hidden="1">CL_AREA!$A$4:$B$253</definedName>
    <definedName name="Z_609B000A_3B9D_4F2C_A882_9D8FED21A0B4_.wvu.FilterData" localSheetId="11" hidden="1">CL_FREQ!$A$4:$B$4</definedName>
    <definedName name="Z_609B000A_3B9D_4F2C_A882_9D8FED21A0B4_.wvu.FilterData" localSheetId="14" hidden="1">CL_MEASURE!$A$1:$B$706</definedName>
    <definedName name="Z_609B000A_3B9D_4F2C_A882_9D8FED21A0B4_.wvu.FilterData" localSheetId="15" hidden="1">CL_UNIT_MEASURE!$A$1:$B$710</definedName>
    <definedName name="Z_609B000A_3B9D_4F2C_A882_9D8FED21A0B4_.wvu.FilterData" localSheetId="8" hidden="1">'DSD-Concept Matrix'!$A$5:$K$37</definedName>
    <definedName name="Z_AA319F07_CC98_498A_B8F0_88469E3CB718_.wvu.Cols" localSheetId="8" hidden="1">'DSD-Concept Matrix'!#REF!</definedName>
    <definedName name="Z_AA319F07_CC98_498A_B8F0_88469E3CB718_.wvu.FilterData" localSheetId="13" hidden="1">CL_AREA!$A$4:$B$253</definedName>
    <definedName name="Z_AA319F07_CC98_498A_B8F0_88469E3CB718_.wvu.FilterData" localSheetId="11" hidden="1">CL_FREQ!$A$4:$B$4</definedName>
    <definedName name="Z_AA319F07_CC98_498A_B8F0_88469E3CB718_.wvu.FilterData" localSheetId="14" hidden="1">CL_MEASURE!$A$1:$B$706</definedName>
    <definedName name="Z_AA319F07_CC98_498A_B8F0_88469E3CB718_.wvu.FilterData" localSheetId="15" hidden="1">CL_UNIT_MEASURE!$A$1:$B$710</definedName>
    <definedName name="Z_AA319F07_CC98_498A_B8F0_88469E3CB718_.wvu.FilterData" localSheetId="8" hidden="1">'DSD-Concept Matrix'!$A$5:$K$37</definedName>
    <definedName name="Z_ACF55590_2DD5_4F64_8513_A5656764A8B4_.wvu.FilterData" localSheetId="13" hidden="1">CL_AREA!$A$4:$B$253</definedName>
    <definedName name="Z_ACF55590_2DD5_4F64_8513_A5656764A8B4_.wvu.FilterData" localSheetId="11" hidden="1">CL_FREQ!$A$4:$B$4</definedName>
    <definedName name="Z_ACF55590_2DD5_4F64_8513_A5656764A8B4_.wvu.FilterData" localSheetId="14" hidden="1">CL_MEASURE!$A$1:$B$706</definedName>
    <definedName name="Z_ACF55590_2DD5_4F64_8513_A5656764A8B4_.wvu.FilterData" localSheetId="15" hidden="1">CL_UNIT_MEASURE!$A$1:$B$710</definedName>
    <definedName name="Z_ACF55590_2DD5_4F64_8513_A5656764A8B4_.wvu.FilterData" localSheetId="8" hidden="1">'DSD-Concept Matrix'!$A$5:$K$37</definedName>
    <definedName name="Z_E66E0E75_407A_4A45_A7DD_4716A0845D40_.wvu.FilterData" localSheetId="13" hidden="1">CL_AREA!$A$4:$B$253</definedName>
    <definedName name="Z_E66E0E75_407A_4A45_A7DD_4716A0845D40_.wvu.FilterData" localSheetId="11" hidden="1">CL_FREQ!$A$4:$B$4</definedName>
    <definedName name="Z_E66E0E75_407A_4A45_A7DD_4716A0845D40_.wvu.FilterData" localSheetId="14" hidden="1">CL_MEASURE!$A$1:$B$706</definedName>
    <definedName name="Z_E66E0E75_407A_4A45_A7DD_4716A0845D40_.wvu.FilterData" localSheetId="15" hidden="1">CL_UNIT_MEASURE!$A$1:$B$710</definedName>
    <definedName name="Z_E66E0E75_407A_4A45_A7DD_4716A0845D40_.wvu.FilterData" localSheetId="8" hidden="1">'DSD-Concept Matrix'!$A$5:$K$37</definedName>
    <definedName name="Z_E7F7CB01_84EF_4CA7_B9F6_361080D9FD6D_.wvu.Cols" localSheetId="8" hidden="1">'DSD-Concept Matrix'!#REF!</definedName>
    <definedName name="Z_E7F7CB01_84EF_4CA7_B9F6_361080D9FD6D_.wvu.FilterData" localSheetId="13" hidden="1">CL_AREA!$A$4:$B$253</definedName>
    <definedName name="Z_E7F7CB01_84EF_4CA7_B9F6_361080D9FD6D_.wvu.FilterData" localSheetId="11" hidden="1">CL_FREQ!$A$4:$B$4</definedName>
    <definedName name="Z_E7F7CB01_84EF_4CA7_B9F6_361080D9FD6D_.wvu.FilterData" localSheetId="14" hidden="1">CL_MEASURE!$A$1:$B$706</definedName>
    <definedName name="Z_E7F7CB01_84EF_4CA7_B9F6_361080D9FD6D_.wvu.FilterData" localSheetId="15" hidden="1">CL_UNIT_MEASURE!$A$1:$B$710</definedName>
    <definedName name="Z_E7F7CB01_84EF_4CA7_B9F6_361080D9FD6D_.wvu.FilterData" localSheetId="8" hidden="1">'DSD-Concept Matrix'!$A$5:$K$37</definedName>
    <definedName name="Z_F7C97EE9_0129_4AF7_B3C1_B3102CE6FFA5_.wvu.FilterData" localSheetId="13" hidden="1">CL_AREA!$A$4:$B$253</definedName>
    <definedName name="Z_F7C97EE9_0129_4AF7_B3C1_B3102CE6FFA5_.wvu.FilterData" localSheetId="11" hidden="1">CL_FREQ!$A$4:$B$4</definedName>
    <definedName name="Z_F7C97EE9_0129_4AF7_B3C1_B3102CE6FFA5_.wvu.FilterData" localSheetId="14" hidden="1">CL_MEASURE!$A$1:$B$706</definedName>
    <definedName name="Z_F7C97EE9_0129_4AF7_B3C1_B3102CE6FFA5_.wvu.FilterData" localSheetId="15" hidden="1">CL_UNIT_MEASURE!$A$1:$B$710</definedName>
    <definedName name="Z_F7C97EE9_0129_4AF7_B3C1_B3102CE6FFA5_.wvu.FilterData" localSheetId="8" hidden="1">'DSD-Concept Matrix'!$A$5:$K$37</definedName>
    <definedName name="Z_FC4FBBDB_A3CF_4CB2_B1C9_D5DDEB34891E_.wvu.FilterData" localSheetId="13" hidden="1">CL_AREA!$A$4:$B$253</definedName>
    <definedName name="Z_FC4FBBDB_A3CF_4CB2_B1C9_D5DDEB34891E_.wvu.FilterData" localSheetId="11" hidden="1">CL_FREQ!$A$4:$B$4</definedName>
    <definedName name="Z_FC4FBBDB_A3CF_4CB2_B1C9_D5DDEB34891E_.wvu.FilterData" localSheetId="14" hidden="1">CL_MEASURE!$A$1:$B$706</definedName>
    <definedName name="Z_FC4FBBDB_A3CF_4CB2_B1C9_D5DDEB34891E_.wvu.FilterData" localSheetId="15" hidden="1">CL_UNIT_MEASURE!$A$1:$B$710</definedName>
    <definedName name="Z_FC4FBBDB_A3CF_4CB2_B1C9_D5DDEB34891E_.wvu.FilterData" localSheetId="8" hidden="1">'DSD-Concept Matrix'!$A$5:$K$37</definedName>
  </definedNames>
  <calcPr calcId="162913"/>
  <customWorkbookViews>
    <customWorkbookView name="Daniel Suranyi - Personal View" guid="{609B000A-3B9D-4F2C-A882-9D8FED21A0B4}" mergeInterval="0" personalView="1" maximized="1" windowWidth="1276" windowHeight="565" tabRatio="903" activeSheetId="2"/>
    <customWorkbookView name="SURANYI Daniel (ESTAT) - Personal View" guid="{E7F7CB01-84EF-4CA7-B9F6-361080D9FD6D}" mergeInterval="0" personalView="1" maximized="1" windowWidth="1276" windowHeight="779" tabRatio="699" activeSheetId="2"/>
    <customWorkbookView name="BIKAUSKAITE Agne (ESTAT-EXT) - Personal View" guid="{FC4FBBDB-A3CF-4CB2-B1C9-D5DDEB34891E}" mergeInterval="0" personalView="1" maximized="1" windowWidth="1276" windowHeight="799" tabRatio="933" activeSheetId="36"/>
    <customWorkbookView name="fabien.jacquet - Personal View" guid="{ACF55590-2DD5-4F64-8513-A5656764A8B4}" mergeInterval="0" personalView="1" maximized="1" xWindow="1" yWindow="1" windowWidth="1596" windowHeight="670" tabRatio="929" activeSheetId="2"/>
    <customWorkbookView name="Daniel - Personal View" guid="{E66E0E75-407A-4A45-A7DD-4716A0845D40}" mergeInterval="0" personalView="1" maximized="1" windowWidth="1276" windowHeight="662" tabRatio="933" activeSheetId="2"/>
    <customWorkbookView name="larosa - Personal View" guid="{F7C97EE9-0129-4AF7-B3C1-B3102CE6FFA5}" mergeInterval="0" personalView="1" maximized="1" xWindow="1" yWindow="1" windowWidth="1676" windowHeight="805" tabRatio="933" activeSheetId="2"/>
    <customWorkbookView name="Balabanova, Zlatina - Personal View" guid="{AA319F07-CC98-498A-B8F0-88469E3CB718}" mergeInterval="0" personalView="1" maximized="1" windowWidth="1276" windowHeight="769" tabRatio="699" activeSheetId="5"/>
  </customWorkbookViews>
</workbook>
</file>

<file path=xl/calcChain.xml><?xml version="1.0" encoding="utf-8"?>
<calcChain xmlns="http://schemas.openxmlformats.org/spreadsheetml/2006/main">
  <c r="D5" i="132" l="1"/>
  <c r="C5" i="132" a="1"/>
  <c r="C5" i="132" s="1"/>
  <c r="C40" i="85" l="1"/>
  <c r="I2" i="87"/>
  <c r="I3" i="87"/>
  <c r="C39" i="87" l="1"/>
  <c r="A6" i="77" l="1"/>
  <c r="A4" i="77"/>
  <c r="A5" i="77"/>
  <c r="AK48" i="77" l="1"/>
  <c r="AJ48" i="77"/>
  <c r="AI48" i="77"/>
  <c r="AH48" i="77"/>
  <c r="AG48" i="77"/>
  <c r="AF48" i="77"/>
  <c r="AE48" i="77"/>
  <c r="AD48" i="77"/>
  <c r="AC48" i="77"/>
  <c r="AB48" i="77"/>
  <c r="AA48" i="77"/>
  <c r="Z48" i="77"/>
  <c r="Y48" i="77"/>
  <c r="X48" i="77"/>
  <c r="W48" i="77"/>
  <c r="V48" i="77"/>
  <c r="U48" i="77"/>
  <c r="T48" i="77"/>
  <c r="S48" i="77"/>
  <c r="R48" i="77"/>
  <c r="Q48" i="77"/>
  <c r="P48" i="77"/>
  <c r="O48" i="77"/>
  <c r="N48" i="77"/>
  <c r="M48" i="77"/>
  <c r="L48" i="77"/>
  <c r="K48" i="77"/>
  <c r="J48" i="77"/>
  <c r="I48" i="77"/>
  <c r="H48" i="77"/>
  <c r="G48" i="77"/>
  <c r="F48" i="77"/>
  <c r="E48" i="77"/>
  <c r="D48" i="77"/>
  <c r="C48" i="77"/>
  <c r="B48" i="77"/>
  <c r="AK47" i="77"/>
  <c r="AJ47" i="77"/>
  <c r="AI47" i="77"/>
  <c r="AH47" i="77"/>
  <c r="AG47" i="77"/>
  <c r="AF47" i="77"/>
  <c r="AE47" i="77"/>
  <c r="AD47" i="77"/>
  <c r="AC47" i="77"/>
  <c r="AB47" i="77"/>
  <c r="AA47" i="77"/>
  <c r="Z47" i="77"/>
  <c r="Y47" i="77"/>
  <c r="X47" i="77"/>
  <c r="W47" i="77"/>
  <c r="V47" i="77"/>
  <c r="U47" i="77"/>
  <c r="T47" i="77"/>
  <c r="S47" i="77"/>
  <c r="R47" i="77"/>
  <c r="Q47" i="77"/>
  <c r="P47" i="77"/>
  <c r="O47" i="77"/>
  <c r="N47" i="77"/>
  <c r="M47" i="77"/>
  <c r="L47" i="77"/>
  <c r="K47" i="77"/>
  <c r="J47" i="77"/>
  <c r="I47" i="77"/>
  <c r="H47" i="77"/>
  <c r="G47" i="77"/>
  <c r="F47" i="77"/>
  <c r="E47" i="77"/>
  <c r="D47" i="77"/>
  <c r="C47" i="77"/>
  <c r="B47" i="77"/>
  <c r="AK46" i="77"/>
  <c r="AJ46" i="77"/>
  <c r="AI46" i="77"/>
  <c r="AH46" i="77"/>
  <c r="AG46" i="77"/>
  <c r="AF46" i="77"/>
  <c r="AE46" i="77"/>
  <c r="AD46" i="77"/>
  <c r="AC46" i="77"/>
  <c r="AB46" i="77"/>
  <c r="AA46" i="77"/>
  <c r="Z46" i="77"/>
  <c r="Y46" i="77"/>
  <c r="X46" i="77"/>
  <c r="W46" i="77"/>
  <c r="V46" i="77"/>
  <c r="U46" i="77"/>
  <c r="T46" i="77"/>
  <c r="S46" i="77"/>
  <c r="R46" i="77"/>
  <c r="Q46" i="77"/>
  <c r="P46" i="77"/>
  <c r="O46" i="77"/>
  <c r="N46" i="77"/>
  <c r="M46" i="77"/>
  <c r="L46" i="77"/>
  <c r="K46" i="77"/>
  <c r="J46" i="77"/>
  <c r="I46" i="77"/>
  <c r="H46" i="77"/>
  <c r="G46" i="77"/>
  <c r="F46" i="77"/>
  <c r="E46" i="77"/>
  <c r="D46" i="77"/>
  <c r="C46" i="77"/>
  <c r="B46" i="77"/>
  <c r="AK45" i="77"/>
  <c r="AJ45" i="77"/>
  <c r="AI45" i="77"/>
  <c r="AH45" i="77"/>
  <c r="AG45" i="77"/>
  <c r="AF45" i="77"/>
  <c r="AE45" i="77"/>
  <c r="AD45" i="77"/>
  <c r="AC45" i="77"/>
  <c r="AB45" i="77"/>
  <c r="AA45" i="77"/>
  <c r="Z45" i="77"/>
  <c r="Y45" i="77"/>
  <c r="X45" i="77"/>
  <c r="W45" i="77"/>
  <c r="V45" i="77"/>
  <c r="U45" i="77"/>
  <c r="T45" i="77"/>
  <c r="S45" i="77"/>
  <c r="R45" i="77"/>
  <c r="Q45" i="77"/>
  <c r="P45" i="77"/>
  <c r="O45" i="77"/>
  <c r="N45" i="77"/>
  <c r="M45" i="77"/>
  <c r="L45" i="77"/>
  <c r="K45" i="77"/>
  <c r="J45" i="77"/>
  <c r="I45" i="77"/>
  <c r="H45" i="77"/>
  <c r="G45" i="77"/>
  <c r="F45" i="77"/>
  <c r="E45" i="77"/>
  <c r="D45" i="77"/>
  <c r="C45" i="77"/>
  <c r="B45" i="77"/>
  <c r="AK44" i="77"/>
  <c r="AJ44" i="77"/>
  <c r="AI44" i="77"/>
  <c r="AH44" i="77"/>
  <c r="AG44" i="77"/>
  <c r="AF44" i="77"/>
  <c r="AE44" i="77"/>
  <c r="AD44" i="77"/>
  <c r="AC44" i="77"/>
  <c r="AB44" i="77"/>
  <c r="AA44" i="77"/>
  <c r="Z44" i="77"/>
  <c r="Y44" i="77"/>
  <c r="X44" i="77"/>
  <c r="W44" i="77"/>
  <c r="V44" i="77"/>
  <c r="U44" i="77"/>
  <c r="T44" i="77"/>
  <c r="S44" i="77"/>
  <c r="R44" i="77"/>
  <c r="Q44" i="77"/>
  <c r="P44" i="77"/>
  <c r="O44" i="77"/>
  <c r="N44" i="77"/>
  <c r="M44" i="77"/>
  <c r="L44" i="77"/>
  <c r="K44" i="77"/>
  <c r="J44" i="77"/>
  <c r="I44" i="77"/>
  <c r="H44" i="77"/>
  <c r="G44" i="77"/>
  <c r="F44" i="77"/>
  <c r="E44" i="77"/>
  <c r="D44" i="77"/>
  <c r="C44" i="77"/>
  <c r="B44" i="77"/>
  <c r="AK43" i="77"/>
  <c r="AJ43" i="77"/>
  <c r="AI43" i="77"/>
  <c r="AH43" i="77"/>
  <c r="AG43" i="77"/>
  <c r="AF43" i="77"/>
  <c r="AE43" i="77"/>
  <c r="AD43" i="77"/>
  <c r="AC43" i="77"/>
  <c r="AB43" i="77"/>
  <c r="AA43" i="77"/>
  <c r="Z43" i="77"/>
  <c r="Y43" i="77"/>
  <c r="X43" i="77"/>
  <c r="W43" i="77"/>
  <c r="V43" i="77"/>
  <c r="U43" i="77"/>
  <c r="T43" i="77"/>
  <c r="S43" i="77"/>
  <c r="R43" i="77"/>
  <c r="Q43" i="77"/>
  <c r="P43" i="77"/>
  <c r="O43" i="77"/>
  <c r="N43" i="77"/>
  <c r="M43" i="77"/>
  <c r="L43" i="77"/>
  <c r="K43" i="77"/>
  <c r="J43" i="77"/>
  <c r="I43" i="77"/>
  <c r="H43" i="77"/>
  <c r="G43" i="77"/>
  <c r="F43" i="77"/>
  <c r="E43" i="77"/>
  <c r="D43" i="77"/>
  <c r="C43" i="77"/>
  <c r="B43" i="77"/>
  <c r="AK42" i="77"/>
  <c r="AJ42" i="77"/>
  <c r="AI42" i="77"/>
  <c r="AH42" i="77"/>
  <c r="AG42" i="77"/>
  <c r="AF42" i="77"/>
  <c r="AE42" i="77"/>
  <c r="AD42" i="77"/>
  <c r="AC42" i="77"/>
  <c r="AB42" i="77"/>
  <c r="AA42" i="77"/>
  <c r="Z42" i="77"/>
  <c r="Y42" i="77"/>
  <c r="X42" i="77"/>
  <c r="W42" i="77"/>
  <c r="V42" i="77"/>
  <c r="U42" i="77"/>
  <c r="T42" i="77"/>
  <c r="S42" i="77"/>
  <c r="R42" i="77"/>
  <c r="Q42" i="77"/>
  <c r="P42" i="77"/>
  <c r="O42" i="77"/>
  <c r="N42" i="77"/>
  <c r="M42" i="77"/>
  <c r="L42" i="77"/>
  <c r="K42" i="77"/>
  <c r="J42" i="77"/>
  <c r="I42" i="77"/>
  <c r="H42" i="77"/>
  <c r="G42" i="77"/>
  <c r="F42" i="77"/>
  <c r="E42" i="77"/>
  <c r="D42" i="77"/>
  <c r="C42" i="77"/>
  <c r="B42" i="77"/>
  <c r="AK41" i="77"/>
  <c r="AJ41" i="77"/>
  <c r="AI41" i="77"/>
  <c r="AH41" i="77"/>
  <c r="AG41" i="77"/>
  <c r="AF41" i="77"/>
  <c r="AE41" i="77"/>
  <c r="AD41" i="77"/>
  <c r="AC41" i="77"/>
  <c r="AB41" i="77"/>
  <c r="AA41" i="77"/>
  <c r="Z41" i="77"/>
  <c r="Y41" i="77"/>
  <c r="X41" i="77"/>
  <c r="W41" i="77"/>
  <c r="V41" i="77"/>
  <c r="U41" i="77"/>
  <c r="T41" i="77"/>
  <c r="S41" i="77"/>
  <c r="R41" i="77"/>
  <c r="Q41" i="77"/>
  <c r="P41" i="77"/>
  <c r="O41" i="77"/>
  <c r="N41" i="77"/>
  <c r="M41" i="77"/>
  <c r="L41" i="77"/>
  <c r="K41" i="77"/>
  <c r="J41" i="77"/>
  <c r="I41" i="77"/>
  <c r="H41" i="77"/>
  <c r="G41" i="77"/>
  <c r="F41" i="77"/>
  <c r="E41" i="77"/>
  <c r="D41" i="77"/>
  <c r="C41" i="77"/>
  <c r="B41" i="77"/>
  <c r="AK40" i="77"/>
  <c r="AJ40" i="77"/>
  <c r="AI40" i="77"/>
  <c r="AH40" i="77"/>
  <c r="AG40" i="77"/>
  <c r="AF40" i="77"/>
  <c r="AE40" i="77"/>
  <c r="AD40" i="77"/>
  <c r="AC40" i="77"/>
  <c r="AB40" i="77"/>
  <c r="AA40" i="77"/>
  <c r="Z40" i="77"/>
  <c r="Y40" i="77"/>
  <c r="X40" i="77"/>
  <c r="W40" i="77"/>
  <c r="V40" i="77"/>
  <c r="U40" i="77"/>
  <c r="T40" i="77"/>
  <c r="S40" i="77"/>
  <c r="R40" i="77"/>
  <c r="Q40" i="77"/>
  <c r="P40" i="77"/>
  <c r="O40" i="77"/>
  <c r="N40" i="77"/>
  <c r="M40" i="77"/>
  <c r="L40" i="77"/>
  <c r="K40" i="77"/>
  <c r="J40" i="77"/>
  <c r="I40" i="77"/>
  <c r="H40" i="77"/>
  <c r="G40" i="77"/>
  <c r="F40" i="77"/>
  <c r="E40" i="77"/>
  <c r="D40" i="77"/>
  <c r="C40" i="77"/>
  <c r="B40" i="77"/>
  <c r="AK39" i="77"/>
  <c r="AJ39" i="77"/>
  <c r="AI39" i="77"/>
  <c r="AH39" i="77"/>
  <c r="AG39" i="77"/>
  <c r="AF39" i="77"/>
  <c r="AE39" i="77"/>
  <c r="AD39" i="77"/>
  <c r="AC39" i="77"/>
  <c r="AB39" i="77"/>
  <c r="AA39" i="77"/>
  <c r="Z39" i="77"/>
  <c r="Y39" i="77"/>
  <c r="X39" i="77"/>
  <c r="W39" i="77"/>
  <c r="V39" i="77"/>
  <c r="U39" i="77"/>
  <c r="T39" i="77"/>
  <c r="S39" i="77"/>
  <c r="R39" i="77"/>
  <c r="Q39" i="77"/>
  <c r="P39" i="77"/>
  <c r="O39" i="77"/>
  <c r="N39" i="77"/>
  <c r="M39" i="77"/>
  <c r="L39" i="77"/>
  <c r="K39" i="77"/>
  <c r="J39" i="77"/>
  <c r="I39" i="77"/>
  <c r="H39" i="77"/>
  <c r="G39" i="77"/>
  <c r="F39" i="77"/>
  <c r="E39" i="77"/>
  <c r="D39" i="77"/>
  <c r="C39" i="77"/>
  <c r="B39" i="77"/>
  <c r="AK38" i="77"/>
  <c r="AJ38" i="77"/>
  <c r="AI38" i="77"/>
  <c r="AH38" i="77"/>
  <c r="AG38" i="77"/>
  <c r="AF38" i="77"/>
  <c r="AE38" i="77"/>
  <c r="AD38" i="77"/>
  <c r="AC38" i="77"/>
  <c r="AB38" i="77"/>
  <c r="AA38" i="77"/>
  <c r="Z38" i="77"/>
  <c r="Y38" i="77"/>
  <c r="X38" i="77"/>
  <c r="W38" i="77"/>
  <c r="V38" i="77"/>
  <c r="U38" i="77"/>
  <c r="T38" i="77"/>
  <c r="S38" i="77"/>
  <c r="R38" i="77"/>
  <c r="Q38" i="77"/>
  <c r="P38" i="77"/>
  <c r="O38" i="77"/>
  <c r="N38" i="77"/>
  <c r="M38" i="77"/>
  <c r="L38" i="77"/>
  <c r="K38" i="77"/>
  <c r="J38" i="77"/>
  <c r="I38" i="77"/>
  <c r="H38" i="77"/>
  <c r="G38" i="77"/>
  <c r="F38" i="77"/>
  <c r="E38" i="77"/>
  <c r="D38" i="77"/>
  <c r="C38" i="77"/>
  <c r="B38" i="77"/>
  <c r="AK37" i="77"/>
  <c r="AJ37" i="77"/>
  <c r="AI37" i="77"/>
  <c r="AH37" i="77"/>
  <c r="AG37" i="77"/>
  <c r="AF37" i="77"/>
  <c r="AE37" i="77"/>
  <c r="AD37" i="77"/>
  <c r="AC37" i="77"/>
  <c r="AB37" i="77"/>
  <c r="AA37" i="77"/>
  <c r="Z37" i="77"/>
  <c r="Y37" i="77"/>
  <c r="X37" i="77"/>
  <c r="W37" i="77"/>
  <c r="V37" i="77"/>
  <c r="U37" i="77"/>
  <c r="T37" i="77"/>
  <c r="S37" i="77"/>
  <c r="R37" i="77"/>
  <c r="Q37" i="77"/>
  <c r="P37" i="77"/>
  <c r="O37" i="77"/>
  <c r="N37" i="77"/>
  <c r="M37" i="77"/>
  <c r="L37" i="77"/>
  <c r="K37" i="77"/>
  <c r="J37" i="77"/>
  <c r="I37" i="77"/>
  <c r="H37" i="77"/>
  <c r="G37" i="77"/>
  <c r="F37" i="77"/>
  <c r="E37" i="77"/>
  <c r="D37" i="77"/>
  <c r="C37" i="77"/>
  <c r="B37" i="77"/>
  <c r="AK36" i="77"/>
  <c r="AJ36" i="77"/>
  <c r="AI36" i="77"/>
  <c r="AH36" i="77"/>
  <c r="AG36" i="77"/>
  <c r="AF36" i="77"/>
  <c r="AE36" i="77"/>
  <c r="AD36" i="77"/>
  <c r="AC36" i="77"/>
  <c r="AB36" i="77"/>
  <c r="AA36" i="77"/>
  <c r="Z36" i="77"/>
  <c r="Y36" i="77"/>
  <c r="X36" i="77"/>
  <c r="W36" i="77"/>
  <c r="V36" i="77"/>
  <c r="U36" i="77"/>
  <c r="T36" i="77"/>
  <c r="S36" i="77"/>
  <c r="R36" i="77"/>
  <c r="Q36" i="77"/>
  <c r="P36" i="77"/>
  <c r="O36" i="77"/>
  <c r="N36" i="77"/>
  <c r="M36" i="77"/>
  <c r="L36" i="77"/>
  <c r="K36" i="77"/>
  <c r="J36" i="77"/>
  <c r="I36" i="77"/>
  <c r="H36" i="77"/>
  <c r="G36" i="77"/>
  <c r="F36" i="77"/>
  <c r="E36" i="77"/>
  <c r="D36" i="77"/>
  <c r="C36" i="77"/>
  <c r="B36" i="77"/>
  <c r="AK35" i="77"/>
  <c r="AJ35" i="77"/>
  <c r="AI35" i="77"/>
  <c r="AH35" i="77"/>
  <c r="AG35" i="77"/>
  <c r="AF35" i="77"/>
  <c r="AE35" i="77"/>
  <c r="AD35" i="77"/>
  <c r="AC35" i="77"/>
  <c r="AB35" i="77"/>
  <c r="AA35" i="77"/>
  <c r="Z35" i="77"/>
  <c r="Y35" i="77"/>
  <c r="X35" i="77"/>
  <c r="W35" i="77"/>
  <c r="V35" i="77"/>
  <c r="U35" i="77"/>
  <c r="T35" i="77"/>
  <c r="S35" i="77"/>
  <c r="R35" i="77"/>
  <c r="Q35" i="77"/>
  <c r="P35" i="77"/>
  <c r="O35" i="77"/>
  <c r="N35" i="77"/>
  <c r="M35" i="77"/>
  <c r="L35" i="77"/>
  <c r="K35" i="77"/>
  <c r="J35" i="77"/>
  <c r="I35" i="77"/>
  <c r="H35" i="77"/>
  <c r="G35" i="77"/>
  <c r="F35" i="77"/>
  <c r="E35" i="77"/>
  <c r="D35" i="77"/>
  <c r="C35" i="77"/>
  <c r="B35" i="77"/>
  <c r="AK34" i="77"/>
  <c r="AJ34" i="77"/>
  <c r="AI34" i="77"/>
  <c r="AH34" i="77"/>
  <c r="AG34" i="77"/>
  <c r="AF34" i="77"/>
  <c r="AE34" i="77"/>
  <c r="AD34" i="77"/>
  <c r="AC34" i="77"/>
  <c r="AB34" i="77"/>
  <c r="AA34" i="77"/>
  <c r="Z34" i="77"/>
  <c r="Y34" i="77"/>
  <c r="X34" i="77"/>
  <c r="W34" i="77"/>
  <c r="V34" i="77"/>
  <c r="U34" i="77"/>
  <c r="T34" i="77"/>
  <c r="S34" i="77"/>
  <c r="R34" i="77"/>
  <c r="Q34" i="77"/>
  <c r="P34" i="77"/>
  <c r="O34" i="77"/>
  <c r="N34" i="77"/>
  <c r="M34" i="77"/>
  <c r="L34" i="77"/>
  <c r="K34" i="77"/>
  <c r="J34" i="77"/>
  <c r="I34" i="77"/>
  <c r="H34" i="77"/>
  <c r="G34" i="77"/>
  <c r="F34" i="77"/>
  <c r="E34" i="77"/>
  <c r="D34" i="77"/>
  <c r="C34" i="77"/>
  <c r="B34" i="77"/>
  <c r="AK33" i="77"/>
  <c r="AJ33" i="77"/>
  <c r="AI33" i="77"/>
  <c r="AH33" i="77"/>
  <c r="AG33" i="77"/>
  <c r="AF33" i="77"/>
  <c r="AE33" i="77"/>
  <c r="AD33" i="77"/>
  <c r="AC33" i="77"/>
  <c r="AB33" i="77"/>
  <c r="AA33" i="77"/>
  <c r="Z33" i="77"/>
  <c r="Y33" i="77"/>
  <c r="X33" i="77"/>
  <c r="W33" i="77"/>
  <c r="V33" i="77"/>
  <c r="U33" i="77"/>
  <c r="T33" i="77"/>
  <c r="S33" i="77"/>
  <c r="R33" i="77"/>
  <c r="Q33" i="77"/>
  <c r="P33" i="77"/>
  <c r="O33" i="77"/>
  <c r="N33" i="77"/>
  <c r="M33" i="77"/>
  <c r="L33" i="77"/>
  <c r="K33" i="77"/>
  <c r="J33" i="77"/>
  <c r="I33" i="77"/>
  <c r="H33" i="77"/>
  <c r="G33" i="77"/>
  <c r="F33" i="77"/>
  <c r="E33" i="77"/>
  <c r="D33" i="77"/>
  <c r="C33" i="77"/>
  <c r="B33" i="77"/>
  <c r="AK32" i="77"/>
  <c r="AJ32" i="77"/>
  <c r="AI32" i="77"/>
  <c r="AH32" i="77"/>
  <c r="AG32" i="77"/>
  <c r="AF32" i="77"/>
  <c r="AE32" i="77"/>
  <c r="AD32" i="77"/>
  <c r="AC32" i="77"/>
  <c r="AB32" i="77"/>
  <c r="AA32" i="77"/>
  <c r="Z32" i="77"/>
  <c r="Y32" i="77"/>
  <c r="X32" i="77"/>
  <c r="W32" i="77"/>
  <c r="V32" i="77"/>
  <c r="U32" i="77"/>
  <c r="T32" i="77"/>
  <c r="S32" i="77"/>
  <c r="R32" i="77"/>
  <c r="Q32" i="77"/>
  <c r="P32" i="77"/>
  <c r="O32" i="77"/>
  <c r="N32" i="77"/>
  <c r="M32" i="77"/>
  <c r="L32" i="77"/>
  <c r="K32" i="77"/>
  <c r="J32" i="77"/>
  <c r="I32" i="77"/>
  <c r="H32" i="77"/>
  <c r="G32" i="77"/>
  <c r="F32" i="77"/>
  <c r="E32" i="77"/>
  <c r="D32" i="77"/>
  <c r="C32" i="77"/>
  <c r="B32" i="77"/>
  <c r="AK31" i="77"/>
  <c r="AJ31" i="77"/>
  <c r="AI31" i="77"/>
  <c r="AH31" i="77"/>
  <c r="AG31" i="77"/>
  <c r="AF31" i="77"/>
  <c r="AE31" i="77"/>
  <c r="AD31" i="77"/>
  <c r="AC31" i="77"/>
  <c r="AB31" i="77"/>
  <c r="AA31" i="77"/>
  <c r="Z31" i="77"/>
  <c r="Y31" i="77"/>
  <c r="X31" i="77"/>
  <c r="W31" i="77"/>
  <c r="V31" i="77"/>
  <c r="U31" i="77"/>
  <c r="T31" i="77"/>
  <c r="S31" i="77"/>
  <c r="R31" i="77"/>
  <c r="Q31" i="77"/>
  <c r="P31" i="77"/>
  <c r="O31" i="77"/>
  <c r="N31" i="77"/>
  <c r="M31" i="77"/>
  <c r="L31" i="77"/>
  <c r="K31" i="77"/>
  <c r="J31" i="77"/>
  <c r="I31" i="77"/>
  <c r="H31" i="77"/>
  <c r="G31" i="77"/>
  <c r="F31" i="77"/>
  <c r="E31" i="77"/>
  <c r="D31" i="77"/>
  <c r="C31" i="77"/>
  <c r="B31" i="77"/>
  <c r="AK30" i="77"/>
  <c r="AJ30" i="77"/>
  <c r="AI30" i="77"/>
  <c r="AH30" i="77"/>
  <c r="AG30" i="77"/>
  <c r="AF30" i="77"/>
  <c r="AE30" i="77"/>
  <c r="AD30" i="77"/>
  <c r="AC30" i="77"/>
  <c r="AB30" i="77"/>
  <c r="AA30" i="77"/>
  <c r="Z30" i="77"/>
  <c r="Y30" i="77"/>
  <c r="X30" i="77"/>
  <c r="W30" i="77"/>
  <c r="V30" i="77"/>
  <c r="U30" i="77"/>
  <c r="T30" i="77"/>
  <c r="S30" i="77"/>
  <c r="R30" i="77"/>
  <c r="Q30" i="77"/>
  <c r="P30" i="77"/>
  <c r="O30" i="77"/>
  <c r="N30" i="77"/>
  <c r="M30" i="77"/>
  <c r="L30" i="77"/>
  <c r="K30" i="77"/>
  <c r="J30" i="77"/>
  <c r="I30" i="77"/>
  <c r="H30" i="77"/>
  <c r="G30" i="77"/>
  <c r="F30" i="77"/>
  <c r="E30" i="77"/>
  <c r="D30" i="77"/>
  <c r="C30" i="77"/>
  <c r="B30" i="77"/>
  <c r="AK29" i="77"/>
  <c r="AJ29" i="77"/>
  <c r="AI29" i="77"/>
  <c r="AH29" i="77"/>
  <c r="AG29" i="77"/>
  <c r="AF29" i="77"/>
  <c r="AE29" i="77"/>
  <c r="AD29" i="77"/>
  <c r="AC29" i="77"/>
  <c r="AB29" i="77"/>
  <c r="AA29" i="77"/>
  <c r="Z29" i="77"/>
  <c r="Y29" i="77"/>
  <c r="X29" i="77"/>
  <c r="W29" i="77"/>
  <c r="V29" i="77"/>
  <c r="U29" i="77"/>
  <c r="T29" i="77"/>
  <c r="S29" i="77"/>
  <c r="R29" i="77"/>
  <c r="Q29" i="77"/>
  <c r="P29" i="77"/>
  <c r="O29" i="77"/>
  <c r="N29" i="77"/>
  <c r="M29" i="77"/>
  <c r="L29" i="77"/>
  <c r="K29" i="77"/>
  <c r="J29" i="77"/>
  <c r="I29" i="77"/>
  <c r="H29" i="77"/>
  <c r="G29" i="77"/>
  <c r="F29" i="77"/>
  <c r="E29" i="77"/>
  <c r="D29" i="77"/>
  <c r="C29" i="77"/>
  <c r="B29" i="77"/>
  <c r="AK28" i="77"/>
  <c r="AJ28" i="77"/>
  <c r="AI28" i="77"/>
  <c r="AH28" i="77"/>
  <c r="AG28" i="77"/>
  <c r="AF28" i="77"/>
  <c r="AE28" i="77"/>
  <c r="AD28" i="77"/>
  <c r="AC28" i="77"/>
  <c r="AB28" i="77"/>
  <c r="AA28" i="77"/>
  <c r="Z28" i="77"/>
  <c r="Y28" i="77"/>
  <c r="X28" i="77"/>
  <c r="W28" i="77"/>
  <c r="V28" i="77"/>
  <c r="U28" i="77"/>
  <c r="T28" i="77"/>
  <c r="S28" i="77"/>
  <c r="R28" i="77"/>
  <c r="Q28" i="77"/>
  <c r="P28" i="77"/>
  <c r="O28" i="77"/>
  <c r="N28" i="77"/>
  <c r="M28" i="77"/>
  <c r="L28" i="77"/>
  <c r="K28" i="77"/>
  <c r="J28" i="77"/>
  <c r="I28" i="77"/>
  <c r="H28" i="77"/>
  <c r="G28" i="77"/>
  <c r="F28" i="77"/>
  <c r="E28" i="77"/>
  <c r="D28" i="77"/>
  <c r="C28" i="77"/>
  <c r="B28" i="77"/>
  <c r="AK27" i="77"/>
  <c r="AJ27" i="77"/>
  <c r="AI27" i="77"/>
  <c r="AH27" i="77"/>
  <c r="AG27" i="77"/>
  <c r="AF27" i="77"/>
  <c r="AE27" i="77"/>
  <c r="AD27" i="77"/>
  <c r="AC27" i="77"/>
  <c r="AB27" i="77"/>
  <c r="AA27" i="77"/>
  <c r="Z27" i="77"/>
  <c r="Y27" i="77"/>
  <c r="X27" i="77"/>
  <c r="W27" i="77"/>
  <c r="V27" i="77"/>
  <c r="U27" i="77"/>
  <c r="T27" i="77"/>
  <c r="S27" i="77"/>
  <c r="R27" i="77"/>
  <c r="Q27" i="77"/>
  <c r="P27" i="77"/>
  <c r="O27" i="77"/>
  <c r="N27" i="77"/>
  <c r="M27" i="77"/>
  <c r="L27" i="77"/>
  <c r="K27" i="77"/>
  <c r="J27" i="77"/>
  <c r="I27" i="77"/>
  <c r="H27" i="77"/>
  <c r="G27" i="77"/>
  <c r="F27" i="77"/>
  <c r="E27" i="77"/>
  <c r="D27" i="77"/>
  <c r="C27" i="77"/>
  <c r="B27" i="77"/>
  <c r="AK26" i="77"/>
  <c r="AJ26" i="77"/>
  <c r="AI26" i="77"/>
  <c r="AH26" i="77"/>
  <c r="AG26" i="77"/>
  <c r="AF26" i="77"/>
  <c r="AE26" i="77"/>
  <c r="AD26" i="77"/>
  <c r="AC26" i="77"/>
  <c r="AB26" i="77"/>
  <c r="AA26" i="77"/>
  <c r="Z26" i="77"/>
  <c r="Y26" i="77"/>
  <c r="X26" i="77"/>
  <c r="W26" i="77"/>
  <c r="V26" i="77"/>
  <c r="U26" i="77"/>
  <c r="T26" i="77"/>
  <c r="S26" i="77"/>
  <c r="R26" i="77"/>
  <c r="Q26" i="77"/>
  <c r="P26" i="77"/>
  <c r="O26" i="77"/>
  <c r="N26" i="77"/>
  <c r="M26" i="77"/>
  <c r="L26" i="77"/>
  <c r="K26" i="77"/>
  <c r="J26" i="77"/>
  <c r="I26" i="77"/>
  <c r="H26" i="77"/>
  <c r="G26" i="77"/>
  <c r="F26" i="77"/>
  <c r="E26" i="77"/>
  <c r="D26" i="77"/>
  <c r="C26" i="77"/>
  <c r="B26" i="77"/>
  <c r="AK25" i="77"/>
  <c r="AJ25" i="77"/>
  <c r="AI25" i="77"/>
  <c r="AH25" i="77"/>
  <c r="AG25" i="77"/>
  <c r="AF25" i="77"/>
  <c r="AE25" i="77"/>
  <c r="AD25" i="77"/>
  <c r="AC25" i="77"/>
  <c r="AB25" i="77"/>
  <c r="AA25" i="77"/>
  <c r="Z25" i="77"/>
  <c r="Y25" i="77"/>
  <c r="X25" i="77"/>
  <c r="W25" i="77"/>
  <c r="V25" i="77"/>
  <c r="U25" i="77"/>
  <c r="T25" i="77"/>
  <c r="S25" i="77"/>
  <c r="R25" i="77"/>
  <c r="Q25" i="77"/>
  <c r="P25" i="77"/>
  <c r="O25" i="77"/>
  <c r="N25" i="77"/>
  <c r="M25" i="77"/>
  <c r="L25" i="77"/>
  <c r="K25" i="77"/>
  <c r="J25" i="77"/>
  <c r="I25" i="77"/>
  <c r="H25" i="77"/>
  <c r="G25" i="77"/>
  <c r="F25" i="77"/>
  <c r="E25" i="77"/>
  <c r="D25" i="77"/>
  <c r="C25" i="77"/>
  <c r="B25" i="77"/>
  <c r="AK24" i="77"/>
  <c r="AJ24" i="77"/>
  <c r="AI24" i="77"/>
  <c r="AH24" i="77"/>
  <c r="AG24" i="77"/>
  <c r="AF24" i="77"/>
  <c r="AE24" i="77"/>
  <c r="AD24" i="77"/>
  <c r="AC24" i="77"/>
  <c r="AB24" i="77"/>
  <c r="AA24" i="77"/>
  <c r="Z24" i="77"/>
  <c r="Y24" i="77"/>
  <c r="X24" i="77"/>
  <c r="W24" i="77"/>
  <c r="V24" i="77"/>
  <c r="U24" i="77"/>
  <c r="T24" i="77"/>
  <c r="S24" i="77"/>
  <c r="R24" i="77"/>
  <c r="Q24" i="77"/>
  <c r="P24" i="77"/>
  <c r="O24" i="77"/>
  <c r="N24" i="77"/>
  <c r="M24" i="77"/>
  <c r="L24" i="77"/>
  <c r="K24" i="77"/>
  <c r="J24" i="77"/>
  <c r="I24" i="77"/>
  <c r="H24" i="77"/>
  <c r="G24" i="77"/>
  <c r="F24" i="77"/>
  <c r="E24" i="77"/>
  <c r="D24" i="77"/>
  <c r="C24" i="77"/>
  <c r="B24" i="77"/>
  <c r="AK23" i="77"/>
  <c r="AJ23" i="77"/>
  <c r="AI23" i="77"/>
  <c r="AH23" i="77"/>
  <c r="AG23" i="77"/>
  <c r="AF23" i="77"/>
  <c r="AE23" i="77"/>
  <c r="AD23" i="77"/>
  <c r="AC23" i="77"/>
  <c r="AB23" i="77"/>
  <c r="AA23" i="77"/>
  <c r="Z23" i="77"/>
  <c r="Y23" i="77"/>
  <c r="X23" i="77"/>
  <c r="W23" i="77"/>
  <c r="V23" i="77"/>
  <c r="U23" i="77"/>
  <c r="T23" i="77"/>
  <c r="S23" i="77"/>
  <c r="R23" i="77"/>
  <c r="Q23" i="77"/>
  <c r="P23" i="77"/>
  <c r="O23" i="77"/>
  <c r="N23" i="77"/>
  <c r="M23" i="77"/>
  <c r="L23" i="77"/>
  <c r="K23" i="77"/>
  <c r="J23" i="77"/>
  <c r="I23" i="77"/>
  <c r="H23" i="77"/>
  <c r="G23" i="77"/>
  <c r="F23" i="77"/>
  <c r="E23" i="77"/>
  <c r="D23" i="77"/>
  <c r="C23" i="77"/>
  <c r="B23" i="77"/>
  <c r="AK22" i="77"/>
  <c r="AJ22" i="77"/>
  <c r="AI22" i="77"/>
  <c r="AH22" i="77"/>
  <c r="AG22" i="77"/>
  <c r="AF22" i="77"/>
  <c r="AE22" i="77"/>
  <c r="AD22" i="77"/>
  <c r="AC22" i="77"/>
  <c r="AB22" i="77"/>
  <c r="AA22" i="77"/>
  <c r="Z22" i="77"/>
  <c r="Y22" i="77"/>
  <c r="X22" i="77"/>
  <c r="W22" i="77"/>
  <c r="V22" i="77"/>
  <c r="U22" i="77"/>
  <c r="T22" i="77"/>
  <c r="S22" i="77"/>
  <c r="R22" i="77"/>
  <c r="Q22" i="77"/>
  <c r="P22" i="77"/>
  <c r="O22" i="77"/>
  <c r="N22" i="77"/>
  <c r="M22" i="77"/>
  <c r="L22" i="77"/>
  <c r="K22" i="77"/>
  <c r="J22" i="77"/>
  <c r="I22" i="77"/>
  <c r="H22" i="77"/>
  <c r="G22" i="77"/>
  <c r="F22" i="77"/>
  <c r="E22" i="77"/>
  <c r="D22" i="77"/>
  <c r="C22" i="77"/>
  <c r="B22" i="77"/>
  <c r="AK21" i="77"/>
  <c r="AJ21" i="77"/>
  <c r="AI21" i="77"/>
  <c r="AH21" i="77"/>
  <c r="AG21" i="77"/>
  <c r="AF21" i="77"/>
  <c r="AE21" i="77"/>
  <c r="AD21" i="77"/>
  <c r="AC21" i="77"/>
  <c r="AB21" i="77"/>
  <c r="AA21" i="77"/>
  <c r="Z21" i="77"/>
  <c r="Y21" i="77"/>
  <c r="X21" i="77"/>
  <c r="W21" i="77"/>
  <c r="V21" i="77"/>
  <c r="U21" i="77"/>
  <c r="T21" i="77"/>
  <c r="S21" i="77"/>
  <c r="R21" i="77"/>
  <c r="Q21" i="77"/>
  <c r="P21" i="77"/>
  <c r="O21" i="77"/>
  <c r="N21" i="77"/>
  <c r="M21" i="77"/>
  <c r="L21" i="77"/>
  <c r="K21" i="77"/>
  <c r="J21" i="77"/>
  <c r="I21" i="77"/>
  <c r="H21" i="77"/>
  <c r="G21" i="77"/>
  <c r="F21" i="77"/>
  <c r="E21" i="77"/>
  <c r="D21" i="77"/>
  <c r="C21" i="77"/>
  <c r="B21" i="77"/>
  <c r="AK20" i="77"/>
  <c r="AJ20" i="77"/>
  <c r="AI20" i="77"/>
  <c r="AH20" i="77"/>
  <c r="AG20" i="77"/>
  <c r="AF20" i="77"/>
  <c r="AE20" i="77"/>
  <c r="AD20" i="77"/>
  <c r="AC20" i="77"/>
  <c r="AB20" i="77"/>
  <c r="AA20" i="77"/>
  <c r="Z20" i="77"/>
  <c r="Y20" i="77"/>
  <c r="X20" i="77"/>
  <c r="W20" i="77"/>
  <c r="V20" i="77"/>
  <c r="U20" i="77"/>
  <c r="T20" i="77"/>
  <c r="S20" i="77"/>
  <c r="R20" i="77"/>
  <c r="Q20" i="77"/>
  <c r="P20" i="77"/>
  <c r="O20" i="77"/>
  <c r="N20" i="77"/>
  <c r="M20" i="77"/>
  <c r="L20" i="77"/>
  <c r="K20" i="77"/>
  <c r="J20" i="77"/>
  <c r="I20" i="77"/>
  <c r="H20" i="77"/>
  <c r="G20" i="77"/>
  <c r="F20" i="77"/>
  <c r="E20" i="77"/>
  <c r="D20" i="77"/>
  <c r="C20" i="77"/>
  <c r="B20" i="77"/>
  <c r="AK19" i="77"/>
  <c r="AJ19" i="77"/>
  <c r="AI19" i="77"/>
  <c r="AH19" i="77"/>
  <c r="AG19" i="77"/>
  <c r="AF19" i="77"/>
  <c r="AE19" i="77"/>
  <c r="AD19" i="77"/>
  <c r="AC19" i="77"/>
  <c r="AB19" i="77"/>
  <c r="AA19" i="77"/>
  <c r="Z19" i="77"/>
  <c r="Y19" i="77"/>
  <c r="X19" i="77"/>
  <c r="W19" i="77"/>
  <c r="V19" i="77"/>
  <c r="U19" i="77"/>
  <c r="T19" i="77"/>
  <c r="S19" i="77"/>
  <c r="R19" i="77"/>
  <c r="Q19" i="77"/>
  <c r="P19" i="77"/>
  <c r="O19" i="77"/>
  <c r="N19" i="77"/>
  <c r="M19" i="77"/>
  <c r="L19" i="77"/>
  <c r="K19" i="77"/>
  <c r="J19" i="77"/>
  <c r="I19" i="77"/>
  <c r="H19" i="77"/>
  <c r="G19" i="77"/>
  <c r="F19" i="77"/>
  <c r="E19" i="77"/>
  <c r="D19" i="77"/>
  <c r="C19" i="77"/>
  <c r="B19" i="77"/>
  <c r="AK18" i="77"/>
  <c r="AJ18" i="77"/>
  <c r="AI18" i="77"/>
  <c r="AH18" i="77"/>
  <c r="AG18" i="77"/>
  <c r="AF18" i="77"/>
  <c r="AE18" i="77"/>
  <c r="AD18" i="77"/>
  <c r="AC18" i="77"/>
  <c r="AB18" i="77"/>
  <c r="AA18" i="77"/>
  <c r="Z18" i="77"/>
  <c r="Y18" i="77"/>
  <c r="X18" i="77"/>
  <c r="W18" i="77"/>
  <c r="V18" i="77"/>
  <c r="U18" i="77"/>
  <c r="T18" i="77"/>
  <c r="S18" i="77"/>
  <c r="R18" i="77"/>
  <c r="Q18" i="77"/>
  <c r="P18" i="77"/>
  <c r="O18" i="77"/>
  <c r="N18" i="77"/>
  <c r="M18" i="77"/>
  <c r="L18" i="77"/>
  <c r="K18" i="77"/>
  <c r="J18" i="77"/>
  <c r="I18" i="77"/>
  <c r="H18" i="77"/>
  <c r="G18" i="77"/>
  <c r="F18" i="77"/>
  <c r="E18" i="77"/>
  <c r="D18" i="77"/>
  <c r="C18" i="77"/>
  <c r="B18" i="77"/>
  <c r="AK17" i="77"/>
  <c r="AJ17" i="77"/>
  <c r="AI17" i="77"/>
  <c r="AH17" i="77"/>
  <c r="AG17" i="77"/>
  <c r="AF17" i="77"/>
  <c r="AE17" i="77"/>
  <c r="AD17" i="77"/>
  <c r="AC17" i="77"/>
  <c r="AB17" i="77"/>
  <c r="AA17" i="77"/>
  <c r="Z17" i="77"/>
  <c r="Y17" i="77"/>
  <c r="X17" i="77"/>
  <c r="W17" i="77"/>
  <c r="V17" i="77"/>
  <c r="U17" i="77"/>
  <c r="T17" i="77"/>
  <c r="S17" i="77"/>
  <c r="R17" i="77"/>
  <c r="Q17" i="77"/>
  <c r="P17" i="77"/>
  <c r="O17" i="77"/>
  <c r="N17" i="77"/>
  <c r="M17" i="77"/>
  <c r="L17" i="77"/>
  <c r="K17" i="77"/>
  <c r="J17" i="77"/>
  <c r="I17" i="77"/>
  <c r="H17" i="77"/>
  <c r="G17" i="77"/>
  <c r="F17" i="77"/>
  <c r="E17" i="77"/>
  <c r="D17" i="77"/>
  <c r="C17" i="77"/>
  <c r="B17" i="77"/>
  <c r="AK16" i="77"/>
  <c r="AJ16" i="77"/>
  <c r="AI16" i="77"/>
  <c r="AH16" i="77"/>
  <c r="AG16" i="77"/>
  <c r="AF16" i="77"/>
  <c r="AE16" i="77"/>
  <c r="AD16" i="77"/>
  <c r="AC16" i="77"/>
  <c r="AB16" i="77"/>
  <c r="AA16" i="77"/>
  <c r="Z16" i="77"/>
  <c r="Y16" i="77"/>
  <c r="X16" i="77"/>
  <c r="W16" i="77"/>
  <c r="V16" i="77"/>
  <c r="U16" i="77"/>
  <c r="T16" i="77"/>
  <c r="S16" i="77"/>
  <c r="R16" i="77"/>
  <c r="Q16" i="77"/>
  <c r="P16" i="77"/>
  <c r="O16" i="77"/>
  <c r="N16" i="77"/>
  <c r="M16" i="77"/>
  <c r="L16" i="77"/>
  <c r="K16" i="77"/>
  <c r="J16" i="77"/>
  <c r="I16" i="77"/>
  <c r="H16" i="77"/>
  <c r="G16" i="77"/>
  <c r="F16" i="77"/>
  <c r="E16" i="77"/>
  <c r="D16" i="77"/>
  <c r="C16" i="77"/>
  <c r="B16" i="77"/>
  <c r="AK15" i="77"/>
  <c r="AJ15" i="77"/>
  <c r="AI15" i="77"/>
  <c r="AH15" i="77"/>
  <c r="AG15" i="77"/>
  <c r="AF15" i="77"/>
  <c r="AE15" i="77"/>
  <c r="AD15" i="77"/>
  <c r="AC15" i="77"/>
  <c r="AB15" i="77"/>
  <c r="AA15" i="77"/>
  <c r="Z15" i="77"/>
  <c r="Y15" i="77"/>
  <c r="X15" i="77"/>
  <c r="W15" i="77"/>
  <c r="V15" i="77"/>
  <c r="U15" i="77"/>
  <c r="T15" i="77"/>
  <c r="S15" i="77"/>
  <c r="R15" i="77"/>
  <c r="Q15" i="77"/>
  <c r="P15" i="77"/>
  <c r="O15" i="77"/>
  <c r="N15" i="77"/>
  <c r="M15" i="77"/>
  <c r="L15" i="77"/>
  <c r="K15" i="77"/>
  <c r="J15" i="77"/>
  <c r="I15" i="77"/>
  <c r="H15" i="77"/>
  <c r="G15" i="77"/>
  <c r="F15" i="77"/>
  <c r="E15" i="77"/>
  <c r="D15" i="77"/>
  <c r="C15" i="77"/>
  <c r="B15" i="77"/>
  <c r="AK14" i="77"/>
  <c r="AJ14" i="77"/>
  <c r="AI14" i="77"/>
  <c r="AH14" i="77"/>
  <c r="AG14" i="77"/>
  <c r="AF14" i="77"/>
  <c r="AE14" i="77"/>
  <c r="AD14" i="77"/>
  <c r="AC14" i="77"/>
  <c r="AB14" i="77"/>
  <c r="AA14" i="77"/>
  <c r="Z14" i="77"/>
  <c r="Y14" i="77"/>
  <c r="X14" i="77"/>
  <c r="W14" i="77"/>
  <c r="V14" i="77"/>
  <c r="U14" i="77"/>
  <c r="T14" i="77"/>
  <c r="S14" i="77"/>
  <c r="R14" i="77"/>
  <c r="Q14" i="77"/>
  <c r="P14" i="77"/>
  <c r="O14" i="77"/>
  <c r="N14" i="77"/>
  <c r="M14" i="77"/>
  <c r="L14" i="77"/>
  <c r="K14" i="77"/>
  <c r="J14" i="77"/>
  <c r="I14" i="77"/>
  <c r="H14" i="77"/>
  <c r="G14" i="77"/>
  <c r="F14" i="77"/>
  <c r="E14" i="77"/>
  <c r="D14" i="77"/>
  <c r="C14" i="77"/>
  <c r="B14" i="77"/>
  <c r="AK13" i="77"/>
  <c r="AJ13" i="77"/>
  <c r="AI13" i="77"/>
  <c r="AH13" i="77"/>
  <c r="AG13" i="77"/>
  <c r="AF13" i="77"/>
  <c r="AE13" i="77"/>
  <c r="AD13" i="77"/>
  <c r="AC13" i="77"/>
  <c r="AB13" i="77"/>
  <c r="AA13" i="77"/>
  <c r="Z13" i="77"/>
  <c r="Y13" i="77"/>
  <c r="X13" i="77"/>
  <c r="W13" i="77"/>
  <c r="V13" i="77"/>
  <c r="U13" i="77"/>
  <c r="T13" i="77"/>
  <c r="S13" i="77"/>
  <c r="R13" i="77"/>
  <c r="Q13" i="77"/>
  <c r="P13" i="77"/>
  <c r="O13" i="77"/>
  <c r="N13" i="77"/>
  <c r="M13" i="77"/>
  <c r="L13" i="77"/>
  <c r="K13" i="77"/>
  <c r="J13" i="77"/>
  <c r="I13" i="77"/>
  <c r="H13" i="77"/>
  <c r="G13" i="77"/>
  <c r="F13" i="77"/>
  <c r="E13" i="77"/>
  <c r="D13" i="77"/>
  <c r="C13" i="77"/>
  <c r="B13" i="77"/>
  <c r="AK12" i="77"/>
  <c r="AJ12" i="77"/>
  <c r="AI12" i="77"/>
  <c r="AH12" i="77"/>
  <c r="AG12" i="77"/>
  <c r="AF12" i="77"/>
  <c r="AE12" i="77"/>
  <c r="AD12" i="77"/>
  <c r="AC12" i="77"/>
  <c r="AB12" i="77"/>
  <c r="AA12" i="77"/>
  <c r="Z12" i="77"/>
  <c r="Y12" i="77"/>
  <c r="X12" i="77"/>
  <c r="W12" i="77"/>
  <c r="V12" i="77"/>
  <c r="U12" i="77"/>
  <c r="T12" i="77"/>
  <c r="S12" i="77"/>
  <c r="R12" i="77"/>
  <c r="Q12" i="77"/>
  <c r="P12" i="77"/>
  <c r="O12" i="77"/>
  <c r="N12" i="77"/>
  <c r="M12" i="77"/>
  <c r="L12" i="77"/>
  <c r="K12" i="77"/>
  <c r="J12" i="77"/>
  <c r="I12" i="77"/>
  <c r="H12" i="77"/>
  <c r="G12" i="77"/>
  <c r="F12" i="77"/>
  <c r="E12" i="77"/>
  <c r="D12" i="77"/>
  <c r="C12" i="77"/>
  <c r="B12" i="77"/>
  <c r="AK11" i="77"/>
  <c r="AJ11" i="77"/>
  <c r="AI11" i="77"/>
  <c r="AH11" i="77"/>
  <c r="AG11" i="77"/>
  <c r="AF11" i="77"/>
  <c r="AE11" i="77"/>
  <c r="AD11" i="77"/>
  <c r="AC11" i="77"/>
  <c r="AB11" i="77"/>
  <c r="AA11" i="77"/>
  <c r="Z11" i="77"/>
  <c r="Y11" i="77"/>
  <c r="X11" i="77"/>
  <c r="W11" i="77"/>
  <c r="V11" i="77"/>
  <c r="U11" i="77"/>
  <c r="T11" i="77"/>
  <c r="S11" i="77"/>
  <c r="R11" i="77"/>
  <c r="Q11" i="77"/>
  <c r="P11" i="77"/>
  <c r="O11" i="77"/>
  <c r="N11" i="77"/>
  <c r="M11" i="77"/>
  <c r="L11" i="77"/>
  <c r="K11" i="77"/>
  <c r="J11" i="77"/>
  <c r="I11" i="77"/>
  <c r="H11" i="77"/>
  <c r="G11" i="77"/>
  <c r="F11" i="77"/>
  <c r="E11" i="77"/>
  <c r="D11" i="77"/>
  <c r="C11" i="77"/>
  <c r="B11" i="77"/>
  <c r="AK10" i="77"/>
  <c r="AJ10" i="77"/>
  <c r="AI10" i="77"/>
  <c r="AH10" i="77"/>
  <c r="AG10" i="77"/>
  <c r="AF10" i="77"/>
  <c r="AE10" i="77"/>
  <c r="AD10" i="77"/>
  <c r="AC10" i="77"/>
  <c r="AB10" i="77"/>
  <c r="AA10" i="77"/>
  <c r="Z10" i="77"/>
  <c r="Y10" i="77"/>
  <c r="X10" i="77"/>
  <c r="W10" i="77"/>
  <c r="V10" i="77"/>
  <c r="U10" i="77"/>
  <c r="T10" i="77"/>
  <c r="S10" i="77"/>
  <c r="R10" i="77"/>
  <c r="Q10" i="77"/>
  <c r="P10" i="77"/>
  <c r="O10" i="77"/>
  <c r="N10" i="77"/>
  <c r="M10" i="77"/>
  <c r="L10" i="77"/>
  <c r="K10" i="77"/>
  <c r="J10" i="77"/>
  <c r="I10" i="77"/>
  <c r="H10" i="77"/>
  <c r="G10" i="77"/>
  <c r="F10" i="77"/>
  <c r="E10" i="77"/>
  <c r="D10" i="77"/>
  <c r="C10" i="77"/>
  <c r="B10" i="77"/>
  <c r="AK9" i="77"/>
  <c r="AJ9" i="77"/>
  <c r="AI9" i="77"/>
  <c r="AH9" i="77"/>
  <c r="AG9" i="77"/>
  <c r="AF9" i="77"/>
  <c r="AE9" i="77"/>
  <c r="AD9" i="77"/>
  <c r="AC9" i="77"/>
  <c r="AB9" i="77"/>
  <c r="AA9" i="77"/>
  <c r="Z9" i="77"/>
  <c r="Y9" i="77"/>
  <c r="X9" i="77"/>
  <c r="W9" i="77"/>
  <c r="V9" i="77"/>
  <c r="U9" i="77"/>
  <c r="T9" i="77"/>
  <c r="S9" i="77"/>
  <c r="R9" i="77"/>
  <c r="Q9" i="77"/>
  <c r="P9" i="77"/>
  <c r="O9" i="77"/>
  <c r="N9" i="77"/>
  <c r="M9" i="77"/>
  <c r="L9" i="77"/>
  <c r="K9" i="77"/>
  <c r="J9" i="77"/>
  <c r="I9" i="77"/>
  <c r="H9" i="77"/>
  <c r="G9" i="77"/>
  <c r="F9" i="77"/>
  <c r="E9" i="77"/>
  <c r="D9" i="77"/>
  <c r="C9" i="77"/>
  <c r="B9" i="77"/>
  <c r="AK8" i="77"/>
  <c r="AJ8" i="77"/>
  <c r="AI8" i="77"/>
  <c r="AH8" i="77"/>
  <c r="AG8" i="77"/>
  <c r="AF8" i="77"/>
  <c r="AE8" i="77"/>
  <c r="AD8" i="77"/>
  <c r="AC8" i="77"/>
  <c r="AB8" i="77"/>
  <c r="AA8" i="77"/>
  <c r="Z8" i="77"/>
  <c r="Y8" i="77"/>
  <c r="X8" i="77"/>
  <c r="W8" i="77"/>
  <c r="V8" i="77"/>
  <c r="U8" i="77"/>
  <c r="T8" i="77"/>
  <c r="S8" i="77"/>
  <c r="R8" i="77"/>
  <c r="Q8" i="77"/>
  <c r="P8" i="77"/>
  <c r="O8" i="77"/>
  <c r="N8" i="77"/>
  <c r="M8" i="77"/>
  <c r="L8" i="77"/>
  <c r="K8" i="77"/>
  <c r="J8" i="77"/>
  <c r="I8" i="77"/>
  <c r="H8" i="77"/>
  <c r="G8" i="77"/>
  <c r="F8" i="77"/>
  <c r="E8" i="77"/>
  <c r="D8" i="77"/>
  <c r="C8" i="77"/>
  <c r="B8" i="77"/>
  <c r="AK7" i="77"/>
  <c r="AJ7" i="77"/>
  <c r="AI7" i="77"/>
  <c r="AH7" i="77"/>
  <c r="AG7" i="77"/>
  <c r="AF7" i="77"/>
  <c r="AE7" i="77"/>
  <c r="AD7" i="77"/>
  <c r="AC7" i="77"/>
  <c r="AB7" i="77"/>
  <c r="AA7" i="77"/>
  <c r="Z7" i="77"/>
  <c r="Y7" i="77"/>
  <c r="X7" i="77"/>
  <c r="W7" i="77"/>
  <c r="V7" i="77"/>
  <c r="U7" i="77"/>
  <c r="T7" i="77"/>
  <c r="S7" i="77"/>
  <c r="R7" i="77"/>
  <c r="Q7" i="77"/>
  <c r="P7" i="77"/>
  <c r="O7" i="77"/>
  <c r="N7" i="77"/>
  <c r="M7" i="77"/>
  <c r="L7" i="77"/>
  <c r="K7" i="77"/>
  <c r="J7" i="77"/>
  <c r="I7" i="77"/>
  <c r="H7" i="77"/>
  <c r="G7" i="77"/>
  <c r="F7" i="77"/>
  <c r="E7" i="77"/>
  <c r="D7" i="77"/>
  <c r="C7" i="77"/>
  <c r="B7" i="77"/>
  <c r="AK6" i="77"/>
  <c r="AJ6" i="77"/>
  <c r="AI6" i="77"/>
  <c r="AH6" i="77"/>
  <c r="AG6" i="77"/>
  <c r="AF6" i="77"/>
  <c r="AE6" i="77"/>
  <c r="AD6" i="77"/>
  <c r="AC6" i="77"/>
  <c r="AB6" i="77"/>
  <c r="AA6" i="77"/>
  <c r="Z6" i="77"/>
  <c r="Y6" i="77"/>
  <c r="X6" i="77"/>
  <c r="W6" i="77"/>
  <c r="V6" i="77"/>
  <c r="U6" i="77"/>
  <c r="T6" i="77"/>
  <c r="S6" i="77"/>
  <c r="R6" i="77"/>
  <c r="Q6" i="77"/>
  <c r="P6" i="77"/>
  <c r="O6" i="77"/>
  <c r="N6" i="77"/>
  <c r="M6" i="77"/>
  <c r="L6" i="77"/>
  <c r="K6" i="77"/>
  <c r="J6" i="77"/>
  <c r="I6" i="77"/>
  <c r="H6" i="77"/>
  <c r="G6" i="77"/>
  <c r="F6" i="77"/>
  <c r="E6" i="77"/>
  <c r="D6" i="77"/>
  <c r="C6" i="77"/>
  <c r="B6" i="77"/>
  <c r="AK5" i="77"/>
  <c r="AJ5" i="77"/>
  <c r="AI5" i="77"/>
  <c r="AH5" i="77"/>
  <c r="AG5" i="77"/>
  <c r="AF5" i="77"/>
  <c r="AE5" i="77"/>
  <c r="AD5" i="77"/>
  <c r="AC5" i="77"/>
  <c r="AB5" i="77"/>
  <c r="AA5" i="77"/>
  <c r="Z5" i="77"/>
  <c r="Y5" i="77"/>
  <c r="X5" i="77"/>
  <c r="W5" i="77"/>
  <c r="V5" i="77"/>
  <c r="U5" i="77"/>
  <c r="T5" i="77"/>
  <c r="S5" i="77"/>
  <c r="R5" i="77"/>
  <c r="Q5" i="77"/>
  <c r="P5" i="77"/>
  <c r="O5" i="77"/>
  <c r="N5" i="77"/>
  <c r="M5" i="77"/>
  <c r="L5" i="77"/>
  <c r="K5" i="77"/>
  <c r="J5" i="77"/>
  <c r="I5" i="77"/>
  <c r="H5" i="77"/>
  <c r="G5" i="77"/>
  <c r="F5" i="77"/>
  <c r="E5" i="77"/>
  <c r="D5" i="77"/>
  <c r="C5" i="77"/>
  <c r="B5" i="77"/>
  <c r="AK4" i="77"/>
  <c r="AJ4" i="77"/>
  <c r="AI4" i="77"/>
  <c r="AH4" i="77"/>
  <c r="AG4" i="77"/>
  <c r="AF4" i="77"/>
  <c r="AE4" i="77"/>
  <c r="AD4" i="77"/>
  <c r="AC4" i="77"/>
  <c r="AB4" i="77"/>
  <c r="AA4" i="77"/>
  <c r="Z4" i="77"/>
  <c r="Y4" i="77"/>
  <c r="X4" i="77"/>
  <c r="W4" i="77"/>
  <c r="V4" i="77"/>
  <c r="U4" i="77"/>
  <c r="T4" i="77"/>
  <c r="S4" i="77"/>
  <c r="R4" i="77"/>
  <c r="Q4" i="77"/>
  <c r="P4" i="77"/>
  <c r="O4" i="77"/>
  <c r="N4" i="77"/>
  <c r="M4" i="77"/>
  <c r="L4" i="77"/>
  <c r="K4" i="77"/>
  <c r="J4" i="77"/>
  <c r="I4" i="77"/>
  <c r="H4" i="77"/>
  <c r="G4" i="77"/>
  <c r="F4" i="77"/>
  <c r="E4" i="77"/>
  <c r="D4" i="77"/>
  <c r="C4" i="77"/>
  <c r="B4" i="77"/>
  <c r="AK3" i="77"/>
  <c r="AJ3" i="77"/>
  <c r="AI3" i="77"/>
  <c r="AH3" i="77"/>
  <c r="AG3" i="77"/>
  <c r="AF3" i="77"/>
  <c r="AE3" i="77"/>
  <c r="AD3" i="77"/>
  <c r="AC3" i="77"/>
  <c r="AB3" i="77"/>
  <c r="AA3" i="77"/>
  <c r="Z3" i="77"/>
  <c r="Y3" i="77"/>
  <c r="X3" i="77"/>
  <c r="W3" i="77"/>
  <c r="V3" i="77"/>
  <c r="U3" i="77"/>
  <c r="T3" i="77"/>
  <c r="S3" i="77"/>
  <c r="R3" i="77"/>
  <c r="Q3" i="77"/>
  <c r="P3" i="77"/>
  <c r="O3" i="77"/>
  <c r="N3" i="77"/>
  <c r="M3" i="77"/>
  <c r="L3" i="77"/>
  <c r="K3" i="77"/>
  <c r="J3" i="77"/>
  <c r="I3" i="77"/>
  <c r="H3" i="77"/>
  <c r="G3" i="77"/>
  <c r="F3" i="77"/>
  <c r="E3" i="77"/>
  <c r="D3" i="77"/>
  <c r="C3" i="77"/>
  <c r="B3" i="77"/>
  <c r="AK2" i="77"/>
  <c r="AJ2" i="77"/>
  <c r="AI2" i="77"/>
  <c r="AH2" i="77"/>
  <c r="AG2" i="77"/>
  <c r="AF2" i="77"/>
  <c r="AE2" i="77"/>
  <c r="AD2" i="77"/>
  <c r="AC2" i="77"/>
  <c r="AB2" i="77"/>
  <c r="AA2" i="77"/>
  <c r="Z2" i="77"/>
  <c r="Y2" i="77"/>
  <c r="X2" i="77"/>
  <c r="W2" i="77"/>
  <c r="V2" i="77"/>
  <c r="U2" i="77"/>
  <c r="T2" i="77"/>
  <c r="S2" i="77"/>
  <c r="R2" i="77"/>
  <c r="Q2" i="77"/>
  <c r="P2" i="77"/>
  <c r="O2" i="77"/>
  <c r="N2" i="77"/>
  <c r="M2" i="77"/>
  <c r="L2" i="77"/>
  <c r="K2" i="77"/>
  <c r="J2" i="77"/>
  <c r="I2" i="77"/>
  <c r="H2" i="77"/>
  <c r="G2" i="77"/>
  <c r="F2" i="77"/>
  <c r="E2" i="77"/>
  <c r="D2" i="77"/>
  <c r="C2" i="77"/>
  <c r="B2" i="77"/>
  <c r="A48" i="77"/>
  <c r="A47" i="77"/>
  <c r="A46" i="77"/>
  <c r="A45" i="77"/>
  <c r="A44" i="77"/>
  <c r="A43" i="77"/>
  <c r="A42" i="77"/>
  <c r="A41" i="77"/>
  <c r="A40" i="77"/>
  <c r="A39" i="77"/>
  <c r="A38" i="77"/>
  <c r="A37" i="77"/>
  <c r="A36" i="77"/>
  <c r="A35" i="77"/>
  <c r="A34" i="77"/>
  <c r="A33" i="77"/>
  <c r="A32" i="77"/>
  <c r="A31" i="77"/>
  <c r="A30" i="77"/>
  <c r="A29" i="77"/>
  <c r="A28" i="77"/>
  <c r="A27" i="77"/>
  <c r="A26" i="77"/>
  <c r="A25" i="77"/>
  <c r="A24" i="77"/>
  <c r="A23" i="77"/>
  <c r="A22" i="77"/>
  <c r="A21" i="77"/>
  <c r="A20" i="77"/>
  <c r="A19" i="77"/>
  <c r="A18" i="77"/>
  <c r="A17" i="77"/>
  <c r="A16" i="77"/>
  <c r="A15" i="77"/>
  <c r="A14" i="77"/>
  <c r="A13" i="77"/>
  <c r="A12" i="77"/>
  <c r="A11" i="77"/>
  <c r="A10" i="77"/>
  <c r="A9" i="77"/>
  <c r="A8" i="77"/>
  <c r="A7" i="77"/>
  <c r="A3" i="77"/>
  <c r="A2" i="77"/>
  <c r="AQ2" i="77" l="1"/>
  <c r="AM48" i="77"/>
  <c r="AM23" i="77"/>
  <c r="AM4" i="77"/>
  <c r="AM20" i="77"/>
  <c r="AM8" i="77"/>
  <c r="AM5" i="77"/>
  <c r="AM9" i="77"/>
  <c r="AM12" i="77"/>
  <c r="AM21" i="77"/>
  <c r="AM25" i="77"/>
  <c r="AM28" i="77"/>
  <c r="AM33" i="77"/>
  <c r="AM37" i="77"/>
  <c r="AM41" i="77"/>
  <c r="AM44" i="77"/>
  <c r="AM45" i="77"/>
  <c r="AM6" i="77"/>
  <c r="AM10" i="77"/>
  <c r="AM18" i="77"/>
  <c r="AM22" i="77"/>
  <c r="AM26" i="77"/>
  <c r="AM30" i="77"/>
  <c r="AM3" i="77"/>
  <c r="AM2" i="77"/>
  <c r="AM7" i="77"/>
  <c r="AM14" i="77"/>
  <c r="AM19" i="77"/>
  <c r="AM27" i="77"/>
  <c r="AM35" i="77"/>
  <c r="AM38" i="77"/>
  <c r="AM39" i="77"/>
  <c r="AM42" i="77"/>
  <c r="AM43" i="77"/>
  <c r="AM47" i="77"/>
  <c r="AM11" i="77"/>
  <c r="AM13" i="77"/>
  <c r="AM16" i="77"/>
  <c r="AM15" i="77"/>
  <c r="AM17" i="77"/>
  <c r="AM24" i="77"/>
  <c r="AM29" i="77"/>
  <c r="AM31" i="77"/>
  <c r="AM32" i="77"/>
  <c r="AM34" i="77"/>
  <c r="AM36" i="77"/>
  <c r="AM40" i="77"/>
  <c r="AM46" i="77"/>
  <c r="AQ3" i="77" l="1"/>
  <c r="AQ4" i="77" s="1"/>
  <c r="AR2" i="77"/>
  <c r="BG2" i="77"/>
  <c r="BV2" i="77"/>
  <c r="AX2" i="77"/>
  <c r="BM2" i="77"/>
  <c r="BH2" i="77"/>
  <c r="BW2" i="77"/>
  <c r="BN2" i="77"/>
  <c r="AT2" i="77"/>
  <c r="BX2" i="77"/>
  <c r="BD2" i="77"/>
  <c r="BS2" i="77"/>
  <c r="AU2" i="77"/>
  <c r="BJ2" i="77"/>
  <c r="BQ2" i="77"/>
  <c r="BP2" i="77"/>
  <c r="CA2" i="77"/>
  <c r="BC2" i="77"/>
  <c r="AS2" i="77"/>
  <c r="BT2" i="77"/>
  <c r="AZ2" i="77"/>
  <c r="BK2" i="77"/>
  <c r="BZ2" i="77"/>
  <c r="BF2" i="77"/>
  <c r="BE2" i="77"/>
  <c r="BY2" i="77"/>
  <c r="BI2" i="77"/>
  <c r="BU2" i="77"/>
  <c r="BL2" i="77"/>
  <c r="AV2" i="77"/>
  <c r="BO2" i="77"/>
  <c r="AY2" i="77"/>
  <c r="BR2" i="77"/>
  <c r="BB2" i="77"/>
  <c r="AW2" i="77"/>
  <c r="BA2" i="77"/>
  <c r="CB2" i="77"/>
  <c r="BO3" i="77" l="1"/>
  <c r="AQ5" i="77"/>
  <c r="BV5" i="77" s="1"/>
  <c r="BN3" i="77"/>
  <c r="BZ3" i="77"/>
  <c r="AX3" i="77"/>
  <c r="BJ3" i="77"/>
  <c r="BK3" i="77"/>
  <c r="BL3" i="77"/>
  <c r="AV3" i="77"/>
  <c r="BG3" i="77"/>
  <c r="BQ3" i="77"/>
  <c r="AR3" i="77"/>
  <c r="AT3" i="77"/>
  <c r="BD3" i="77"/>
  <c r="BF3" i="77"/>
  <c r="CA3" i="77"/>
  <c r="BS3" i="77"/>
  <c r="CB3" i="77"/>
  <c r="AZ3" i="77"/>
  <c r="BX3" i="77"/>
  <c r="AW3" i="77"/>
  <c r="BH3" i="77"/>
  <c r="BT3" i="77"/>
  <c r="BC3" i="77"/>
  <c r="BR3" i="77"/>
  <c r="AY3" i="77"/>
  <c r="BA3" i="77"/>
  <c r="AU3" i="77"/>
  <c r="BM3" i="77"/>
  <c r="BW3" i="77"/>
  <c r="BI3" i="77"/>
  <c r="BB3" i="77"/>
  <c r="BV3" i="77"/>
  <c r="BY3" i="77"/>
  <c r="BP3" i="77"/>
  <c r="BE3" i="77"/>
  <c r="AS3" i="77"/>
  <c r="BU3" i="77"/>
  <c r="CC2" i="77"/>
  <c r="AQ6" i="77" l="1"/>
  <c r="CC3" i="77"/>
  <c r="BM4" i="77"/>
  <c r="BJ4" i="77"/>
  <c r="BH4" i="77"/>
  <c r="BL4" i="77"/>
  <c r="AS4" i="77"/>
  <c r="AT4" i="77"/>
  <c r="BN4" i="77"/>
  <c r="BW4" i="77"/>
  <c r="AW4" i="77"/>
  <c r="AV4" i="77"/>
  <c r="BR4" i="77"/>
  <c r="BT4" i="77"/>
  <c r="AU4" i="77"/>
  <c r="BA4" i="77"/>
  <c r="BO4" i="77"/>
  <c r="AX4" i="77"/>
  <c r="BV4" i="77"/>
  <c r="BF4" i="77"/>
  <c r="BC4" i="77"/>
  <c r="CA4" i="77"/>
  <c r="BI4" i="77"/>
  <c r="BQ4" i="77"/>
  <c r="BK4" i="77"/>
  <c r="AR4" i="77"/>
  <c r="AZ4" i="77"/>
  <c r="BS4" i="77"/>
  <c r="BB4" i="77"/>
  <c r="BD4" i="77"/>
  <c r="BZ4" i="77"/>
  <c r="BX4" i="77"/>
  <c r="AY4" i="77"/>
  <c r="BE4" i="77"/>
  <c r="BG4" i="77"/>
  <c r="BP4" i="77"/>
  <c r="BU4" i="77"/>
  <c r="BY4" i="77"/>
  <c r="CB4" i="77"/>
  <c r="BH5" i="77"/>
  <c r="BC5" i="77"/>
  <c r="AT5" i="77"/>
  <c r="BZ5" i="77"/>
  <c r="BG5" i="77"/>
  <c r="AR5" i="77"/>
  <c r="BX5" i="77"/>
  <c r="BS5" i="77"/>
  <c r="BM5" i="77"/>
  <c r="BJ5" i="77"/>
  <c r="BL5" i="77"/>
  <c r="AV5" i="77"/>
  <c r="CB5" i="77"/>
  <c r="BW5" i="77"/>
  <c r="BQ5" i="77"/>
  <c r="BN5" i="77"/>
  <c r="AW5" i="77"/>
  <c r="BA5" i="77"/>
  <c r="AX5" i="77"/>
  <c r="AZ5" i="77"/>
  <c r="BP5" i="77"/>
  <c r="AU5" i="77"/>
  <c r="BK5" i="77"/>
  <c r="CA5" i="77"/>
  <c r="BE5" i="77"/>
  <c r="BU5" i="77"/>
  <c r="BB5" i="77"/>
  <c r="BR5" i="77"/>
  <c r="BD5" i="77"/>
  <c r="BT5" i="77"/>
  <c r="AY5" i="77"/>
  <c r="BO5" i="77"/>
  <c r="AS5" i="77"/>
  <c r="BI5" i="77"/>
  <c r="BY5" i="77"/>
  <c r="BF5" i="77"/>
  <c r="AQ7" i="77" l="1"/>
  <c r="CC4" i="77"/>
  <c r="CC5" i="77"/>
  <c r="BZ6" i="77"/>
  <c r="AU6" i="77"/>
  <c r="BJ6" i="77"/>
  <c r="BM6" i="77"/>
  <c r="BG6" i="77"/>
  <c r="AZ6" i="77"/>
  <c r="AT6" i="77"/>
  <c r="BN6" i="77"/>
  <c r="AW6" i="77"/>
  <c r="BU6" i="77"/>
  <c r="BK6" i="77"/>
  <c r="BD6" i="77"/>
  <c r="AX6" i="77"/>
  <c r="BR6" i="77"/>
  <c r="BE6" i="77"/>
  <c r="BY6" i="77"/>
  <c r="BW6" i="77"/>
  <c r="BP6" i="77"/>
  <c r="BB6" i="77"/>
  <c r="BI6" i="77"/>
  <c r="CA6" i="77"/>
  <c r="BT6" i="77"/>
  <c r="AS6" i="77"/>
  <c r="BF6" i="77"/>
  <c r="BV6" i="77"/>
  <c r="BA6" i="77"/>
  <c r="BQ6" i="77"/>
  <c r="AY6" i="77"/>
  <c r="BO6" i="77"/>
  <c r="AR6" i="77"/>
  <c r="BH6" i="77"/>
  <c r="BX6" i="77"/>
  <c r="BC6" i="77"/>
  <c r="BS6" i="77"/>
  <c r="AV6" i="77"/>
  <c r="BL6" i="77"/>
  <c r="CB6" i="77"/>
  <c r="AQ8" i="77" l="1"/>
  <c r="AV7" i="77"/>
  <c r="BQ7" i="77"/>
  <c r="AT7" i="77"/>
  <c r="BG7" i="77"/>
  <c r="CA7" i="77"/>
  <c r="BX7" i="77"/>
  <c r="BA7" i="77"/>
  <c r="BH7" i="77"/>
  <c r="BL7" i="77"/>
  <c r="AZ7" i="77"/>
  <c r="BE7" i="77"/>
  <c r="AR7" i="77"/>
  <c r="BW7" i="77"/>
  <c r="AS7" i="77"/>
  <c r="BV7" i="77"/>
  <c r="BN7" i="77"/>
  <c r="AU7" i="77"/>
  <c r="BT7" i="77"/>
  <c r="CB7" i="77"/>
  <c r="AY7" i="77"/>
  <c r="BO7" i="77"/>
  <c r="BR7" i="77"/>
  <c r="BZ7" i="77"/>
  <c r="BC7" i="77"/>
  <c r="BF7" i="77"/>
  <c r="BM7" i="77"/>
  <c r="AX7" i="77"/>
  <c r="AW7" i="77"/>
  <c r="BS7" i="77"/>
  <c r="BP7" i="77"/>
  <c r="BU7" i="77"/>
  <c r="BK7" i="77"/>
  <c r="BD7" i="77"/>
  <c r="BI7" i="77"/>
  <c r="BJ7" i="77"/>
  <c r="BB7" i="77"/>
  <c r="BY7" i="77"/>
  <c r="CC6" i="77"/>
  <c r="BT8" i="77" l="1"/>
  <c r="BO8" i="77"/>
  <c r="AU8" i="77"/>
  <c r="AT8" i="77"/>
  <c r="BM8" i="77"/>
  <c r="BL8" i="77"/>
  <c r="BG8" i="77"/>
  <c r="BI8" i="77"/>
  <c r="BU8" i="77"/>
  <c r="BD8" i="77"/>
  <c r="AQ9" i="77"/>
  <c r="AW8" i="77"/>
  <c r="AS8" i="77"/>
  <c r="BP8" i="77"/>
  <c r="BQ8" i="77"/>
  <c r="BE8" i="77"/>
  <c r="BA8" i="77"/>
  <c r="AV8" i="77"/>
  <c r="BV8" i="77"/>
  <c r="AR8" i="77"/>
  <c r="CA8" i="77"/>
  <c r="BN8" i="77"/>
  <c r="AZ8" i="77"/>
  <c r="BZ8" i="77"/>
  <c r="BX8" i="77"/>
  <c r="BB8" i="77"/>
  <c r="BS8" i="77"/>
  <c r="BF8" i="77"/>
  <c r="AY8" i="77"/>
  <c r="BK8" i="77"/>
  <c r="AX8" i="77"/>
  <c r="BW8" i="77"/>
  <c r="BJ8" i="77"/>
  <c r="BH8" i="77"/>
  <c r="CB8" i="77"/>
  <c r="BC8" i="77"/>
  <c r="BY8" i="77"/>
  <c r="BR8" i="77"/>
  <c r="CC7" i="77"/>
  <c r="AQ10" i="77" l="1"/>
  <c r="AQ11" i="77" s="1"/>
  <c r="AQ12" i="77" s="1"/>
  <c r="AQ13" i="77" s="1"/>
  <c r="AQ14" i="77" s="1"/>
  <c r="AQ15" i="77" s="1"/>
  <c r="AQ16" i="77" s="1"/>
  <c r="AQ17" i="77" s="1"/>
  <c r="AQ18" i="77" s="1"/>
  <c r="AQ19" i="77" s="1"/>
  <c r="AQ20" i="77" s="1"/>
  <c r="AQ21" i="77" s="1"/>
  <c r="AQ22" i="77" s="1"/>
  <c r="AQ23" i="77" s="1"/>
  <c r="AQ24" i="77" s="1"/>
  <c r="AQ25" i="77" s="1"/>
  <c r="AQ26" i="77" s="1"/>
  <c r="AQ27" i="77" s="1"/>
  <c r="AQ28" i="77" s="1"/>
  <c r="AQ29" i="77" s="1"/>
  <c r="AQ30" i="77" s="1"/>
  <c r="AQ31" i="77" s="1"/>
  <c r="AQ32" i="77" s="1"/>
  <c r="AQ33" i="77" s="1"/>
  <c r="AQ34" i="77" s="1"/>
  <c r="AQ35" i="77" s="1"/>
  <c r="AQ36" i="77" s="1"/>
  <c r="CC8" i="77"/>
  <c r="AV9" i="77"/>
  <c r="AW9" i="77"/>
  <c r="AT9" i="77"/>
  <c r="BS9" i="77"/>
  <c r="BX9" i="77"/>
  <c r="BI9" i="77"/>
  <c r="BN9" i="77"/>
  <c r="BG9" i="77"/>
  <c r="BO9" i="77"/>
  <c r="BC9" i="77"/>
  <c r="BP9" i="77"/>
  <c r="AX9" i="77"/>
  <c r="CB9" i="77"/>
  <c r="BZ9" i="77"/>
  <c r="BE9" i="77"/>
  <c r="AR9" i="77"/>
  <c r="BT9" i="77"/>
  <c r="CA9" i="77"/>
  <c r="BA9" i="77"/>
  <c r="BD9" i="77"/>
  <c r="BK9" i="77"/>
  <c r="BB9" i="77"/>
  <c r="AY9" i="77"/>
  <c r="AS9" i="77"/>
  <c r="BU9" i="77"/>
  <c r="BH9" i="77"/>
  <c r="BV9" i="77"/>
  <c r="BM9" i="77"/>
  <c r="AZ9" i="77"/>
  <c r="BY9" i="77"/>
  <c r="BL9" i="77"/>
  <c r="BJ9" i="77"/>
  <c r="BW9" i="77"/>
  <c r="AU9" i="77"/>
  <c r="BQ9" i="77"/>
  <c r="BF9" i="77"/>
  <c r="BR9" i="77"/>
  <c r="BR10" i="77" l="1"/>
  <c r="BQ10" i="77"/>
  <c r="AW10" i="77"/>
  <c r="BP10" i="77"/>
  <c r="BE10" i="77"/>
  <c r="BU10" i="77"/>
  <c r="AR10" i="77"/>
  <c r="BI10" i="77"/>
  <c r="CB10" i="77"/>
  <c r="BF10" i="77"/>
  <c r="BV10" i="77"/>
  <c r="BW10" i="77"/>
  <c r="AY10" i="77"/>
  <c r="BK10" i="77"/>
  <c r="CA10" i="77"/>
  <c r="BA10" i="77"/>
  <c r="BO10" i="77"/>
  <c r="BY10" i="77"/>
  <c r="AV10" i="77"/>
  <c r="BZ10" i="77"/>
  <c r="AX10" i="77"/>
  <c r="BD10" i="77"/>
  <c r="BT10" i="77"/>
  <c r="BB10" i="77"/>
  <c r="BN10" i="77"/>
  <c r="BH10" i="77"/>
  <c r="AT10" i="77"/>
  <c r="BM10" i="77"/>
  <c r="BG10" i="77"/>
  <c r="AS10" i="77"/>
  <c r="AZ10" i="77"/>
  <c r="BL10" i="77"/>
  <c r="BX10" i="77"/>
  <c r="AQ37" i="77"/>
  <c r="AQ38" i="77" s="1"/>
  <c r="AQ39" i="77" s="1"/>
  <c r="AQ40" i="77" s="1"/>
  <c r="AQ41" i="77" s="1"/>
  <c r="AQ42" i="77" s="1"/>
  <c r="AQ43" i="77" s="1"/>
  <c r="AQ44" i="77" s="1"/>
  <c r="AQ45" i="77" s="1"/>
  <c r="AQ46" i="77" s="1"/>
  <c r="AQ47" i="77" s="1"/>
  <c r="AQ48" i="77" s="1"/>
  <c r="BZ11" i="77"/>
  <c r="BJ10" i="77"/>
  <c r="BC10" i="77"/>
  <c r="BS10" i="77"/>
  <c r="AU10" i="77"/>
  <c r="CC9" i="77"/>
  <c r="BL11" i="77"/>
  <c r="BD11" i="77"/>
  <c r="AX11" i="77"/>
  <c r="AU11" i="77"/>
  <c r="BV11" i="77"/>
  <c r="CA11" i="77"/>
  <c r="BM11" i="77"/>
  <c r="BA11" i="77"/>
  <c r="AS11" i="77"/>
  <c r="BJ11" i="77"/>
  <c r="BK11" i="77"/>
  <c r="AR11" i="77"/>
  <c r="AV11" i="77"/>
  <c r="BX11" i="77"/>
  <c r="CB11" i="77"/>
  <c r="BT11" i="77"/>
  <c r="BB11" i="77"/>
  <c r="AZ11" i="77"/>
  <c r="BC11" i="77"/>
  <c r="BS11" i="77"/>
  <c r="BQ11" i="77"/>
  <c r="BI11" i="77"/>
  <c r="BF11" i="77"/>
  <c r="BE11" i="77"/>
  <c r="BR11" i="77"/>
  <c r="BU11" i="77"/>
  <c r="BH11" i="77"/>
  <c r="BT12" i="77"/>
  <c r="AT11" i="77"/>
  <c r="BY11" i="77"/>
  <c r="BN11" i="77"/>
  <c r="BP11" i="77"/>
  <c r="AW11" i="77"/>
  <c r="BG11" i="77"/>
  <c r="AY11" i="77"/>
  <c r="BW11" i="77"/>
  <c r="BO11" i="77"/>
  <c r="CC10" i="77" l="1"/>
  <c r="BF12" i="77"/>
  <c r="AS12" i="77"/>
  <c r="BY12" i="77"/>
  <c r="BS12" i="77"/>
  <c r="BV12" i="77"/>
  <c r="BI12" i="77"/>
  <c r="AV12" i="77"/>
  <c r="AW12" i="77"/>
  <c r="BZ12" i="77"/>
  <c r="CC11" i="77"/>
  <c r="BU12" i="77"/>
  <c r="BG12" i="77"/>
  <c r="BR12" i="77"/>
  <c r="BM12" i="77"/>
  <c r="BA12" i="77"/>
  <c r="BW12" i="77"/>
  <c r="BQ12" i="77"/>
  <c r="BX12" i="77"/>
  <c r="AX12" i="77"/>
  <c r="CA12" i="77"/>
  <c r="BN12" i="77"/>
  <c r="AU12" i="77"/>
  <c r="BE12" i="77"/>
  <c r="AZ12" i="77"/>
  <c r="AT12" i="77"/>
  <c r="BL12" i="77"/>
  <c r="BC12" i="77"/>
  <c r="AR12" i="77"/>
  <c r="BD12" i="77"/>
  <c r="AY12" i="77"/>
  <c r="BB12" i="77"/>
  <c r="BK12" i="77"/>
  <c r="BP12" i="77"/>
  <c r="BO12" i="77"/>
  <c r="CB12" i="77"/>
  <c r="BJ12" i="77"/>
  <c r="BH12" i="77"/>
  <c r="BS13" i="77" l="1"/>
  <c r="BC13" i="77"/>
  <c r="BV13" i="77"/>
  <c r="BF13" i="77"/>
  <c r="BX13" i="77"/>
  <c r="AR13" i="77"/>
  <c r="AW13" i="77"/>
  <c r="AV13" i="77"/>
  <c r="BA13" i="77"/>
  <c r="BZ13" i="77"/>
  <c r="AY13" i="77"/>
  <c r="BR13" i="77"/>
  <c r="BP13" i="77"/>
  <c r="BT13" i="77"/>
  <c r="AS13" i="77"/>
  <c r="BW13" i="77"/>
  <c r="BG13" i="77"/>
  <c r="CA13" i="77"/>
  <c r="BJ13" i="77"/>
  <c r="AT13" i="77"/>
  <c r="AZ13" i="77"/>
  <c r="BE13" i="77"/>
  <c r="BD13" i="77"/>
  <c r="BI13" i="77"/>
  <c r="BO13" i="77"/>
  <c r="BB13" i="77"/>
  <c r="BU13" i="77"/>
  <c r="BY13" i="77"/>
  <c r="CB13" i="77"/>
  <c r="BK13" i="77"/>
  <c r="AU13" i="77"/>
  <c r="BN13" i="77"/>
  <c r="AX13" i="77"/>
  <c r="BH13" i="77"/>
  <c r="BM13" i="77"/>
  <c r="BL13" i="77"/>
  <c r="BQ13" i="77"/>
  <c r="CC12" i="77"/>
  <c r="BX14" i="77" l="1"/>
  <c r="BH14" i="77"/>
  <c r="AR14" i="77"/>
  <c r="BK14" i="77"/>
  <c r="BZ14" i="77"/>
  <c r="BE14" i="77"/>
  <c r="BI14" i="77"/>
  <c r="AW14" i="77"/>
  <c r="AS14" i="77"/>
  <c r="BP14" i="77"/>
  <c r="AZ14" i="77"/>
  <c r="BV14" i="77"/>
  <c r="BA14" i="77"/>
  <c r="BO14" i="77"/>
  <c r="AT14" i="77"/>
  <c r="BR14" i="77"/>
  <c r="BN14" i="77"/>
  <c r="BM14" i="77"/>
  <c r="CB14" i="77"/>
  <c r="BL14" i="77"/>
  <c r="AV14" i="77"/>
  <c r="BQ14" i="77"/>
  <c r="AU14" i="77"/>
  <c r="BJ14" i="77"/>
  <c r="BS14" i="77"/>
  <c r="BG14" i="77"/>
  <c r="BC14" i="77"/>
  <c r="BB14" i="77"/>
  <c r="BT14" i="77"/>
  <c r="BD14" i="77"/>
  <c r="CA14" i="77"/>
  <c r="BF14" i="77"/>
  <c r="BU14" i="77"/>
  <c r="AY14" i="77"/>
  <c r="AX14" i="77"/>
  <c r="BY14" i="77"/>
  <c r="BW14" i="77"/>
  <c r="CC13" i="77"/>
  <c r="CB16" i="77" l="1"/>
  <c r="BL16" i="77"/>
  <c r="AV16" i="77"/>
  <c r="BQ16" i="77"/>
  <c r="AU16" i="77"/>
  <c r="BJ16" i="77"/>
  <c r="BY16" i="77"/>
  <c r="BC16" i="77"/>
  <c r="AW16" i="77"/>
  <c r="BH16" i="77"/>
  <c r="BK16" i="77"/>
  <c r="BE16" i="77"/>
  <c r="AX16" i="77"/>
  <c r="BP16" i="77"/>
  <c r="AZ16" i="77"/>
  <c r="BV16" i="77"/>
  <c r="BA16" i="77"/>
  <c r="BO16" i="77"/>
  <c r="AT16" i="77"/>
  <c r="BI16" i="77"/>
  <c r="BM16" i="77"/>
  <c r="BR16" i="77"/>
  <c r="BG16" i="77"/>
  <c r="BX16" i="77"/>
  <c r="AR16" i="77"/>
  <c r="BZ16" i="77"/>
  <c r="BS16" i="77"/>
  <c r="BW16" i="77"/>
  <c r="BT16" i="77"/>
  <c r="BD16" i="77"/>
  <c r="CA16" i="77"/>
  <c r="BF16" i="77"/>
  <c r="BU16" i="77"/>
  <c r="AY16" i="77"/>
  <c r="BN16" i="77"/>
  <c r="AS16" i="77"/>
  <c r="BB16" i="77"/>
  <c r="CC14" i="77"/>
  <c r="BZ15" i="77"/>
  <c r="BJ15" i="77"/>
  <c r="AT15" i="77"/>
  <c r="BL15" i="77"/>
  <c r="CA15" i="77"/>
  <c r="BE15" i="77"/>
  <c r="BT15" i="77"/>
  <c r="AY15" i="77"/>
  <c r="BS15" i="77"/>
  <c r="BH15" i="77"/>
  <c r="BR15" i="77"/>
  <c r="BB15" i="77"/>
  <c r="BW15" i="77"/>
  <c r="BA15" i="77"/>
  <c r="BP15" i="77"/>
  <c r="AU15" i="77"/>
  <c r="BI15" i="77"/>
  <c r="BX15" i="77"/>
  <c r="BM15" i="77"/>
  <c r="BN15" i="77"/>
  <c r="AX15" i="77"/>
  <c r="BQ15" i="77"/>
  <c r="AV15" i="77"/>
  <c r="BK15" i="77"/>
  <c r="BY15" i="77"/>
  <c r="BD15" i="77"/>
  <c r="BC15" i="77"/>
  <c r="AR15" i="77"/>
  <c r="BV15" i="77"/>
  <c r="BF15" i="77"/>
  <c r="CB15" i="77"/>
  <c r="BG15" i="77"/>
  <c r="BU15" i="77"/>
  <c r="AZ15" i="77"/>
  <c r="BO15" i="77"/>
  <c r="AS15" i="77"/>
  <c r="AW15" i="77"/>
  <c r="BN17" i="77"/>
  <c r="CC16" i="77" l="1"/>
  <c r="BP18" i="77"/>
  <c r="AS17" i="77"/>
  <c r="AZ17" i="77"/>
  <c r="BL17" i="77"/>
  <c r="BC17" i="77"/>
  <c r="BM17" i="77"/>
  <c r="BY17" i="77"/>
  <c r="BI17" i="77"/>
  <c r="AU17" i="77"/>
  <c r="BP17" i="77"/>
  <c r="BG17" i="77"/>
  <c r="BX17" i="77"/>
  <c r="BB17" i="77"/>
  <c r="BR17" i="77"/>
  <c r="AW17" i="77"/>
  <c r="BO17" i="77"/>
  <c r="BU17" i="77"/>
  <c r="CB17" i="77"/>
  <c r="BF17" i="77"/>
  <c r="BV17" i="77"/>
  <c r="BH17" i="77"/>
  <c r="BS17" i="77"/>
  <c r="AY17" i="77"/>
  <c r="BT17" i="77"/>
  <c r="BE17" i="77"/>
  <c r="AV17" i="77"/>
  <c r="BQ17" i="77"/>
  <c r="AT17" i="77"/>
  <c r="BJ17" i="77"/>
  <c r="BZ17" i="77"/>
  <c r="CC15" i="77"/>
  <c r="AR17" i="77"/>
  <c r="BD17" i="77"/>
  <c r="CA17" i="77"/>
  <c r="BK17" i="77"/>
  <c r="BA17" i="77"/>
  <c r="BW17" i="77"/>
  <c r="AX17" i="77"/>
  <c r="CC17" i="77" l="1"/>
  <c r="BZ19" i="77"/>
  <c r="BI18" i="77"/>
  <c r="BA18" i="77"/>
  <c r="BB18" i="77"/>
  <c r="BR18" i="77"/>
  <c r="AY18" i="77"/>
  <c r="BO18" i="77"/>
  <c r="AR18" i="77"/>
  <c r="BH18" i="77"/>
  <c r="BX18" i="77"/>
  <c r="AS18" i="77"/>
  <c r="AX18" i="77"/>
  <c r="BK18" i="77"/>
  <c r="BD18" i="77"/>
  <c r="BE18" i="77"/>
  <c r="BQ18" i="77"/>
  <c r="BV18" i="77"/>
  <c r="BC18" i="77"/>
  <c r="BS18" i="77"/>
  <c r="AV18" i="77"/>
  <c r="BL18" i="77"/>
  <c r="CB18" i="77"/>
  <c r="BM18" i="77"/>
  <c r="BN18" i="77"/>
  <c r="AU18" i="77"/>
  <c r="CA18" i="77"/>
  <c r="BT18" i="77"/>
  <c r="BY18" i="77"/>
  <c r="BF18" i="77"/>
  <c r="BU18" i="77"/>
  <c r="AW18" i="77"/>
  <c r="AT18" i="77"/>
  <c r="BJ18" i="77"/>
  <c r="BZ18" i="77"/>
  <c r="BG18" i="77"/>
  <c r="BW18" i="77"/>
  <c r="AZ18" i="77"/>
  <c r="CC18" i="77" l="1"/>
  <c r="BS19" i="77"/>
  <c r="AR19" i="77"/>
  <c r="BX19" i="77"/>
  <c r="BQ19" i="77"/>
  <c r="AX19" i="77"/>
  <c r="BN19" i="77"/>
  <c r="BG19" i="77"/>
  <c r="CA19" i="77"/>
  <c r="AV19" i="77"/>
  <c r="BL19" i="77"/>
  <c r="CB19" i="77"/>
  <c r="BE19" i="77"/>
  <c r="BU19" i="77"/>
  <c r="BB19" i="77"/>
  <c r="BR19" i="77"/>
  <c r="BK19" i="77"/>
  <c r="BH19" i="77"/>
  <c r="BA19" i="77"/>
  <c r="BW19" i="77"/>
  <c r="AZ19" i="77"/>
  <c r="AS19" i="77"/>
  <c r="BF19" i="77"/>
  <c r="BT20" i="77"/>
  <c r="AY19" i="77"/>
  <c r="BP19" i="77"/>
  <c r="BI19" i="77"/>
  <c r="BY19" i="77"/>
  <c r="BV19" i="77"/>
  <c r="BC19" i="77"/>
  <c r="AU19" i="77"/>
  <c r="BO19" i="77"/>
  <c r="BD19" i="77"/>
  <c r="BT19" i="77"/>
  <c r="AW19" i="77"/>
  <c r="BM19" i="77"/>
  <c r="AT19" i="77"/>
  <c r="BJ19" i="77"/>
  <c r="CC19" i="77" l="1"/>
  <c r="BZ21" i="77"/>
  <c r="BI20" i="77"/>
  <c r="BA20" i="77"/>
  <c r="BB20" i="77"/>
  <c r="BR20" i="77"/>
  <c r="AY20" i="77"/>
  <c r="BO20" i="77"/>
  <c r="AR20" i="77"/>
  <c r="BH20" i="77"/>
  <c r="BX20" i="77"/>
  <c r="BY20" i="77"/>
  <c r="BF20" i="77"/>
  <c r="BC20" i="77"/>
  <c r="AV20" i="77"/>
  <c r="BL20" i="77"/>
  <c r="CB20" i="77"/>
  <c r="BU20" i="77"/>
  <c r="AW20" i="77"/>
  <c r="AT20" i="77"/>
  <c r="BJ20" i="77"/>
  <c r="BZ20" i="77"/>
  <c r="BG20" i="77"/>
  <c r="BW20" i="77"/>
  <c r="AZ20" i="77"/>
  <c r="BP20" i="77"/>
  <c r="BE20" i="77"/>
  <c r="BQ20" i="77"/>
  <c r="BV20" i="77"/>
  <c r="BS20" i="77"/>
  <c r="AS20" i="77"/>
  <c r="BM20" i="77"/>
  <c r="AX20" i="77"/>
  <c r="BN20" i="77"/>
  <c r="AU20" i="77"/>
  <c r="BK20" i="77"/>
  <c r="CA20" i="77"/>
  <c r="BD20" i="77"/>
  <c r="CC20" i="77" l="1"/>
  <c r="BS21" i="77"/>
  <c r="AR21" i="77"/>
  <c r="BX21" i="77"/>
  <c r="BQ21" i="77"/>
  <c r="AX21" i="77"/>
  <c r="BG21" i="77"/>
  <c r="CA21" i="77"/>
  <c r="AV21" i="77"/>
  <c r="BL21" i="77"/>
  <c r="CB21" i="77"/>
  <c r="BE21" i="77"/>
  <c r="BU21" i="77"/>
  <c r="BB21" i="77"/>
  <c r="BR21" i="77"/>
  <c r="BT22" i="77"/>
  <c r="AY21" i="77"/>
  <c r="BP21" i="77"/>
  <c r="BY21" i="77"/>
  <c r="BK21" i="77"/>
  <c r="BH21" i="77"/>
  <c r="BA21" i="77"/>
  <c r="BN21" i="77"/>
  <c r="BW21" i="77"/>
  <c r="AZ21" i="77"/>
  <c r="AS21" i="77"/>
  <c r="BI21" i="77"/>
  <c r="BF21" i="77"/>
  <c r="BV21" i="77"/>
  <c r="BC21" i="77"/>
  <c r="AU21" i="77"/>
  <c r="BO21" i="77"/>
  <c r="BD21" i="77"/>
  <c r="BT21" i="77"/>
  <c r="AW21" i="77"/>
  <c r="BM21" i="77"/>
  <c r="AT21" i="77"/>
  <c r="BJ21" i="77"/>
  <c r="CC21" i="77" l="1"/>
  <c r="CB23" i="77"/>
  <c r="BI22" i="77"/>
  <c r="BA22" i="77"/>
  <c r="BB22" i="77"/>
  <c r="BR22" i="77"/>
  <c r="AY22" i="77"/>
  <c r="BO22" i="77"/>
  <c r="AR22" i="77"/>
  <c r="BH22" i="77"/>
  <c r="BX22" i="77"/>
  <c r="BY22" i="77"/>
  <c r="BF22" i="77"/>
  <c r="BC22" i="77"/>
  <c r="AV22" i="77"/>
  <c r="CB22" i="77"/>
  <c r="BU22" i="77"/>
  <c r="AW22" i="77"/>
  <c r="AT22" i="77"/>
  <c r="BJ22" i="77"/>
  <c r="BZ22" i="77"/>
  <c r="BG22" i="77"/>
  <c r="BW22" i="77"/>
  <c r="AZ22" i="77"/>
  <c r="BP22" i="77"/>
  <c r="BE22" i="77"/>
  <c r="BQ22" i="77"/>
  <c r="BV22" i="77"/>
  <c r="BS22" i="77"/>
  <c r="BL22" i="77"/>
  <c r="AS22" i="77"/>
  <c r="BM22" i="77"/>
  <c r="AX22" i="77"/>
  <c r="BN22" i="77"/>
  <c r="AU22" i="77"/>
  <c r="BK22" i="77"/>
  <c r="CA22" i="77"/>
  <c r="BD22" i="77"/>
  <c r="CC22" i="77" l="1"/>
  <c r="BV23" i="77"/>
  <c r="AZ23" i="77"/>
  <c r="BA23" i="77"/>
  <c r="BB23" i="77"/>
  <c r="BU23" i="77"/>
  <c r="BP23" i="77"/>
  <c r="BG23" i="77"/>
  <c r="BQ23" i="77"/>
  <c r="BD23" i="77"/>
  <c r="BW23" i="77"/>
  <c r="BE23" i="77"/>
  <c r="BY23" i="77"/>
  <c r="BF23" i="77"/>
  <c r="CA23" i="77"/>
  <c r="BT23" i="77"/>
  <c r="AY23" i="77"/>
  <c r="BR23" i="77"/>
  <c r="BS23" i="77"/>
  <c r="AU23" i="77"/>
  <c r="BH23" i="77"/>
  <c r="BI23" i="77"/>
  <c r="BJ23" i="77"/>
  <c r="BX23" i="77"/>
  <c r="BR24" i="77"/>
  <c r="AR23" i="77"/>
  <c r="AS23" i="77"/>
  <c r="AT23" i="77"/>
  <c r="BZ23" i="77"/>
  <c r="BC23" i="77"/>
  <c r="BK23" i="77"/>
  <c r="AV23" i="77"/>
  <c r="BM23" i="77"/>
  <c r="AW23" i="77"/>
  <c r="BN23" i="77"/>
  <c r="AX23" i="77"/>
  <c r="BO23" i="77"/>
  <c r="BL23" i="77"/>
  <c r="CC23" i="77" l="1"/>
  <c r="BA24" i="77"/>
  <c r="AW24" i="77"/>
  <c r="AR24" i="77"/>
  <c r="BX24" i="77"/>
  <c r="BI24" i="77"/>
  <c r="BK24" i="77"/>
  <c r="BG24" i="77"/>
  <c r="BL24" i="77"/>
  <c r="CB24" i="77"/>
  <c r="BF24" i="77"/>
  <c r="BV24" i="77"/>
  <c r="BQ24" i="77"/>
  <c r="BM24" i="77"/>
  <c r="AZ24" i="77"/>
  <c r="BJ24" i="77"/>
  <c r="BP25" i="77"/>
  <c r="BE24" i="77"/>
  <c r="AV24" i="77"/>
  <c r="AS24" i="77"/>
  <c r="BS24" i="77"/>
  <c r="BO24" i="77"/>
  <c r="BP24" i="77"/>
  <c r="AT24" i="77"/>
  <c r="BZ24" i="77"/>
  <c r="BY24" i="77"/>
  <c r="AU24" i="77"/>
  <c r="CA24" i="77"/>
  <c r="BU24" i="77"/>
  <c r="BW24" i="77"/>
  <c r="BD24" i="77"/>
  <c r="BT24" i="77"/>
  <c r="AX24" i="77"/>
  <c r="BN24" i="77"/>
  <c r="BC24" i="77"/>
  <c r="AY24" i="77"/>
  <c r="BH24" i="77"/>
  <c r="BB24" i="77"/>
  <c r="CC24" i="77" l="1"/>
  <c r="BZ26" i="77"/>
  <c r="BA25" i="77"/>
  <c r="BR25" i="77"/>
  <c r="BO25" i="77"/>
  <c r="BX25" i="77"/>
  <c r="AS25" i="77"/>
  <c r="AX25" i="77"/>
  <c r="AU25" i="77"/>
  <c r="CA25" i="77"/>
  <c r="BD25" i="77"/>
  <c r="BT25" i="77"/>
  <c r="BI25" i="77"/>
  <c r="BB25" i="77"/>
  <c r="AY25" i="77"/>
  <c r="AR25" i="77"/>
  <c r="BH25" i="77"/>
  <c r="BU25" i="77"/>
  <c r="BY25" i="77"/>
  <c r="BQ25" i="77"/>
  <c r="BF25" i="77"/>
  <c r="BV25" i="77"/>
  <c r="BC25" i="77"/>
  <c r="BS25" i="77"/>
  <c r="AV25" i="77"/>
  <c r="BL25" i="77"/>
  <c r="CB25" i="77"/>
  <c r="BM25" i="77"/>
  <c r="BN25" i="77"/>
  <c r="BK25" i="77"/>
  <c r="BE25" i="77"/>
  <c r="AW25" i="77"/>
  <c r="AT25" i="77"/>
  <c r="BJ25" i="77"/>
  <c r="BZ25" i="77"/>
  <c r="BG25" i="77"/>
  <c r="BW25" i="77"/>
  <c r="AZ25" i="77"/>
  <c r="CC25" i="77" l="1"/>
  <c r="BK26" i="77"/>
  <c r="BX26" i="77"/>
  <c r="BQ26" i="77"/>
  <c r="BN26" i="77"/>
  <c r="BG26" i="77"/>
  <c r="CA26" i="77"/>
  <c r="AV26" i="77"/>
  <c r="BL26" i="77"/>
  <c r="CB26" i="77"/>
  <c r="BE26" i="77"/>
  <c r="BU26" i="77"/>
  <c r="BB26" i="77"/>
  <c r="BR26" i="77"/>
  <c r="BP27" i="77"/>
  <c r="AY26" i="77"/>
  <c r="BP26" i="77"/>
  <c r="BI26" i="77"/>
  <c r="BF26" i="77"/>
  <c r="BV26" i="77"/>
  <c r="BC26" i="77"/>
  <c r="AR26" i="77"/>
  <c r="BH26" i="77"/>
  <c r="BA26" i="77"/>
  <c r="AX26" i="77"/>
  <c r="BW26" i="77"/>
  <c r="AZ26" i="77"/>
  <c r="AS26" i="77"/>
  <c r="BY26" i="77"/>
  <c r="BS26" i="77"/>
  <c r="AU26" i="77"/>
  <c r="BO26" i="77"/>
  <c r="BD26" i="77"/>
  <c r="BT26" i="77"/>
  <c r="AW26" i="77"/>
  <c r="BM26" i="77"/>
  <c r="AT26" i="77"/>
  <c r="BJ26" i="77"/>
  <c r="CC26" i="77" l="1"/>
  <c r="BY27" i="77"/>
  <c r="BF27" i="77"/>
  <c r="BC27" i="77"/>
  <c r="AW27" i="77"/>
  <c r="BJ27" i="77"/>
  <c r="BG27" i="77"/>
  <c r="AS27" i="77"/>
  <c r="BM27" i="77"/>
  <c r="AX27" i="77"/>
  <c r="BN27" i="77"/>
  <c r="AU27" i="77"/>
  <c r="BK27" i="77"/>
  <c r="CA27" i="77"/>
  <c r="BD27" i="77"/>
  <c r="BT27" i="77"/>
  <c r="CB28" i="77"/>
  <c r="BI27" i="77"/>
  <c r="BA27" i="77"/>
  <c r="BB27" i="77"/>
  <c r="BR27" i="77"/>
  <c r="AY27" i="77"/>
  <c r="BO27" i="77"/>
  <c r="AR27" i="77"/>
  <c r="BH27" i="77"/>
  <c r="BX27" i="77"/>
  <c r="BU27" i="77"/>
  <c r="BQ27" i="77"/>
  <c r="BV27" i="77"/>
  <c r="BS27" i="77"/>
  <c r="AV27" i="77"/>
  <c r="BL27" i="77"/>
  <c r="CB27" i="77"/>
  <c r="BE27" i="77"/>
  <c r="AT27" i="77"/>
  <c r="BZ27" i="77"/>
  <c r="BW27" i="77"/>
  <c r="AZ27" i="77"/>
  <c r="CC27" i="77" l="1"/>
  <c r="BO28" i="77"/>
  <c r="AU28" i="77"/>
  <c r="BH28" i="77"/>
  <c r="BU28" i="77"/>
  <c r="BZ29" i="77"/>
  <c r="BD28" i="77"/>
  <c r="BA28" i="77"/>
  <c r="AX28" i="77"/>
  <c r="BS28" i="77"/>
  <c r="AR28" i="77"/>
  <c r="BY28" i="77"/>
  <c r="BE28" i="77"/>
  <c r="BB28" i="77"/>
  <c r="BR28" i="77"/>
  <c r="BZ28" i="77"/>
  <c r="BC28" i="77"/>
  <c r="BK28" i="77"/>
  <c r="AV28" i="77"/>
  <c r="BL28" i="77"/>
  <c r="AS28" i="77"/>
  <c r="BI28" i="77"/>
  <c r="CA28" i="77"/>
  <c r="BF28" i="77"/>
  <c r="BW28" i="77"/>
  <c r="BX28" i="77"/>
  <c r="BT28" i="77"/>
  <c r="BQ28" i="77"/>
  <c r="BN28" i="77"/>
  <c r="BV28" i="77"/>
  <c r="BG28" i="77"/>
  <c r="AY28" i="77"/>
  <c r="AZ28" i="77"/>
  <c r="BP28" i="77"/>
  <c r="AW28" i="77"/>
  <c r="BM28" i="77"/>
  <c r="AT28" i="77"/>
  <c r="BJ28" i="77"/>
  <c r="CC28" i="77" l="1"/>
  <c r="AU29" i="77"/>
  <c r="BU29" i="77"/>
  <c r="BD29" i="77"/>
  <c r="AX29" i="77"/>
  <c r="BN29" i="77"/>
  <c r="BY29" i="77"/>
  <c r="BC29" i="77"/>
  <c r="AW29" i="77"/>
  <c r="AY29" i="77"/>
  <c r="AR29" i="77"/>
  <c r="BH29" i="77"/>
  <c r="BX29" i="77"/>
  <c r="BB29" i="77"/>
  <c r="BR29" i="77"/>
  <c r="BT30" i="77"/>
  <c r="BE29" i="77"/>
  <c r="AV29" i="77"/>
  <c r="AS29" i="77"/>
  <c r="CA29" i="77"/>
  <c r="BW29" i="77"/>
  <c r="BT29" i="77"/>
  <c r="BA29" i="77"/>
  <c r="BK29" i="77"/>
  <c r="BG29" i="77"/>
  <c r="BL29" i="77"/>
  <c r="CB29" i="77"/>
  <c r="BF29" i="77"/>
  <c r="BV29" i="77"/>
  <c r="BQ29" i="77"/>
  <c r="BI29" i="77"/>
  <c r="BS29" i="77"/>
  <c r="BM29" i="77"/>
  <c r="BO29" i="77"/>
  <c r="AZ29" i="77"/>
  <c r="BP29" i="77"/>
  <c r="AT29" i="77"/>
  <c r="BJ29" i="77"/>
  <c r="CC29" i="77" l="1"/>
  <c r="CA31" i="77"/>
  <c r="BU30" i="77"/>
  <c r="BW30" i="77"/>
  <c r="BQ30" i="77"/>
  <c r="BK30" i="77"/>
  <c r="AX30" i="77"/>
  <c r="BN30" i="77"/>
  <c r="AR30" i="77"/>
  <c r="BH30" i="77"/>
  <c r="BX30" i="77"/>
  <c r="AW30" i="77"/>
  <c r="AS30" i="77"/>
  <c r="BS30" i="77"/>
  <c r="BR30" i="77"/>
  <c r="AV30" i="77"/>
  <c r="BL30" i="77"/>
  <c r="CB30" i="77"/>
  <c r="BE30" i="77"/>
  <c r="BG30" i="77"/>
  <c r="BA30" i="77"/>
  <c r="AU30" i="77"/>
  <c r="CA30" i="77"/>
  <c r="BF30" i="77"/>
  <c r="BV30" i="77"/>
  <c r="AZ30" i="77"/>
  <c r="BP30" i="77"/>
  <c r="AY30" i="77"/>
  <c r="BY30" i="77"/>
  <c r="BB30" i="77"/>
  <c r="BM30" i="77"/>
  <c r="BO30" i="77"/>
  <c r="BI30" i="77"/>
  <c r="BC30" i="77"/>
  <c r="AT30" i="77"/>
  <c r="BJ30" i="77"/>
  <c r="BZ30" i="77"/>
  <c r="BD30" i="77"/>
  <c r="CC30" i="77" l="1"/>
  <c r="BI31" i="77"/>
  <c r="BQ31" i="77"/>
  <c r="BH31" i="77"/>
  <c r="BB31" i="77"/>
  <c r="BO31" i="77"/>
  <c r="BY31" i="77"/>
  <c r="BM31" i="77"/>
  <c r="AY31" i="77"/>
  <c r="AV31" i="77"/>
  <c r="BL31" i="77"/>
  <c r="CB31" i="77"/>
  <c r="BF31" i="77"/>
  <c r="BV31" i="77"/>
  <c r="BS31" i="77"/>
  <c r="BC31" i="77"/>
  <c r="AR31" i="77"/>
  <c r="BX31" i="77"/>
  <c r="BR31" i="77"/>
  <c r="AS31" i="77"/>
  <c r="BG31" i="77"/>
  <c r="BP31" i="77"/>
  <c r="BZ31" i="77"/>
  <c r="BM32" i="77"/>
  <c r="AW31" i="77"/>
  <c r="AZ31" i="77"/>
  <c r="AT31" i="77"/>
  <c r="BJ31" i="77"/>
  <c r="BW31" i="77"/>
  <c r="BA31" i="77"/>
  <c r="AU31" i="77"/>
  <c r="BE31" i="77"/>
  <c r="BU31" i="77"/>
  <c r="BD31" i="77"/>
  <c r="BT31" i="77"/>
  <c r="AX31" i="77"/>
  <c r="BN31" i="77"/>
  <c r="BK31" i="77"/>
  <c r="CC31" i="77" l="1"/>
  <c r="BC32" i="77"/>
  <c r="AV32" i="77"/>
  <c r="AY32" i="77"/>
  <c r="BJ32" i="77"/>
  <c r="BD32" i="77"/>
  <c r="AU32" i="77"/>
  <c r="BO32" i="77"/>
  <c r="AX32" i="77"/>
  <c r="BN32" i="77"/>
  <c r="AR32" i="77"/>
  <c r="BH32" i="77"/>
  <c r="BX32" i="77"/>
  <c r="BA32" i="77"/>
  <c r="BQ32" i="77"/>
  <c r="BS33" i="77"/>
  <c r="BB32" i="77"/>
  <c r="BL32" i="77"/>
  <c r="CB32" i="77"/>
  <c r="BE32" i="77"/>
  <c r="BU32" i="77"/>
  <c r="BG32" i="77"/>
  <c r="CA32" i="77"/>
  <c r="BS32" i="77"/>
  <c r="BF32" i="77"/>
  <c r="BV32" i="77"/>
  <c r="AZ32" i="77"/>
  <c r="BP32" i="77"/>
  <c r="AS32" i="77"/>
  <c r="BI32" i="77"/>
  <c r="BY32" i="77"/>
  <c r="BK32" i="77"/>
  <c r="BR32" i="77"/>
  <c r="BW32" i="77"/>
  <c r="AT32" i="77"/>
  <c r="BZ32" i="77"/>
  <c r="BT32" i="77"/>
  <c r="AW32" i="77"/>
  <c r="CC32" i="77" l="1"/>
  <c r="BY34" i="77"/>
  <c r="AW33" i="77"/>
  <c r="BE33" i="77"/>
  <c r="AZ33" i="77"/>
  <c r="BP33" i="77"/>
  <c r="AT33" i="77"/>
  <c r="BJ33" i="77"/>
  <c r="BZ33" i="77"/>
  <c r="BG33" i="77"/>
  <c r="BW33" i="77"/>
  <c r="BM33" i="77"/>
  <c r="BD33" i="77"/>
  <c r="AX33" i="77"/>
  <c r="AU33" i="77"/>
  <c r="BK33" i="77"/>
  <c r="CA33" i="77"/>
  <c r="AS33" i="77"/>
  <c r="AR33" i="77"/>
  <c r="BX33" i="77"/>
  <c r="BB33" i="77"/>
  <c r="BR33" i="77"/>
  <c r="AY33" i="77"/>
  <c r="BO33" i="77"/>
  <c r="BY33" i="77"/>
  <c r="BU33" i="77"/>
  <c r="BT33" i="77"/>
  <c r="BN33" i="77"/>
  <c r="BA33" i="77"/>
  <c r="BH33" i="77"/>
  <c r="BI33" i="77"/>
  <c r="BQ33" i="77"/>
  <c r="AV33" i="77"/>
  <c r="BL33" i="77"/>
  <c r="CB33" i="77"/>
  <c r="BF33" i="77"/>
  <c r="BV33" i="77"/>
  <c r="BC33" i="77"/>
  <c r="CC33" i="77" l="1"/>
  <c r="AY34" i="77"/>
  <c r="BJ34" i="77"/>
  <c r="BD34" i="77"/>
  <c r="BT34" i="77"/>
  <c r="AW34" i="77"/>
  <c r="BM34" i="77"/>
  <c r="AU34" i="77"/>
  <c r="BO34" i="77"/>
  <c r="AX34" i="77"/>
  <c r="BN34" i="77"/>
  <c r="AR34" i="77"/>
  <c r="BH34" i="77"/>
  <c r="BX34" i="77"/>
  <c r="BA34" i="77"/>
  <c r="BQ34" i="77"/>
  <c r="BW34" i="77"/>
  <c r="AT34" i="77"/>
  <c r="BZ34" i="77"/>
  <c r="BK34" i="77"/>
  <c r="BR34" i="77"/>
  <c r="BL34" i="77"/>
  <c r="BU34" i="77"/>
  <c r="BS35" i="77"/>
  <c r="BC34" i="77"/>
  <c r="BB34" i="77"/>
  <c r="AV34" i="77"/>
  <c r="CB34" i="77"/>
  <c r="BE34" i="77"/>
  <c r="BG34" i="77"/>
  <c r="CA34" i="77"/>
  <c r="BS34" i="77"/>
  <c r="BF34" i="77"/>
  <c r="BV34" i="77"/>
  <c r="AZ34" i="77"/>
  <c r="BP34" i="77"/>
  <c r="AS34" i="77"/>
  <c r="BI34" i="77"/>
  <c r="CC34" i="77" l="1"/>
  <c r="BY36" i="77"/>
  <c r="AW35" i="77"/>
  <c r="BE35" i="77"/>
  <c r="AZ35" i="77"/>
  <c r="BP35" i="77"/>
  <c r="AT35" i="77"/>
  <c r="BJ35" i="77"/>
  <c r="BZ35" i="77"/>
  <c r="BG35" i="77"/>
  <c r="BW35" i="77"/>
  <c r="BM35" i="77"/>
  <c r="BD35" i="77"/>
  <c r="AX35" i="77"/>
  <c r="AU35" i="77"/>
  <c r="BI35" i="77"/>
  <c r="BA35" i="77"/>
  <c r="AR35" i="77"/>
  <c r="BH35" i="77"/>
  <c r="BX35" i="77"/>
  <c r="BB35" i="77"/>
  <c r="BR35" i="77"/>
  <c r="AY35" i="77"/>
  <c r="BO35" i="77"/>
  <c r="AS35" i="77"/>
  <c r="BU35" i="77"/>
  <c r="BT35" i="77"/>
  <c r="BN35" i="77"/>
  <c r="BK35" i="77"/>
  <c r="CA35" i="77"/>
  <c r="BY35" i="77"/>
  <c r="BQ35" i="77"/>
  <c r="AV35" i="77"/>
  <c r="BL35" i="77"/>
  <c r="CB35" i="77"/>
  <c r="BF35" i="77"/>
  <c r="BV35" i="77"/>
  <c r="BC35" i="77"/>
  <c r="CC35" i="77" l="1"/>
  <c r="BW36" i="77"/>
  <c r="BJ36" i="77"/>
  <c r="BT36" i="77"/>
  <c r="BM36" i="77"/>
  <c r="AU36" i="77"/>
  <c r="BO36" i="77"/>
  <c r="AX36" i="77"/>
  <c r="BN36" i="77"/>
  <c r="AR36" i="77"/>
  <c r="BH36" i="77"/>
  <c r="BX36" i="77"/>
  <c r="BA36" i="77"/>
  <c r="BQ36" i="77"/>
  <c r="AY36" i="77"/>
  <c r="BZ36" i="77"/>
  <c r="BK36" i="77"/>
  <c r="BB36" i="77"/>
  <c r="BL36" i="77"/>
  <c r="BE36" i="77"/>
  <c r="BU36" i="77"/>
  <c r="AT36" i="77"/>
  <c r="BD36" i="77"/>
  <c r="AW36" i="77"/>
  <c r="BC36" i="77"/>
  <c r="BR36" i="77"/>
  <c r="AV36" i="77"/>
  <c r="CB36" i="77"/>
  <c r="BG36" i="77"/>
  <c r="CA36" i="77"/>
  <c r="BS36" i="77"/>
  <c r="BF36" i="77"/>
  <c r="BV36" i="77"/>
  <c r="AZ36" i="77"/>
  <c r="BP36" i="77"/>
  <c r="AS36" i="77"/>
  <c r="BI36" i="77"/>
  <c r="CC36" i="77" l="1"/>
</calcChain>
</file>

<file path=xl/comments1.xml><?xml version="1.0" encoding="utf-8"?>
<comments xmlns="http://schemas.openxmlformats.org/spreadsheetml/2006/main">
  <authors>
    <author>BARRACLOUGH David</author>
  </authors>
  <commentList>
    <comment ref="C1" authorId="0" shapeId="0">
      <text>
        <r>
          <rPr>
            <b/>
            <sz val="9"/>
            <color indexed="81"/>
            <rFont val="Tahoma"/>
            <family val="2"/>
          </rPr>
          <t>BARRACLOUGH David:</t>
        </r>
        <r>
          <rPr>
            <sz val="9"/>
            <color indexed="81"/>
            <rFont val="Tahoma"/>
            <family val="2"/>
          </rPr>
          <t xml:space="preserve">
When regional codes are required, the codelist should be CL_REGIONAL</t>
        </r>
      </text>
    </comment>
  </commentList>
</comments>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<sst xmlns="http://schemas.openxmlformats.org/spreadsheetml/2006/main" count="1376" uniqueCount="1013">
  <si>
    <t>H</t>
  </si>
  <si>
    <t>M</t>
  </si>
  <si>
    <t>S</t>
  </si>
  <si>
    <t>D</t>
  </si>
  <si>
    <t>Frequency</t>
  </si>
  <si>
    <t>Code</t>
  </si>
  <si>
    <t>Q</t>
  </si>
  <si>
    <t>B</t>
  </si>
  <si>
    <t>C</t>
  </si>
  <si>
    <t>A</t>
  </si>
  <si>
    <t>N</t>
  </si>
  <si>
    <t>F</t>
  </si>
  <si>
    <t>W</t>
  </si>
  <si>
    <t>SDMX</t>
  </si>
  <si>
    <t>REF_AREA</t>
  </si>
  <si>
    <t xml:space="preserve">Reference area </t>
  </si>
  <si>
    <t>FREQ</t>
  </si>
  <si>
    <t>CL_FREQ</t>
  </si>
  <si>
    <t>UNIT_MEASURE</t>
  </si>
  <si>
    <t>D (Frequency)</t>
  </si>
  <si>
    <t>D (Time)</t>
  </si>
  <si>
    <t>Annual</t>
  </si>
  <si>
    <t>Quarterly</t>
  </si>
  <si>
    <t>Hourly</t>
  </si>
  <si>
    <t>A (series, optional)</t>
  </si>
  <si>
    <t>CONF_STATUS</t>
  </si>
  <si>
    <t>DECIMALS</t>
  </si>
  <si>
    <t>OBS_STATUS</t>
  </si>
  <si>
    <t>UNIT_MULT</t>
  </si>
  <si>
    <t>CL_CONF_STATUS</t>
  </si>
  <si>
    <t>CL_OBS_STATUS</t>
  </si>
  <si>
    <t>CL_UNIT_MULT</t>
  </si>
  <si>
    <t>Confidentiality status</t>
  </si>
  <si>
    <t>Decimals</t>
  </si>
  <si>
    <t>Observation status</t>
  </si>
  <si>
    <t>Unit multiplier</t>
  </si>
  <si>
    <t>OBS_VALUE</t>
  </si>
  <si>
    <t>Observation value</t>
  </si>
  <si>
    <t>A (series, mandatory)</t>
  </si>
  <si>
    <t>TIME_PERIOD</t>
  </si>
  <si>
    <t>ObservationalTimePeriod</t>
  </si>
  <si>
    <t>Agency</t>
  </si>
  <si>
    <t>Version</t>
  </si>
  <si>
    <t>Annotation</t>
  </si>
  <si>
    <t>Type</t>
  </si>
  <si>
    <t>String</t>
  </si>
  <si>
    <t>Integer</t>
  </si>
  <si>
    <t>Dimension (D)
Attribute (A)
Measure (M)</t>
  </si>
  <si>
    <t>Time period</t>
  </si>
  <si>
    <t>Code List and 
Registry Link</t>
  </si>
  <si>
    <t>Uncoded</t>
  </si>
  <si>
    <t>Confidential statistical information</t>
  </si>
  <si>
    <t>Secondary confidentiality set by the sender, not for publication</t>
  </si>
  <si>
    <t>Not for publication, restricted for internal use only</t>
  </si>
  <si>
    <t>Secondary confidentiality set and managed by the receiver, not for publication</t>
  </si>
  <si>
    <t>CCYYMMDDhhmm</t>
  </si>
  <si>
    <t>CCYYMMDD</t>
  </si>
  <si>
    <t>P1D</t>
  </si>
  <si>
    <t>Used only in SDMX-ML messages</t>
  </si>
  <si>
    <t>P1M</t>
  </si>
  <si>
    <t>Monthly</t>
  </si>
  <si>
    <t>P1Y</t>
  </si>
  <si>
    <t>P3M</t>
  </si>
  <si>
    <t>P6M</t>
  </si>
  <si>
    <t>Half-yearly, semester</t>
  </si>
  <si>
    <t>P7D</t>
  </si>
  <si>
    <t>Weekly</t>
  </si>
  <si>
    <t>PT1M</t>
  </si>
  <si>
    <t>Minutely</t>
  </si>
  <si>
    <t>CCYYWWCCYYWW</t>
  </si>
  <si>
    <t>CCYYMMCCYYMM</t>
  </si>
  <si>
    <t>(Used in SDMX-EDI for series with freq. higher than daily) year/month/day/hours/minutes</t>
  </si>
  <si>
    <t>(Used in SDMX-EDI for daily and business series) year/month/day</t>
  </si>
  <si>
    <t>(Used in SDMX-EDI for weekly series) year/week</t>
  </si>
  <si>
    <t>(Used in SDMX-EDI for monthly series) year/month</t>
  </si>
  <si>
    <t>(Used in SDMX-EDI for quarterly series) year/quarter</t>
  </si>
  <si>
    <t>(Used in SDMX-EDI for half yearly series) year/semester</t>
  </si>
  <si>
    <t>(Used in SDMX-EDI for annual series) year</t>
  </si>
  <si>
    <t>(Used in SDMX-EDI for series with freq. higher than daily) year/month/day/hours/minutes to year/month/day/hours/minutes</t>
  </si>
  <si>
    <t>(Used in SDMX-EDI for daily and business series) from year/month/day to year/month/day</t>
  </si>
  <si>
    <t>(Used in SDMX-EDI for weekly series) from year/week to year/week</t>
  </si>
  <si>
    <t>(Used in SDMX-EDI for monthly series) from year/month to year/month</t>
  </si>
  <si>
    <t>CCYYQCCYYQ</t>
  </si>
  <si>
    <t>CCYYSCCYYS</t>
  </si>
  <si>
    <t>CCYYCCYY</t>
  </si>
  <si>
    <t>(Used in SDMX-EDI for quarterly series) from year/quarter to year/quarter</t>
  </si>
  <si>
    <t>(Used in SDMX-EDI for half yearly series) from half-year to half-year</t>
  </si>
  <si>
    <t>(Used in SDMX-EDI for annual series) from year to year</t>
  </si>
  <si>
    <t>Free (free for publication)</t>
  </si>
  <si>
    <t>Used for observations without any special sensitivity considerations and which can thus be freely shared. Usually, source organisations provide information and guidance on general requirements for re-dissemination  (like mentioning the source) either on their websites or in their paper publications. In some institutional environments the term "unclassified" is used in a sense that still denotes implied restrictions in the circulation of information. If this is the case, the organisations concerned may probably consider that "free" (value F) is not the appropriate tag for this kind of "unclassified" category and that "Not for publication, restricted for internal use only" (value N) may be more appropriate.</t>
  </si>
  <si>
    <t xml:space="preserve">Used to denote observations that are restricted for internal use only within organisations. </t>
  </si>
  <si>
    <t>Confidential statistical information (primary confidentiality) due to identifiable respondents. Measures also should be taken to prevent not only direct access, but also indirect deduction or calculation by other users and parties, probably by considering and treating additional observations as "confidential" (secondary confidentiality management).</t>
  </si>
  <si>
    <t xml:space="preserve">Used by the sender of the data to flag (beyond the confidential statistical information) additional observations in the dataset so that the receiver knows that he/she should suppress these observations in subsequent stages of processing (especially dissemination) in order to prevent third parties to indirectly deduct the observations that are genuinely flagged with "C". </t>
  </si>
  <si>
    <t>If senders do not manage the secondary confidentiality in their data and/or there are also other countries' data involved (with the intention to eventually compile a regional-wide aggregate that is going to be published), the value "S" is used by the receiver to flag additional suppressed observations (within sender’s data and/or within the datasets of other senders) in subsequent stages of processing (especially, dissemination) in order to prevent third parties to indirectly deduct the observations that were genuinely flagged with "C" by the sender.</t>
  </si>
  <si>
    <t>Primary confidentiality due to small counts</t>
  </si>
  <si>
    <t xml:space="preserve">A cell is flagged as confidential if less than m units ("too few units") contribute to the total of that cell. The limits of what constitutes "small counts" can vary across statistical domains, countries, etc. </t>
  </si>
  <si>
    <t>O</t>
  </si>
  <si>
    <t>Primary confidentiality due to dominance by one unit</t>
  </si>
  <si>
    <t xml:space="preserve">Used when one unit accounts for more than x % of the total of a cell. The value of x can vary across statistical domains or countries, be influenced by legislation, etc. </t>
  </si>
  <si>
    <t>T</t>
  </si>
  <si>
    <t>Primary confidentiality due to dominance by two units</t>
  </si>
  <si>
    <t>Used when two units account for more than x % of the total of a cell. The value of x can vary across statistical domains or countries, be influenced by legislation, etc.</t>
  </si>
  <si>
    <t>G</t>
  </si>
  <si>
    <t>Primary confidentiality due to dominance by one or two units</t>
  </si>
  <si>
    <t>Used when one or two units account(s) for more than x % of the total of a cell. The value of x can vary across statistical domains or countries, be influenced by legislation, etc.</t>
  </si>
  <si>
    <t>Primary confidentiality due to data declared confidential based on other measures of concentration</t>
  </si>
  <si>
    <t xml:space="preserve">Cells declared confidential using mathematical definitions of sensitive cells, e.g. p-percent, p/q or (n,k) rules. </t>
  </si>
  <si>
    <t>Alphanumeric</t>
  </si>
  <si>
    <t>Concept ID</t>
  </si>
  <si>
    <t>2.0</t>
  </si>
  <si>
    <t>Daily</t>
  </si>
  <si>
    <t>Daily – business week</t>
  </si>
  <si>
    <t>To be used for data collected or disseminated every year.</t>
  </si>
  <si>
    <t>To be used for data collected or disseminated every semester.</t>
  </si>
  <si>
    <t>To be used for data collected or disseminated every quarter.</t>
  </si>
  <si>
    <t>To be used for data collected or disseminated every month.</t>
  </si>
  <si>
    <t>To be used for data collected or disseminated every week.</t>
  </si>
  <si>
    <t>To be used for data collected or disseminated  every day.</t>
  </si>
  <si>
    <t>To be used for data collected or disseminated  every hour.</t>
  </si>
  <si>
    <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t>
  </si>
  <si>
    <t>Step-by-step guide</t>
  </si>
  <si>
    <t>Populate each CL_[code list] worksheet with the code items</t>
  </si>
  <si>
    <t xml:space="preserve">Commonly used concepts are already included, remove those that are not relevant.  </t>
  </si>
  <si>
    <t xml:space="preserve">Complete the Concept Scheme overview table with all concepts. </t>
  </si>
  <si>
    <t>Use the SDMX Glossary for concept IDs and definitions</t>
  </si>
  <si>
    <t>Use the legend symbols to indicate if all codes can be used (#), a subset (%), only one code (&lt;the code&gt;), or if the concept doesn't apply to the DSD (&lt;blank&gt;)</t>
  </si>
  <si>
    <t>Use the Cross Domain Code Lists, Global Registry and other registries to reuse existing code lists</t>
  </si>
  <si>
    <t>Check that the predefined code list worksheets (e.g. CL_CONF_STATUS) are up-to-date and correct</t>
  </si>
  <si>
    <t>Pay attention to the coding guidelines</t>
  </si>
  <si>
    <t>1.0</t>
  </si>
  <si>
    <t>Zero</t>
  </si>
  <si>
    <t>One</t>
  </si>
  <si>
    <t>Two</t>
  </si>
  <si>
    <t>Three</t>
  </si>
  <si>
    <t>Four</t>
  </si>
  <si>
    <t>Five</t>
  </si>
  <si>
    <t>Six</t>
  </si>
  <si>
    <t>Seven</t>
  </si>
  <si>
    <t>Eight</t>
  </si>
  <si>
    <t>Nine</t>
  </si>
  <si>
    <t>Ten</t>
  </si>
  <si>
    <t>Eleven</t>
  </si>
  <si>
    <t>Twelve</t>
  </si>
  <si>
    <t>Thirteen</t>
  </si>
  <si>
    <t>Fourteen</t>
  </si>
  <si>
    <t>Fifteen</t>
  </si>
  <si>
    <t>Units</t>
  </si>
  <si>
    <t>Tens</t>
  </si>
  <si>
    <t>Hundreds</t>
  </si>
  <si>
    <t>Thousands</t>
  </si>
  <si>
    <t>Tens of thousands</t>
  </si>
  <si>
    <t>Hundreds of thousands</t>
  </si>
  <si>
    <t>Millions</t>
  </si>
  <si>
    <t>Billions</t>
  </si>
  <si>
    <t>203</t>
  </si>
  <si>
    <t>102</t>
  </si>
  <si>
    <t>616</t>
  </si>
  <si>
    <t>CCYYWW</t>
  </si>
  <si>
    <t>610</t>
  </si>
  <si>
    <t>CCYYMM</t>
  </si>
  <si>
    <t>608</t>
  </si>
  <si>
    <t>CCYYQ</t>
  </si>
  <si>
    <t>604</t>
  </si>
  <si>
    <t>CCYYS</t>
  </si>
  <si>
    <t>602</t>
  </si>
  <si>
    <t>CCYY</t>
  </si>
  <si>
    <t>719</t>
  </si>
  <si>
    <t>CCYYMMDDhhmmCCYYMMDDhhmm</t>
  </si>
  <si>
    <t>711</t>
  </si>
  <si>
    <t>CCYYMMDDCCYYMMDD</t>
  </si>
  <si>
    <t>716</t>
  </si>
  <si>
    <t>710</t>
  </si>
  <si>
    <t>708</t>
  </si>
  <si>
    <t>704</t>
  </si>
  <si>
    <t>702</t>
  </si>
  <si>
    <t>Daily (or Business)</t>
  </si>
  <si>
    <t>Complete the version, maintenance agency, and other details</t>
  </si>
  <si>
    <t>Cross Domain Code lists may need to be extended.  In this case they must change their maintenance agency from SDMX</t>
  </si>
  <si>
    <t>CL_AREA is based on the full ISO 3166-1 alpha 2 classification.  Populate the CL_AREA worksheet with the required codes from that classification</t>
  </si>
  <si>
    <t>Include integrity rules in the relevant column that can aid understanding of the codes</t>
  </si>
  <si>
    <t>Original Indicators</t>
  </si>
  <si>
    <t>Concepts
|
V</t>
  </si>
  <si>
    <t>Decompose existing Indicators into separate Concepts</t>
  </si>
  <si>
    <t>If starting from an existing set of indicators, use the Indicator-Concept Matrix worksheet to list the indicators in column A, starting from row 3</t>
  </si>
  <si>
    <t>Add new concepts in row 1, starting from column D if they do not exist</t>
  </si>
  <si>
    <t>Mark how the concept(s) are used for the indicator using the legend</t>
  </si>
  <si>
    <t>Examine each indicator and decompose it into its atomic Concepts by doing the following steps:</t>
  </si>
  <si>
    <t>Include any extra breakdowns that are required for the indicators</t>
  </si>
  <si>
    <t>Include the Concepts that were find in step 1</t>
  </si>
  <si>
    <t>Exchange agencies
S:Sender, R:Receiver</t>
  </si>
  <si>
    <t>CONCEPTS</t>
  </si>
  <si>
    <t>Data flow</t>
  </si>
  <si>
    <t>DIMENSIONS</t>
  </si>
  <si>
    <t>MEASURE</t>
  </si>
  <si>
    <t>Measure</t>
  </si>
  <si>
    <t>Unit of measure</t>
  </si>
  <si>
    <t>DSDs</t>
  </si>
  <si>
    <t>Is concept used for Dataflow (1:yes)</t>
  </si>
  <si>
    <t>How many dims per DSD</t>
  </si>
  <si>
    <t>Count concepts used for flow</t>
  </si>
  <si>
    <t>#</t>
  </si>
  <si>
    <t>Add the ownership organisations starting in row A6</t>
  </si>
  <si>
    <t>Add the Dataflows in the corresponding column. Perhaps these can be derived from reporting tables or questionnaires.</t>
  </si>
  <si>
    <t>In the matrix table, for each dataflow choose which concepts are used and how with the symbols in the Legend (e.g. # for any item is possible)</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</si>
  <si>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</si>
  <si>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</si>
  <si>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Id</t>
  </si>
  <si>
    <t>Codelist</t>
  </si>
  <si>
    <t>Generate Concept Scheme</t>
  </si>
  <si>
    <t>Generate DSDs</t>
  </si>
  <si>
    <t>Header fields. Attribute separator is "|". Key/Value separator is ":" Blank values are defaulted</t>
  </si>
  <si>
    <t>ID:|Test:|Prepared:|Sender:OECD|Receiver:OECD</t>
  </si>
  <si>
    <t>Generate Codelists</t>
  </si>
  <si>
    <t>Action</t>
  </si>
  <si>
    <t>A (obs, optional)</t>
  </si>
  <si>
    <t>Data element that represents a simple aggregation and which takes one or more vectors as arguments and returns a scalar.</t>
  </si>
  <si>
    <t>Unit in which the data values are expressed.</t>
  </si>
  <si>
    <t>Country or geographic area to which the measured statistical phenomenon relates.</t>
  </si>
  <si>
    <t>CL_AREA</t>
  </si>
  <si>
    <t>CL_MEASURE</t>
  </si>
  <si>
    <t>CL_UNIT_MEASURE</t>
  </si>
  <si>
    <t>OECD</t>
  </si>
  <si>
    <t>COUNTERPART_AREA</t>
  </si>
  <si>
    <t>Public</t>
  </si>
  <si>
    <t>R</t>
  </si>
  <si>
    <t>DSDMain</t>
  </si>
  <si>
    <t>DSDOuter</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</si>
  <si>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</si>
  <si>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</si>
  <si>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</si>
  <si>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</si>
  <si>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</si>
  <si>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</si>
  <si>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</si>
  <si>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</si>
  <si>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ID</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</si>
  <si>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maintainableParentVersion=""/&gt;&lt;/str:ConceptIdentity&gt;&lt;str:LocalRepresentation&gt;&lt;/str:LocalRepresentation&gt;&lt;/str:Attribute&gt;</t>
  </si>
  <si>
    <t>Output folder</t>
  </si>
  <si>
    <t>Add the DSDs and their details to the DSDs worksheet</t>
  </si>
  <si>
    <t>Generate  the SDMX-ML using the Generate SDMX-ML worksheet</t>
  </si>
  <si>
    <t>DataflowOuter</t>
  </si>
  <si>
    <t>DataflowMain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</si>
  <si>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</si>
  <si>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Create separate files</t>
  </si>
  <si>
    <t>Complete the DSD-Concept Matrix worksheet</t>
  </si>
  <si>
    <t>Add the Dataflows and their details to the Dataflows worksheet</t>
  </si>
  <si>
    <t>Generate Constraints</t>
  </si>
  <si>
    <t>Source</t>
  </si>
  <si>
    <t>ConstraintMain</t>
  </si>
  <si>
    <t>StructureOuter</t>
  </si>
  <si>
    <t>ConceptScheme</t>
  </si>
  <si>
    <t>Fill the Constraints worksheet</t>
  </si>
  <si>
    <t>Prerequisites</t>
  </si>
  <si>
    <t xml:space="preserve">Fill the Dataflows and DSD-Concept Matrix worksheets to create the Dataflow/DSD relationships </t>
  </si>
  <si>
    <t>Fill the DSDs worksheet</t>
  </si>
  <si>
    <t>Fill the Concept Scheme worksheet</t>
  </si>
  <si>
    <t>Parameters</t>
  </si>
  <si>
    <t>IsFinal</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</si>
  <si>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</si>
  <si>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Generate SDMX-ML</t>
  </si>
  <si>
    <t>Generate? 0=no, 1=yes</t>
  </si>
  <si>
    <t>Fill the CL_ worksheets for all required codelists, following the CL_template</t>
  </si>
  <si>
    <t>AD</t>
  </si>
  <si>
    <t>Andorra</t>
  </si>
  <si>
    <t>AE</t>
  </si>
  <si>
    <t>United Arab Emirates</t>
  </si>
  <si>
    <t>AF</t>
  </si>
  <si>
    <t>Afghanistan</t>
  </si>
  <si>
    <t>LC</t>
  </si>
  <si>
    <t>PS</t>
  </si>
  <si>
    <t>PF</t>
  </si>
  <si>
    <t>Category</t>
  </si>
  <si>
    <t>CategorisationMain</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</si>
  <si>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</si>
  <si>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</si>
  <si>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</si>
  <si>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</si>
  <si>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US</t>
  </si>
  <si>
    <t>Cat.Scheme ID</t>
  </si>
  <si>
    <t>Cat.Sch Agency</t>
  </si>
  <si>
    <t>Cat.Sch Version</t>
  </si>
  <si>
    <t>Test</t>
  </si>
  <si>
    <t>Concepts</t>
  </si>
  <si>
    <t>CONSTRAINTS</t>
  </si>
  <si>
    <t>Dataflows</t>
  </si>
  <si>
    <t>ParentCode</t>
  </si>
  <si>
    <t>Normal value</t>
  </si>
  <si>
    <t>To be used as default value if no value is provided or when no special coded qualification is assumed. Usually, it can be assumed that the source agency assigns sufficient confidence to the provided observation and/or the value is not expected to be dramatically revised.</t>
  </si>
  <si>
    <t>Time series break</t>
  </si>
  <si>
    <t>Observations are characterised as such when different content exists or a different methodology has been applied to this observation as compared with the preceding one (the one given for the previous period).</t>
  </si>
  <si>
    <t>Definition differs</t>
  </si>
  <si>
    <t xml:space="preserve">Used to indicate slight deviations from the established methodology (footnote-type information); these divergences do not imply a break in time series. </t>
  </si>
  <si>
    <t>E</t>
  </si>
  <si>
    <t>Estimated value</t>
  </si>
  <si>
    <t>Observation obtained through an estimation methodology (e.g. to produce back-casts) or based on the use of a limited amount of data or ad hoc sampling and through additional calculations (e.g. to produce a value at an early stage of the production stage while not all data are available). It may also be used in case of experimental data (e.g. in the context of a pilot ahead of a full scale production process) or in case of data of (anticipated/assessed) low quality. If needed, additional information can be provided through free text using the COMMENT_OBS attribute at the observation level or at a higher level.</t>
  </si>
  <si>
    <t>Forecast value</t>
  </si>
  <si>
    <t>Value deemed to assess the magnitude which a quantity will assume at some future point of time (as distinct from "estimated value" which attempts to assess the magnitude of an already existent quantity).</t>
  </si>
  <si>
    <t>Experimental value</t>
  </si>
  <si>
    <t>Data collected on the basis of definitions or (alternative) collection methods under development. Data not of guaranteed quality as normally expected from provider.</t>
  </si>
  <si>
    <t>I</t>
  </si>
  <si>
    <t>Imputed value (CCSA definition)</t>
  </si>
  <si>
    <t>Observation imputed by international organisations to replace or fill gaps in national data series, in line with the recommendations of the United Nations Committee for the Coordination of Statistical Activities (CCSA).</t>
  </si>
  <si>
    <t>K</t>
  </si>
  <si>
    <t>Data included in another category</t>
  </si>
  <si>
    <t>Includes data from another category</t>
  </si>
  <si>
    <t>This code is used when data include another category, or go beyond the scope of the data collection and are therefore over-covered. Generally, where code "W" is used there should be a corresponding code "K - Data included in another category" assigned to the category which is under-covered. Implementers and data reporters should use the COMMENT_OBS observation-level attribute to specify which additional data are included.</t>
  </si>
  <si>
    <t>Missing value</t>
  </si>
  <si>
    <t>This code is to be used when no breakdown is made between the reasons why data are missing. Data can be missing due to many reasons: data cannot exist, data exist but are not collected (e.g. because they are below a certain threshold or subject to a derogation clause), data are unreliable, etc.</t>
  </si>
  <si>
    <t>Missing value; data cannot exist</t>
  </si>
  <si>
    <t>Used to denote empty cells resulting from the impossibility to collect a statistical value (e.g. a particular education level or type of institution may be not applicable to a given country's education system).</t>
  </si>
  <si>
    <t>P</t>
  </si>
  <si>
    <t>Provisional value</t>
  </si>
  <si>
    <t>An observation is characterised as "provisional" when the source agency – while it bases its calculations on its standard production methodology – considers that the data, almost certainly, are expected to be revised.</t>
  </si>
  <si>
    <t>Strike and other special events</t>
  </si>
  <si>
    <t>Special circumstances (e.g. strike) affecting the observation or causing a missing value.</t>
  </si>
  <si>
    <t>L</t>
  </si>
  <si>
    <t>Missing value; data exist but were not collected</t>
  </si>
  <si>
    <t>Used, for example, when some data are not reported/disseminated because they are below a certain threshold.</t>
  </si>
  <si>
    <t>Missing value; holiday or weekend</t>
  </si>
  <si>
    <t>Used in some daily data flows.</t>
  </si>
  <si>
    <t>Missing value; suppressed</t>
  </si>
  <si>
    <t>Used, for example, when data are suppressed due to statistical confidentiality considerations.</t>
  </si>
  <si>
    <t>J</t>
  </si>
  <si>
    <t>Derogation</t>
  </si>
  <si>
    <t>Clause in an agreement (e.g. legal act, gentlemen’s agreement) stating that some provisions in the agreement are not to be implemented by designated parties; these derogations may affect the observation or cause a missing value. In general, derogations are limited in time.</t>
  </si>
  <si>
    <t>Not significant</t>
  </si>
  <si>
    <t>Used to indicate a value which is not a "real" zero (e.g. a result of 0.0004 rounded to zero).</t>
  </si>
  <si>
    <t>U</t>
  </si>
  <si>
    <t>Low reliability</t>
  </si>
  <si>
    <t>This indicates existing observations, but for which the user should also be aware of the low quality assigned.</t>
  </si>
  <si>
    <t>V</t>
  </si>
  <si>
    <t>Unvalidated value</t>
  </si>
  <si>
    <t>Observation as received from the respondent without further evaluation of data quality.</t>
  </si>
  <si>
    <t>Attachment</t>
  </si>
  <si>
    <t>ConstraintID</t>
  </si>
  <si>
    <t>Concept Role</t>
  </si>
  <si>
    <t>For each Code List identified in the Concept Scheme overview, copy the worksheet "New CL template" and rename it to CL_[your code list ID]</t>
  </si>
  <si>
    <t>DimAttrMeas</t>
  </si>
  <si>
    <t>A (obs, mandatory)</t>
  </si>
  <si>
    <t>A (dataset, optional)</t>
  </si>
  <si>
    <t>A (dataset, mandatory)</t>
  </si>
  <si>
    <t>Types</t>
  </si>
  <si>
    <t>Boolean</t>
  </si>
  <si>
    <t>SenderReceiver</t>
  </si>
  <si>
    <t>S/R</t>
  </si>
  <si>
    <t>VARIABLE</t>
  </si>
  <si>
    <t>FLAG</t>
  </si>
  <si>
    <t>OPERATION</t>
  </si>
  <si>
    <t>GEO</t>
  </si>
  <si>
    <t>Concept Scheme</t>
  </si>
  <si>
    <t>Matrix</t>
  </si>
  <si>
    <t>Constraints Summary</t>
  </si>
  <si>
    <t>Generate</t>
  </si>
  <si>
    <t>Quick links:</t>
  </si>
  <si>
    <t>ConceptRoles</t>
  </si>
  <si>
    <t>ENTITY</t>
  </si>
  <si>
    <t>COMMENT</t>
  </si>
  <si>
    <t>Generate Categorisations</t>
  </si>
  <si>
    <t>Generate Dataflows</t>
  </si>
  <si>
    <t>C:\Program Files\Oxygen XML Editor 16\oxygen16.1.exe</t>
  </si>
  <si>
    <t>TIME</t>
  </si>
  <si>
    <t>MEAS</t>
  </si>
  <si>
    <t>Thousandths</t>
  </si>
  <si>
    <t>1.1</t>
  </si>
  <si>
    <t>In scientific notation, expressed as ten raised to the power of two (10²)</t>
  </si>
  <si>
    <t>In scientific notation, expressed as ten raised to the power of three (10³)</t>
  </si>
  <si>
    <t>Tens of millions</t>
  </si>
  <si>
    <t>Hundreds of millions</t>
  </si>
  <si>
    <t>Tens of billions</t>
  </si>
  <si>
    <t>Hundreds of billions</t>
  </si>
  <si>
    <t>Trillions</t>
  </si>
  <si>
    <t>Tens of trillions</t>
  </si>
  <si>
    <t>Hundreds of trillions</t>
  </si>
  <si>
    <t>Quadrillions</t>
  </si>
  <si>
    <t>Tenths</t>
  </si>
  <si>
    <t>Hundredths</t>
  </si>
  <si>
    <t>Ten-thousandths</t>
  </si>
  <si>
    <t>Hundred-thousandths</t>
  </si>
  <si>
    <t>Millionths</t>
  </si>
  <si>
    <t>Ten-millionths</t>
  </si>
  <si>
    <t>Hundred-millionths</t>
  </si>
  <si>
    <t>Billionths</t>
  </si>
  <si>
    <t>Ten-billionths</t>
  </si>
  <si>
    <t>Hundred-billionths</t>
  </si>
  <si>
    <t>Trillionths</t>
  </si>
  <si>
    <t>Ten-trillionths</t>
  </si>
  <si>
    <t>Hundred-trillionths</t>
  </si>
  <si>
    <t>Quadrillionths</t>
  </si>
  <si>
    <t>DSD Matrix</t>
  </si>
  <si>
    <t>Indicator Matrix</t>
  </si>
  <si>
    <t>MATRIX LEGEND</t>
  </si>
  <si>
    <t>#
%
&lt;code&gt;
&lt;blank&gt;</t>
  </si>
  <si>
    <t>No constraint
Subset of codes
Only this code
Concept not used</t>
  </si>
  <si>
    <t>Actions</t>
  </si>
  <si>
    <t>Update Concept Scheme Concepts from Indicator matrix</t>
  </si>
  <si>
    <t>Update DSD Matrix Concepts and CLs from Concept Scheme</t>
  </si>
  <si>
    <t>Check and change the Parameters section on the "Generate SDMX-ML" worksheet, especially the folder paths</t>
  </si>
  <si>
    <r>
      <t>In scientific notation, expressed as ten raised to the power of zero (10</t>
    </r>
    <r>
      <rPr>
        <vertAlign val="superscript"/>
        <sz val="11"/>
        <rFont val="Calibri"/>
        <family val="2"/>
        <scheme val="minor"/>
      </rPr>
      <t>0</t>
    </r>
    <r>
      <rPr>
        <sz val="11"/>
        <rFont val="Calibri"/>
        <family val="2"/>
        <scheme val="minor"/>
      </rPr>
      <t>)</t>
    </r>
  </si>
  <si>
    <r>
      <t>In scientific notation, expressed as ten raised to the power of one (10</t>
    </r>
    <r>
      <rPr>
        <vertAlign val="superscript"/>
        <sz val="11"/>
        <rFont val="Calibri"/>
        <family val="2"/>
        <scheme val="minor"/>
      </rPr>
      <t>1</t>
    </r>
    <r>
      <rPr>
        <sz val="11"/>
        <rFont val="Calibri"/>
        <family val="2"/>
        <scheme val="minor"/>
      </rPr>
      <t>)</t>
    </r>
  </si>
  <si>
    <r>
      <t>In scientific notation, expressed as ten raised to the power of four (10</t>
    </r>
    <r>
      <rPr>
        <vertAlign val="superscript"/>
        <sz val="11"/>
        <rFont val="Calibri"/>
        <family val="2"/>
        <scheme val="minor"/>
      </rPr>
      <t>4</t>
    </r>
    <r>
      <rPr>
        <sz val="11"/>
        <rFont val="Calibri"/>
        <family val="2"/>
        <scheme val="minor"/>
      </rPr>
      <t>)</t>
    </r>
  </si>
  <si>
    <r>
      <t>In scientific notation, expressed as ten raised to the power of five(10</t>
    </r>
    <r>
      <rPr>
        <vertAlign val="superscript"/>
        <sz val="11"/>
        <rFont val="Calibri"/>
        <family val="2"/>
        <scheme val="minor"/>
      </rPr>
      <t>5</t>
    </r>
    <r>
      <rPr>
        <sz val="11"/>
        <rFont val="Calibri"/>
        <family val="2"/>
        <scheme val="minor"/>
      </rPr>
      <t>)</t>
    </r>
  </si>
  <si>
    <r>
      <t>In scientific notation, expressed as ten raised to the power of six (10</t>
    </r>
    <r>
      <rPr>
        <vertAlign val="superscript"/>
        <sz val="11"/>
        <rFont val="Calibri"/>
        <family val="2"/>
        <scheme val="minor"/>
      </rPr>
      <t>6</t>
    </r>
    <r>
      <rPr>
        <sz val="11"/>
        <rFont val="Calibri"/>
        <family val="2"/>
        <scheme val="minor"/>
      </rPr>
      <t>)</t>
    </r>
  </si>
  <si>
    <r>
      <t>In scientific notation, expressed as ten raised to the power of seven (10</t>
    </r>
    <r>
      <rPr>
        <vertAlign val="superscript"/>
        <sz val="11"/>
        <rFont val="Calibri"/>
        <family val="2"/>
        <scheme val="minor"/>
      </rPr>
      <t>7</t>
    </r>
    <r>
      <rPr>
        <sz val="11"/>
        <rFont val="Calibri"/>
        <family val="2"/>
        <scheme val="minor"/>
      </rPr>
      <t>)</t>
    </r>
  </si>
  <si>
    <r>
      <t>In scientific notation, expressed as ten raised to the power of eight (10</t>
    </r>
    <r>
      <rPr>
        <vertAlign val="superscript"/>
        <sz val="11"/>
        <rFont val="Calibri"/>
        <family val="2"/>
        <scheme val="minor"/>
      </rPr>
      <t>8</t>
    </r>
    <r>
      <rPr>
        <sz val="11"/>
        <rFont val="Calibri"/>
        <family val="2"/>
        <scheme val="minor"/>
      </rPr>
      <t>)</t>
    </r>
  </si>
  <si>
    <r>
      <t>In scientific notation, expressed as ten raised to the power of nine (10</t>
    </r>
    <r>
      <rPr>
        <vertAlign val="superscript"/>
        <sz val="11"/>
        <rFont val="Calibri"/>
        <family val="2"/>
        <scheme val="minor"/>
      </rPr>
      <t>9</t>
    </r>
    <r>
      <rPr>
        <sz val="11"/>
        <rFont val="Calibri"/>
        <family val="2"/>
        <scheme val="minor"/>
      </rPr>
      <t>)</t>
    </r>
  </si>
  <si>
    <r>
      <t>In scientific notation, expressed as ten raised to the power of ten (10</t>
    </r>
    <r>
      <rPr>
        <vertAlign val="superscript"/>
        <sz val="11"/>
        <rFont val="Calibri"/>
        <family val="2"/>
        <scheme val="minor"/>
      </rPr>
      <t>10</t>
    </r>
    <r>
      <rPr>
        <sz val="11"/>
        <rFont val="Calibri"/>
        <family val="2"/>
        <scheme val="minor"/>
      </rPr>
      <t>)</t>
    </r>
  </si>
  <si>
    <r>
      <t>In scientific notation, expressed as ten raised to the power of eleven (10</t>
    </r>
    <r>
      <rPr>
        <vertAlign val="superscript"/>
        <sz val="11"/>
        <rFont val="Calibri"/>
        <family val="2"/>
        <scheme val="minor"/>
      </rPr>
      <t>11</t>
    </r>
    <r>
      <rPr>
        <sz val="11"/>
        <rFont val="Calibri"/>
        <family val="2"/>
        <scheme val="minor"/>
      </rPr>
      <t>)</t>
    </r>
  </si>
  <si>
    <r>
      <t>In scientific notation, expressed as ten raised to the power of twelve (10</t>
    </r>
    <r>
      <rPr>
        <vertAlign val="superscript"/>
        <sz val="11"/>
        <rFont val="Calibri"/>
        <family val="2"/>
        <scheme val="minor"/>
      </rPr>
      <t>12</t>
    </r>
    <r>
      <rPr>
        <sz val="11"/>
        <rFont val="Calibri"/>
        <family val="2"/>
        <scheme val="minor"/>
      </rPr>
      <t>)</t>
    </r>
  </si>
  <si>
    <r>
      <t>In scientific notation, expressed as ten raised to the power of thirteen (10</t>
    </r>
    <r>
      <rPr>
        <vertAlign val="superscript"/>
        <sz val="11"/>
        <rFont val="Calibri"/>
        <family val="2"/>
        <scheme val="minor"/>
      </rPr>
      <t>13</t>
    </r>
    <r>
      <rPr>
        <sz val="11"/>
        <rFont val="Calibri"/>
        <family val="2"/>
        <scheme val="minor"/>
      </rPr>
      <t>)</t>
    </r>
  </si>
  <si>
    <r>
      <t>In scientific notation, expressed as ten raised to the power of fourteen (10</t>
    </r>
    <r>
      <rPr>
        <vertAlign val="superscript"/>
        <sz val="11"/>
        <rFont val="Calibri"/>
        <family val="2"/>
        <scheme val="minor"/>
      </rPr>
      <t>14</t>
    </r>
    <r>
      <rPr>
        <sz val="11"/>
        <rFont val="Calibri"/>
        <family val="2"/>
        <scheme val="minor"/>
      </rPr>
      <t>)</t>
    </r>
  </si>
  <si>
    <r>
      <t>In scientific notation, expressed as ten raised to the power of fifteen (10</t>
    </r>
    <r>
      <rPr>
        <vertAlign val="superscript"/>
        <sz val="11"/>
        <rFont val="Calibri"/>
        <family val="2"/>
        <scheme val="minor"/>
      </rPr>
      <t>15</t>
    </r>
    <r>
      <rPr>
        <sz val="11"/>
        <rFont val="Calibri"/>
        <family val="2"/>
        <scheme val="minor"/>
      </rPr>
      <t>)</t>
    </r>
  </si>
  <si>
    <r>
      <t>In scientific notation, expressed as ten raised to the power of minus one (10</t>
    </r>
    <r>
      <rPr>
        <vertAlign val="superscript"/>
        <sz val="11"/>
        <rFont val="Calibri"/>
        <family val="2"/>
        <scheme val="minor"/>
      </rPr>
      <t>-1</t>
    </r>
    <r>
      <rPr>
        <sz val="11"/>
        <rFont val="Calibri"/>
        <family val="2"/>
        <scheme val="minor"/>
      </rPr>
      <t>)</t>
    </r>
  </si>
  <si>
    <r>
      <t>In scientific notation, expressed as ten raised to the power of minus two (10</t>
    </r>
    <r>
      <rPr>
        <vertAlign val="superscript"/>
        <sz val="11"/>
        <rFont val="Calibri"/>
        <family val="2"/>
        <scheme val="minor"/>
      </rPr>
      <t>-2</t>
    </r>
    <r>
      <rPr>
        <sz val="11"/>
        <rFont val="Calibri"/>
        <family val="2"/>
        <scheme val="minor"/>
      </rPr>
      <t>)</t>
    </r>
  </si>
  <si>
    <r>
      <t>In scientific notation, expressed as ten raised to the power of minus three (10</t>
    </r>
    <r>
      <rPr>
        <vertAlign val="superscript"/>
        <sz val="11"/>
        <rFont val="Calibri"/>
        <family val="2"/>
        <scheme val="minor"/>
      </rPr>
      <t>-3</t>
    </r>
    <r>
      <rPr>
        <sz val="11"/>
        <rFont val="Calibri"/>
        <family val="2"/>
        <scheme val="minor"/>
      </rPr>
      <t>)</t>
    </r>
  </si>
  <si>
    <r>
      <t>In scientific notation, expressed as ten raised to the power of minus four (10</t>
    </r>
    <r>
      <rPr>
        <vertAlign val="superscript"/>
        <sz val="11"/>
        <rFont val="Calibri"/>
        <family val="2"/>
        <scheme val="minor"/>
      </rPr>
      <t>-4</t>
    </r>
    <r>
      <rPr>
        <sz val="11"/>
        <rFont val="Calibri"/>
        <family val="2"/>
        <scheme val="minor"/>
      </rPr>
      <t>)</t>
    </r>
  </si>
  <si>
    <r>
      <t>In scientific notation, expressed as ten raised to the power of minus five (10</t>
    </r>
    <r>
      <rPr>
        <vertAlign val="superscript"/>
        <sz val="11"/>
        <rFont val="Calibri"/>
        <family val="2"/>
        <scheme val="minor"/>
      </rPr>
      <t>-5</t>
    </r>
    <r>
      <rPr>
        <sz val="11"/>
        <rFont val="Calibri"/>
        <family val="2"/>
        <scheme val="minor"/>
      </rPr>
      <t>)</t>
    </r>
  </si>
  <si>
    <r>
      <t>In scientific notation, expressed as ten raised to the power of minus six (10</t>
    </r>
    <r>
      <rPr>
        <vertAlign val="superscript"/>
        <sz val="11"/>
        <rFont val="Calibri"/>
        <family val="2"/>
        <scheme val="minor"/>
      </rPr>
      <t>-6</t>
    </r>
    <r>
      <rPr>
        <sz val="11"/>
        <rFont val="Calibri"/>
        <family val="2"/>
        <scheme val="minor"/>
      </rPr>
      <t>)</t>
    </r>
  </si>
  <si>
    <r>
      <t>In scientific notation, expressed as ten raised to the power of minus seven (10</t>
    </r>
    <r>
      <rPr>
        <vertAlign val="superscript"/>
        <sz val="11"/>
        <rFont val="Calibri"/>
        <family val="2"/>
        <scheme val="minor"/>
      </rPr>
      <t>-7</t>
    </r>
    <r>
      <rPr>
        <sz val="11"/>
        <rFont val="Calibri"/>
        <family val="2"/>
        <scheme val="minor"/>
      </rPr>
      <t>)</t>
    </r>
  </si>
  <si>
    <r>
      <t>In scientific notation, expressed as ten raised to the power of minus eight (10</t>
    </r>
    <r>
      <rPr>
        <vertAlign val="superscript"/>
        <sz val="11"/>
        <rFont val="Calibri"/>
        <family val="2"/>
        <scheme val="minor"/>
      </rPr>
      <t>-8</t>
    </r>
    <r>
      <rPr>
        <sz val="11"/>
        <rFont val="Calibri"/>
        <family val="2"/>
        <scheme val="minor"/>
      </rPr>
      <t>)</t>
    </r>
  </si>
  <si>
    <r>
      <t>In scientific notation, expressed as ten raised to the power of minus nine (10</t>
    </r>
    <r>
      <rPr>
        <vertAlign val="superscript"/>
        <sz val="11"/>
        <rFont val="Calibri"/>
        <family val="2"/>
        <scheme val="minor"/>
      </rPr>
      <t>-9</t>
    </r>
    <r>
      <rPr>
        <sz val="11"/>
        <rFont val="Calibri"/>
        <family val="2"/>
        <scheme val="minor"/>
      </rPr>
      <t>)</t>
    </r>
  </si>
  <si>
    <r>
      <t>In scientific notation, expressed as ten raised to the power of minus ten (10</t>
    </r>
    <r>
      <rPr>
        <vertAlign val="superscript"/>
        <sz val="11"/>
        <rFont val="Calibri"/>
        <family val="2"/>
        <scheme val="minor"/>
      </rPr>
      <t>-10</t>
    </r>
    <r>
      <rPr>
        <sz val="11"/>
        <rFont val="Calibri"/>
        <family val="2"/>
        <scheme val="minor"/>
      </rPr>
      <t>)</t>
    </r>
  </si>
  <si>
    <r>
      <t>In scientific notation, expressed as ten raised to the power of minus eleven (10</t>
    </r>
    <r>
      <rPr>
        <vertAlign val="superscript"/>
        <sz val="11"/>
        <rFont val="Calibri"/>
        <family val="2"/>
        <scheme val="minor"/>
      </rPr>
      <t>-11</t>
    </r>
    <r>
      <rPr>
        <sz val="11"/>
        <rFont val="Calibri"/>
        <family val="2"/>
        <scheme val="minor"/>
      </rPr>
      <t>)</t>
    </r>
  </si>
  <si>
    <r>
      <t>In scientific notation, expressed as ten raised to the power of minus twelve (10</t>
    </r>
    <r>
      <rPr>
        <vertAlign val="superscript"/>
        <sz val="11"/>
        <rFont val="Calibri"/>
        <family val="2"/>
        <scheme val="minor"/>
      </rPr>
      <t>-12</t>
    </r>
    <r>
      <rPr>
        <sz val="11"/>
        <rFont val="Calibri"/>
        <family val="2"/>
        <scheme val="minor"/>
      </rPr>
      <t>)</t>
    </r>
  </si>
  <si>
    <r>
      <t>In scientific notation, expressed as ten raised to the power of minus thirteen (10</t>
    </r>
    <r>
      <rPr>
        <vertAlign val="superscript"/>
        <sz val="11"/>
        <rFont val="Calibri"/>
        <family val="2"/>
        <scheme val="minor"/>
      </rPr>
      <t>-13</t>
    </r>
    <r>
      <rPr>
        <sz val="11"/>
        <rFont val="Calibri"/>
        <family val="2"/>
        <scheme val="minor"/>
      </rPr>
      <t>)</t>
    </r>
  </si>
  <si>
    <r>
      <t>In scientific notation, expressed as ten raised to the power of minus fourteen (10</t>
    </r>
    <r>
      <rPr>
        <vertAlign val="superscript"/>
        <sz val="11"/>
        <rFont val="Calibri"/>
        <family val="2"/>
        <scheme val="minor"/>
      </rPr>
      <t>-14</t>
    </r>
    <r>
      <rPr>
        <sz val="11"/>
        <rFont val="Calibri"/>
        <family val="2"/>
        <scheme val="minor"/>
      </rPr>
      <t>)</t>
    </r>
  </si>
  <si>
    <r>
      <t>In scientific notation, expressed as ten raised to the power of minus fifteen (10</t>
    </r>
    <r>
      <rPr>
        <vertAlign val="superscript"/>
        <sz val="11"/>
        <rFont val="Calibri"/>
        <family val="2"/>
        <scheme val="minor"/>
      </rPr>
      <t>-15</t>
    </r>
    <r>
      <rPr>
        <sz val="11"/>
        <rFont val="Calibri"/>
        <family val="2"/>
        <scheme val="minor"/>
      </rPr>
      <t>)</t>
    </r>
  </si>
  <si>
    <t>Choose which artefacts to generate by changing the Generate? Column: 1=Generate</t>
  </si>
  <si>
    <t>Ensure that the values in row 1 (Agency Id, Version, etc.) are entered. Ensure that the values are for the codelist, they may be different from the concept values (e.g. name)</t>
  </si>
  <si>
    <t>Time span or point in time to which the observation actually refers</t>
  </si>
  <si>
    <t>Time interval at which observations occur over a given time period</t>
  </si>
  <si>
    <t>Value of a particular variable</t>
  </si>
  <si>
    <t>Information about the confidentiality status of the object to which this attribute is attached</t>
  </si>
  <si>
    <t>Information on the quality of a value or an unusual or missing value</t>
  </si>
  <si>
    <t>Exponent in base 10 specified so that multiplying the observation numeric values by 10^UNIT_MULT gives a value expressed in the unit of measure</t>
  </si>
  <si>
    <t>NE</t>
  </si>
  <si>
    <t>MW</t>
  </si>
  <si>
    <t>ES</t>
  </si>
  <si>
    <t>DJ</t>
  </si>
  <si>
    <t>NL</t>
  </si>
  <si>
    <t>RU</t>
  </si>
  <si>
    <t>IR</t>
  </si>
  <si>
    <t>MU</t>
  </si>
  <si>
    <t>Formula to Convert Name to Code</t>
  </si>
  <si>
    <t>ME</t>
  </si>
  <si>
    <t>AG</t>
  </si>
  <si>
    <t>Antigua and Barbuda</t>
  </si>
  <si>
    <t>AI</t>
  </si>
  <si>
    <t>Anguilla</t>
  </si>
  <si>
    <t>AL</t>
  </si>
  <si>
    <t>Albania</t>
  </si>
  <si>
    <t>AM</t>
  </si>
  <si>
    <t>Armenia</t>
  </si>
  <si>
    <t>AO</t>
  </si>
  <si>
    <t>Angola</t>
  </si>
  <si>
    <t>AQ</t>
  </si>
  <si>
    <t>Antarctica</t>
  </si>
  <si>
    <t>AR</t>
  </si>
  <si>
    <t>Argentina</t>
  </si>
  <si>
    <t>AS</t>
  </si>
  <si>
    <t>American Samoa</t>
  </si>
  <si>
    <t>AT</t>
  </si>
  <si>
    <t>Austria</t>
  </si>
  <si>
    <t>AU</t>
  </si>
  <si>
    <t>Australia</t>
  </si>
  <si>
    <t>AW</t>
  </si>
  <si>
    <t>Aruba</t>
  </si>
  <si>
    <t>AX</t>
  </si>
  <si>
    <t>Åland Islands</t>
  </si>
  <si>
    <t>AZ</t>
  </si>
  <si>
    <t>Azerbaijan</t>
  </si>
  <si>
    <t>BA</t>
  </si>
  <si>
    <t>Bosnia and Herzegovina</t>
  </si>
  <si>
    <t>BB</t>
  </si>
  <si>
    <t>Barbados</t>
  </si>
  <si>
    <t>BD</t>
  </si>
  <si>
    <t>Bangladesh</t>
  </si>
  <si>
    <t>BE</t>
  </si>
  <si>
    <t>Belgium</t>
  </si>
  <si>
    <t>BF</t>
  </si>
  <si>
    <t>Burkina Faso</t>
  </si>
  <si>
    <t>BG</t>
  </si>
  <si>
    <t>Bulgaria</t>
  </si>
  <si>
    <t>BH</t>
  </si>
  <si>
    <t>Bahrain</t>
  </si>
  <si>
    <t>BI</t>
  </si>
  <si>
    <t>Burundi</t>
  </si>
  <si>
    <t>BJ</t>
  </si>
  <si>
    <t>Benin</t>
  </si>
  <si>
    <t>BL</t>
  </si>
  <si>
    <t>Saint Barthélemy</t>
  </si>
  <si>
    <t>BM</t>
  </si>
  <si>
    <t>Bermuda</t>
  </si>
  <si>
    <t>BN</t>
  </si>
  <si>
    <t>Brunei Darussalam</t>
  </si>
  <si>
    <t>BO</t>
  </si>
  <si>
    <t>Bolivia (Plurinational State of)</t>
  </si>
  <si>
    <t>BQ</t>
  </si>
  <si>
    <t>Bonaire, Sint Eustatius and Saba</t>
  </si>
  <si>
    <t>BR</t>
  </si>
  <si>
    <t>Brazil</t>
  </si>
  <si>
    <t>BS</t>
  </si>
  <si>
    <t>Bahamas</t>
  </si>
  <si>
    <t>BT</t>
  </si>
  <si>
    <t>Bhutan</t>
  </si>
  <si>
    <t>BV</t>
  </si>
  <si>
    <t>Bouvet Island</t>
  </si>
  <si>
    <t>BW</t>
  </si>
  <si>
    <t>Botswana</t>
  </si>
  <si>
    <t>BY</t>
  </si>
  <si>
    <t>Belarus</t>
  </si>
  <si>
    <t>BZ</t>
  </si>
  <si>
    <t>Belize</t>
  </si>
  <si>
    <t>CA</t>
  </si>
  <si>
    <t>Canada</t>
  </si>
  <si>
    <t>CC</t>
  </si>
  <si>
    <t>Cocos (Keeling) Islands</t>
  </si>
  <si>
    <t>CD</t>
  </si>
  <si>
    <t>Congo, Democratic Republic of the</t>
  </si>
  <si>
    <t>CF</t>
  </si>
  <si>
    <t>Central African Republic</t>
  </si>
  <si>
    <t>CG</t>
  </si>
  <si>
    <t>Congo</t>
  </si>
  <si>
    <t>CH</t>
  </si>
  <si>
    <t>Switzerland</t>
  </si>
  <si>
    <t>CI</t>
  </si>
  <si>
    <t>Côte d'Ivoire</t>
  </si>
  <si>
    <t>CK</t>
  </si>
  <si>
    <t>Cook Islands</t>
  </si>
  <si>
    <t>CL</t>
  </si>
  <si>
    <t>Chile</t>
  </si>
  <si>
    <t>CM</t>
  </si>
  <si>
    <t>Cameroon</t>
  </si>
  <si>
    <t>CN</t>
  </si>
  <si>
    <t>China</t>
  </si>
  <si>
    <t>CO</t>
  </si>
  <si>
    <t>Colombia</t>
  </si>
  <si>
    <t>CR</t>
  </si>
  <si>
    <t>Costa Rica</t>
  </si>
  <si>
    <t>CU</t>
  </si>
  <si>
    <t>Cuba</t>
  </si>
  <si>
    <t>CV</t>
  </si>
  <si>
    <t>Cabo Verde</t>
  </si>
  <si>
    <t>CW</t>
  </si>
  <si>
    <t>Curaçao</t>
  </si>
  <si>
    <t>CX</t>
  </si>
  <si>
    <t>Christmas Island</t>
  </si>
  <si>
    <t>CY</t>
  </si>
  <si>
    <t>Cyprus</t>
  </si>
  <si>
    <t>CZ</t>
  </si>
  <si>
    <t>Czechia</t>
  </si>
  <si>
    <t>DE</t>
  </si>
  <si>
    <t>Germany</t>
  </si>
  <si>
    <t>Djibouti</t>
  </si>
  <si>
    <t>DK</t>
  </si>
  <si>
    <t>Denmark</t>
  </si>
  <si>
    <t>DM</t>
  </si>
  <si>
    <t>Dominica</t>
  </si>
  <si>
    <t>DO</t>
  </si>
  <si>
    <t>Dominican Republic</t>
  </si>
  <si>
    <t>DZ</t>
  </si>
  <si>
    <t>Algeria</t>
  </si>
  <si>
    <t>EC</t>
  </si>
  <si>
    <t>Ecuador</t>
  </si>
  <si>
    <t>EE</t>
  </si>
  <si>
    <t>Estonia</t>
  </si>
  <si>
    <t>EG</t>
  </si>
  <si>
    <t>Egypt</t>
  </si>
  <si>
    <t>EH</t>
  </si>
  <si>
    <t>Western Sahara</t>
  </si>
  <si>
    <t>ER</t>
  </si>
  <si>
    <t>Eritrea</t>
  </si>
  <si>
    <t>Spain</t>
  </si>
  <si>
    <t>ET</t>
  </si>
  <si>
    <t>Ethiopia</t>
  </si>
  <si>
    <t>FI</t>
  </si>
  <si>
    <t>Finland</t>
  </si>
  <si>
    <t>FJ</t>
  </si>
  <si>
    <t>Fiji</t>
  </si>
  <si>
    <t>FK</t>
  </si>
  <si>
    <t>Falkland Islands (Malvinas)</t>
  </si>
  <si>
    <t>FM</t>
  </si>
  <si>
    <t>Micronesia (Federated States of)</t>
  </si>
  <si>
    <t>FO</t>
  </si>
  <si>
    <t>Faroe Islands</t>
  </si>
  <si>
    <t>FR</t>
  </si>
  <si>
    <t>France</t>
  </si>
  <si>
    <t>GA</t>
  </si>
  <si>
    <t>Gabon</t>
  </si>
  <si>
    <t>GB</t>
  </si>
  <si>
    <t>United Kingdom of Great Britain and Northern Ireland</t>
  </si>
  <si>
    <t>GD</t>
  </si>
  <si>
    <t>Grenada</t>
  </si>
  <si>
    <t>GE</t>
  </si>
  <si>
    <t>Georgia</t>
  </si>
  <si>
    <t>GF</t>
  </si>
  <si>
    <t>French Guiana</t>
  </si>
  <si>
    <t>GG</t>
  </si>
  <si>
    <t>Guernsey</t>
  </si>
  <si>
    <t>GH</t>
  </si>
  <si>
    <t>Ghana</t>
  </si>
  <si>
    <t>GI</t>
  </si>
  <si>
    <t>Gibraltar</t>
  </si>
  <si>
    <t>GL</t>
  </si>
  <si>
    <t>Greenland</t>
  </si>
  <si>
    <t>GM</t>
  </si>
  <si>
    <t>Gambia</t>
  </si>
  <si>
    <t>GN</t>
  </si>
  <si>
    <t>Guinea</t>
  </si>
  <si>
    <t>GP</t>
  </si>
  <si>
    <t>Guadeloupe</t>
  </si>
  <si>
    <t>GQ</t>
  </si>
  <si>
    <t>Equatorial Guinea</t>
  </si>
  <si>
    <t>GR</t>
  </si>
  <si>
    <t>Greece</t>
  </si>
  <si>
    <t>GS</t>
  </si>
  <si>
    <t>South Georgia and the South Sandwich Islands</t>
  </si>
  <si>
    <t>GT</t>
  </si>
  <si>
    <t>Guatemala</t>
  </si>
  <si>
    <t>GU</t>
  </si>
  <si>
    <t>Guam</t>
  </si>
  <si>
    <t>GW</t>
  </si>
  <si>
    <t>Guinea-Bissau</t>
  </si>
  <si>
    <t>GY</t>
  </si>
  <si>
    <t>Guyana</t>
  </si>
  <si>
    <t>HK</t>
  </si>
  <si>
    <t>Hong Kong</t>
  </si>
  <si>
    <t>HM</t>
  </si>
  <si>
    <t>Heard Island and McDonald Islands</t>
  </si>
  <si>
    <t>HN</t>
  </si>
  <si>
    <t>Honduras</t>
  </si>
  <si>
    <t>HR</t>
  </si>
  <si>
    <t>Croatia</t>
  </si>
  <si>
    <t>HT</t>
  </si>
  <si>
    <t>Haiti</t>
  </si>
  <si>
    <t>HU</t>
  </si>
  <si>
    <t>Hungary</t>
  </si>
  <si>
    <t>Indonesia</t>
  </si>
  <si>
    <t>IE</t>
  </si>
  <si>
    <t>Ireland</t>
  </si>
  <si>
    <t>IL</t>
  </si>
  <si>
    <t>Israel</t>
  </si>
  <si>
    <t>IM</t>
  </si>
  <si>
    <t>Isle of Man</t>
  </si>
  <si>
    <t>IN</t>
  </si>
  <si>
    <t>India</t>
  </si>
  <si>
    <t>IO</t>
  </si>
  <si>
    <t>British Indian Ocean Territory</t>
  </si>
  <si>
    <t>IQ</t>
  </si>
  <si>
    <t>Iraq</t>
  </si>
  <si>
    <t>Iran (Islamic Republic of)</t>
  </si>
  <si>
    <t>IS</t>
  </si>
  <si>
    <t>Iceland</t>
  </si>
  <si>
    <t>IT</t>
  </si>
  <si>
    <t>Italy</t>
  </si>
  <si>
    <t>JE</t>
  </si>
  <si>
    <t>Jersey</t>
  </si>
  <si>
    <t>JM</t>
  </si>
  <si>
    <t>Jamaica</t>
  </si>
  <si>
    <t>JO</t>
  </si>
  <si>
    <t>Jordan</t>
  </si>
  <si>
    <t>JP</t>
  </si>
  <si>
    <t>Japan</t>
  </si>
  <si>
    <t>KE</t>
  </si>
  <si>
    <t>Kenya</t>
  </si>
  <si>
    <t>KG</t>
  </si>
  <si>
    <t>Kyrgyzstan</t>
  </si>
  <si>
    <t>KH</t>
  </si>
  <si>
    <t>Cambodia</t>
  </si>
  <si>
    <t>KI</t>
  </si>
  <si>
    <t>Kiribati</t>
  </si>
  <si>
    <t>KM</t>
  </si>
  <si>
    <t>Comoros</t>
  </si>
  <si>
    <t>KN</t>
  </si>
  <si>
    <t>Saint Kitts and Nevis</t>
  </si>
  <si>
    <t>KP</t>
  </si>
  <si>
    <t>Korea (Democratic People's Republic of)</t>
  </si>
  <si>
    <t>KR</t>
  </si>
  <si>
    <t>Korea, Republic of</t>
  </si>
  <si>
    <t>KW</t>
  </si>
  <si>
    <t>Kuwait</t>
  </si>
  <si>
    <t>KY</t>
  </si>
  <si>
    <t>Cayman Islands</t>
  </si>
  <si>
    <t>KZ</t>
  </si>
  <si>
    <t>Kazakhstan</t>
  </si>
  <si>
    <t>LA</t>
  </si>
  <si>
    <t>Lao People's Democratic Republic</t>
  </si>
  <si>
    <t>LB</t>
  </si>
  <si>
    <t>Lebanon</t>
  </si>
  <si>
    <t>Saint Lucia</t>
  </si>
  <si>
    <t>LI</t>
  </si>
  <si>
    <t>Liechtenstein</t>
  </si>
  <si>
    <t>LK</t>
  </si>
  <si>
    <t>Sri Lanka</t>
  </si>
  <si>
    <t>LR</t>
  </si>
  <si>
    <t>Liberia</t>
  </si>
  <si>
    <t>LS</t>
  </si>
  <si>
    <t>Lesotho</t>
  </si>
  <si>
    <t>LT</t>
  </si>
  <si>
    <t>Lithuania</t>
  </si>
  <si>
    <t>LU</t>
  </si>
  <si>
    <t>Luxembourg</t>
  </si>
  <si>
    <t>LV</t>
  </si>
  <si>
    <t>Latvia</t>
  </si>
  <si>
    <t>LY</t>
  </si>
  <si>
    <t>Libya</t>
  </si>
  <si>
    <t>MA</t>
  </si>
  <si>
    <t>Morocco</t>
  </si>
  <si>
    <t>MC</t>
  </si>
  <si>
    <t>Monaco</t>
  </si>
  <si>
    <t>MD</t>
  </si>
  <si>
    <t>Moldova, Republic of</t>
  </si>
  <si>
    <t>Montenegro</t>
  </si>
  <si>
    <t>MF</t>
  </si>
  <si>
    <t>Saint Martin (French part)</t>
  </si>
  <si>
    <t>MG</t>
  </si>
  <si>
    <t>Madagascar</t>
  </si>
  <si>
    <t>MH</t>
  </si>
  <si>
    <t>Marshall Islands</t>
  </si>
  <si>
    <t>MK</t>
  </si>
  <si>
    <t>Macedonia, the former Yugoslav Republic of</t>
  </si>
  <si>
    <t>ML</t>
  </si>
  <si>
    <t>Mali</t>
  </si>
  <si>
    <t>MM</t>
  </si>
  <si>
    <t>Myanmar</t>
  </si>
  <si>
    <t>MN</t>
  </si>
  <si>
    <t>Mongolia</t>
  </si>
  <si>
    <t>MO</t>
  </si>
  <si>
    <t>Macao</t>
  </si>
  <si>
    <t>MP</t>
  </si>
  <si>
    <t>Northern Mariana Islands</t>
  </si>
  <si>
    <t>MQ</t>
  </si>
  <si>
    <t>Martinique</t>
  </si>
  <si>
    <t>MR</t>
  </si>
  <si>
    <t>Mauritania</t>
  </si>
  <si>
    <t>MS</t>
  </si>
  <si>
    <t>Montserrat</t>
  </si>
  <si>
    <t>MT</t>
  </si>
  <si>
    <t>Malta</t>
  </si>
  <si>
    <t>Mauritius</t>
  </si>
  <si>
    <t>MV</t>
  </si>
  <si>
    <t>Maldives</t>
  </si>
  <si>
    <t>Malawi</t>
  </si>
  <si>
    <t>MX</t>
  </si>
  <si>
    <t>Mexico</t>
  </si>
  <si>
    <t>MY</t>
  </si>
  <si>
    <t>Malaysia</t>
  </si>
  <si>
    <t>MZ</t>
  </si>
  <si>
    <t>Mozambique</t>
  </si>
  <si>
    <t>NA</t>
  </si>
  <si>
    <t>Namibia</t>
  </si>
  <si>
    <t>NC</t>
  </si>
  <si>
    <t>New Caledonia</t>
  </si>
  <si>
    <t>Niger</t>
  </si>
  <si>
    <t>NF</t>
  </si>
  <si>
    <t>Norfolk Island</t>
  </si>
  <si>
    <t>NG</t>
  </si>
  <si>
    <t>Nigeria</t>
  </si>
  <si>
    <t>NI</t>
  </si>
  <si>
    <t>Nicaragua</t>
  </si>
  <si>
    <t>Netherlands</t>
  </si>
  <si>
    <t>NO</t>
  </si>
  <si>
    <t>Norway</t>
  </si>
  <si>
    <t>NP</t>
  </si>
  <si>
    <t>Nepal</t>
  </si>
  <si>
    <t>NR</t>
  </si>
  <si>
    <t>Nauru</t>
  </si>
  <si>
    <t>NU</t>
  </si>
  <si>
    <t>Niue</t>
  </si>
  <si>
    <t>NZ</t>
  </si>
  <si>
    <t>New Zealand</t>
  </si>
  <si>
    <t>OM</t>
  </si>
  <si>
    <t>Oman</t>
  </si>
  <si>
    <t>PA</t>
  </si>
  <si>
    <t>Panama</t>
  </si>
  <si>
    <t>PE</t>
  </si>
  <si>
    <t>Peru</t>
  </si>
  <si>
    <t>French Polynesia</t>
  </si>
  <si>
    <t>PG</t>
  </si>
  <si>
    <t>Papua New Guinea</t>
  </si>
  <si>
    <t>PH</t>
  </si>
  <si>
    <t>Philippines</t>
  </si>
  <si>
    <t>PK</t>
  </si>
  <si>
    <t>Pakistan</t>
  </si>
  <si>
    <t>PL</t>
  </si>
  <si>
    <t>Poland</t>
  </si>
  <si>
    <t>PM</t>
  </si>
  <si>
    <t>Saint Pierre and Miquelon</t>
  </si>
  <si>
    <t>PN</t>
  </si>
  <si>
    <t>Pitcairn</t>
  </si>
  <si>
    <t>PR</t>
  </si>
  <si>
    <t>Puerto Rico</t>
  </si>
  <si>
    <t>Palestine, State of</t>
  </si>
  <si>
    <t>PT</t>
  </si>
  <si>
    <t>Portugal</t>
  </si>
  <si>
    <t>PW</t>
  </si>
  <si>
    <t>Palau</t>
  </si>
  <si>
    <t>PY</t>
  </si>
  <si>
    <t>Paraguay</t>
  </si>
  <si>
    <t>QA</t>
  </si>
  <si>
    <t>Qatar</t>
  </si>
  <si>
    <t>RE</t>
  </si>
  <si>
    <t>Réunion</t>
  </si>
  <si>
    <t>RO</t>
  </si>
  <si>
    <t>Romania</t>
  </si>
  <si>
    <t>RS</t>
  </si>
  <si>
    <t>Serbia</t>
  </si>
  <si>
    <t>Russian Federation</t>
  </si>
  <si>
    <t>RW</t>
  </si>
  <si>
    <t>Rwanda</t>
  </si>
  <si>
    <t>SA</t>
  </si>
  <si>
    <t>Saudi Arabia</t>
  </si>
  <si>
    <t>SB</t>
  </si>
  <si>
    <t>Solomon Islands</t>
  </si>
  <si>
    <t>SC</t>
  </si>
  <si>
    <t>Seychelles</t>
  </si>
  <si>
    <t>SD</t>
  </si>
  <si>
    <t>Sudan</t>
  </si>
  <si>
    <t>SE</t>
  </si>
  <si>
    <t>Sweden</t>
  </si>
  <si>
    <t>SG</t>
  </si>
  <si>
    <t>Singapore</t>
  </si>
  <si>
    <t>SH</t>
  </si>
  <si>
    <t>Saint Helena, Ascension and Tristan da Cunha</t>
  </si>
  <si>
    <t>SI</t>
  </si>
  <si>
    <t>Slovenia</t>
  </si>
  <si>
    <t>SJ</t>
  </si>
  <si>
    <t>Svalbard and Jan Mayen</t>
  </si>
  <si>
    <t>SK</t>
  </si>
  <si>
    <t>Slovakia</t>
  </si>
  <si>
    <t>SL</t>
  </si>
  <si>
    <t>Sierra Leone</t>
  </si>
  <si>
    <t>SM</t>
  </si>
  <si>
    <t>San Marino</t>
  </si>
  <si>
    <t>SN</t>
  </si>
  <si>
    <t>Senegal</t>
  </si>
  <si>
    <t>SO</t>
  </si>
  <si>
    <t>Somalia</t>
  </si>
  <si>
    <t>SR</t>
  </si>
  <si>
    <t>Suriname</t>
  </si>
  <si>
    <t>SS</t>
  </si>
  <si>
    <t>South Sudan</t>
  </si>
  <si>
    <t>ST</t>
  </si>
  <si>
    <t>Sao Tome and Principe</t>
  </si>
  <si>
    <t>SV</t>
  </si>
  <si>
    <t>El Salvador</t>
  </si>
  <si>
    <t>SX</t>
  </si>
  <si>
    <t>Sint Maarten (Dutch part)</t>
  </si>
  <si>
    <t>SY</t>
  </si>
  <si>
    <t>Syrian Arab Republic</t>
  </si>
  <si>
    <t>SZ</t>
  </si>
  <si>
    <t>Eswatini</t>
  </si>
  <si>
    <t>TC</t>
  </si>
  <si>
    <t>Turks and Caicos Islands</t>
  </si>
  <si>
    <t>TD</t>
  </si>
  <si>
    <t>Chad</t>
  </si>
  <si>
    <t>TF</t>
  </si>
  <si>
    <t>French Southern Territories</t>
  </si>
  <si>
    <t>TG</t>
  </si>
  <si>
    <t>Togo</t>
  </si>
  <si>
    <t>TH</t>
  </si>
  <si>
    <t>Thailand</t>
  </si>
  <si>
    <t>TJ</t>
  </si>
  <si>
    <t>Tajikistan</t>
  </si>
  <si>
    <t>TK</t>
  </si>
  <si>
    <t>Tokelau</t>
  </si>
  <si>
    <t>TL</t>
  </si>
  <si>
    <t>Timor-Leste</t>
  </si>
  <si>
    <t>TM</t>
  </si>
  <si>
    <t>Turkmenistan</t>
  </si>
  <si>
    <t>TN</t>
  </si>
  <si>
    <t>Tunisia</t>
  </si>
  <si>
    <t>TO</t>
  </si>
  <si>
    <t>Tonga</t>
  </si>
  <si>
    <t>TR</t>
  </si>
  <si>
    <t>Turkey</t>
  </si>
  <si>
    <t>TT</t>
  </si>
  <si>
    <t>Trinidad and Tobago</t>
  </si>
  <si>
    <t>TV</t>
  </si>
  <si>
    <t>Tuvalu</t>
  </si>
  <si>
    <t>TW</t>
  </si>
  <si>
    <t>Taiwan, Province of China</t>
  </si>
  <si>
    <t>TZ</t>
  </si>
  <si>
    <t>Tanzania, United Republic of</t>
  </si>
  <si>
    <t>UA</t>
  </si>
  <si>
    <t>Ukraine</t>
  </si>
  <si>
    <t>UG</t>
  </si>
  <si>
    <t>Uganda</t>
  </si>
  <si>
    <t>UM</t>
  </si>
  <si>
    <t>United States Minor Outlying Islands</t>
  </si>
  <si>
    <t>United States of America</t>
  </si>
  <si>
    <t>UY</t>
  </si>
  <si>
    <t>Uruguay</t>
  </si>
  <si>
    <t>UZ</t>
  </si>
  <si>
    <t>Uzbekistan</t>
  </si>
  <si>
    <t>VA</t>
  </si>
  <si>
    <t>Holy See</t>
  </si>
  <si>
    <t>VC</t>
  </si>
  <si>
    <t>Saint Vincent and the Grenadines</t>
  </si>
  <si>
    <t>VE</t>
  </si>
  <si>
    <t>Venezuela (Bolivarian Republic of)</t>
  </si>
  <si>
    <t>VG</t>
  </si>
  <si>
    <t>Virgin Islands (British)</t>
  </si>
  <si>
    <t>VI</t>
  </si>
  <si>
    <t>Virgin Islands (U.S.)</t>
  </si>
  <si>
    <t>VN</t>
  </si>
  <si>
    <t>Viet Nam</t>
  </si>
  <si>
    <t>VU</t>
  </si>
  <si>
    <t>Vanuatu</t>
  </si>
  <si>
    <t>WF</t>
  </si>
  <si>
    <t>Wallis and Futuna</t>
  </si>
  <si>
    <t>WS</t>
  </si>
  <si>
    <t>Samoa</t>
  </si>
  <si>
    <t>YE</t>
  </si>
  <si>
    <t>Yemen</t>
  </si>
  <si>
    <t>YT</t>
  </si>
  <si>
    <t>Mayotte</t>
  </si>
  <si>
    <t>ZA</t>
  </si>
  <si>
    <t>South Africa</t>
  </si>
  <si>
    <t>ZM</t>
  </si>
  <si>
    <t>Zambia</t>
  </si>
  <si>
    <t>ZW</t>
  </si>
  <si>
    <t>Zimbabwe</t>
  </si>
  <si>
    <t>Code list for area codes</t>
  </si>
  <si>
    <t>Code list for frequency</t>
  </si>
  <si>
    <t>Code list for measures</t>
  </si>
  <si>
    <t>Code list for unit of measure</t>
  </si>
  <si>
    <t>Code list for confidentiality status</t>
  </si>
  <si>
    <t>Code list for observation status</t>
  </si>
  <si>
    <t>Code list for decimals</t>
  </si>
  <si>
    <t>Code list for time format</t>
  </si>
  <si>
    <t>Code list for the unit multiplier</t>
  </si>
  <si>
    <t>c:\temp</t>
  </si>
  <si>
    <t>ATTRIBUTES</t>
  </si>
  <si>
    <t>Number of digits of an observation to the right of a decimal point.</t>
  </si>
  <si>
    <t>CL_DECIMALS</t>
  </si>
  <si>
    <t>CS_TEST</t>
  </si>
  <si>
    <t>TEST</t>
  </si>
  <si>
    <t>SDMXCAT</t>
  </si>
  <si>
    <r>
      <rPr>
        <b/>
        <u/>
        <sz val="11"/>
        <color theme="1"/>
        <rFont val="Calibri"/>
        <family val="2"/>
        <scheme val="minor"/>
      </rPr>
      <t>Legend:</t>
    </r>
    <r>
      <rPr>
        <b/>
        <sz val="11"/>
        <color theme="1"/>
        <rFont val="Calibri"/>
        <family val="2"/>
        <scheme val="minor"/>
      </rPr>
      <t xml:space="preserve">
# … Code list fully used in concept
 %… Code list partly used in concept (see detailed sheet)
</t>
    </r>
    <r>
      <rPr>
        <b/>
        <i/>
        <sz val="11"/>
        <color indexed="8"/>
        <rFont val="Calibri"/>
        <family val="2"/>
        <scheme val="minor"/>
      </rPr>
      <t>(blank)</t>
    </r>
    <r>
      <rPr>
        <b/>
        <sz val="11"/>
        <color indexed="8"/>
        <rFont val="Calibri"/>
        <family val="2"/>
        <scheme val="minor"/>
      </rPr>
      <t xml:space="preserve"> … Concept not used in table
</t>
    </r>
    <r>
      <rPr>
        <b/>
        <i/>
        <sz val="11"/>
        <color indexed="8"/>
        <rFont val="Calibri"/>
        <family val="2"/>
        <scheme val="minor"/>
      </rPr>
      <t>(code)</t>
    </r>
    <r>
      <rPr>
        <b/>
        <sz val="11"/>
        <color indexed="8"/>
        <rFont val="Calibri"/>
        <family val="2"/>
        <scheme val="minor"/>
      </rPr>
      <t xml:space="preserve"> … fixed single code from code list</t>
    </r>
  </si>
  <si>
    <t>Comments</t>
  </si>
  <si>
    <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t>
  </si>
  <si>
    <t xml:space="preserve">This code is used when data for a given category are missing and are included in another category, sub-total or total. Generally where code "K" is used there should be a corresponding code "W - Includes data from another category" assigned to the over-covered category. Implementers and data reporters should use the COMMENT_OBS observation-level attribute to specify under which category the data are included. </t>
  </si>
  <si>
    <t>Fill the category columns on the Dataflows worksheet for attaching the Dataflow to a Category</t>
  </si>
  <si>
    <t>AGENCY</t>
  </si>
  <si>
    <t>TESTDSD</t>
  </si>
  <si>
    <t>TESTDF</t>
  </si>
  <si>
    <t>AgencySchemeOuter</t>
  </si>
  <si>
    <t>AgencySchemeMain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</si>
  <si>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https://registry.sdmx.org/schemas/v2_1/SDMXMessage.xsd"&gt;&lt;mes:Structures&gt;&lt;str:OrganisationSchemes&gt;&lt;str:AgencyScheme id="" urn="" isExternalReference="false" agencyID="" isFinal="" version=""&gt;&lt;com:Name xml:lang="en"&gt;&lt;/com:Name&gt;&lt;/str:AgencyScheme&gt;&lt;/str:OrganisationSchemes&gt;&lt;/mes:Structures&gt;&lt;/mes:Structure&gt;</t>
  </si>
  <si>
    <t>&lt;str:Agency id="" urn=""&gt;&lt;com:Name xml:lang="en"&gt;&lt;/com:Name&gt;&lt;com:Description xml:lang="en"&gt;&lt;/com:Description&gt;&lt;str:Contact&gt;&lt;com:Name xml:lang="en"&gt;&lt;/com:Name&gt;&lt;str:Department xml:lang="en"&gt;&lt;/str:Department&gt;&lt;str:Role xml:lang="en"&gt;&lt;/str:Role&gt;&lt;str:Telephone&gt;&lt;/str:Telephone&gt;&lt;str:URI&gt;&lt;/str:URI&gt;&lt;str:Email&gt;&lt;/str:Email&gt;&lt;/str:Contact&gt;&lt;/str:Agency&gt;</t>
  </si>
  <si>
    <t>Output</t>
  </si>
  <si>
    <t>Remove Constraints from Codelists</t>
  </si>
  <si>
    <t>Non-CL artefact file prefix</t>
  </si>
  <si>
    <t>App for opening XML file</t>
  </si>
  <si>
    <t>Update Constraints from DSD matrix</t>
  </si>
  <si>
    <t>Create the constraints</t>
  </si>
  <si>
    <t>Use the "Update Constraints from DSD Matrix" action on the "Generate SDMX &amp; Params" worksheet to prefill the Constraint information in each Codelist worksheet</t>
  </si>
  <si>
    <t>Look at each Dataflow in the DSD-Concept Matrix. For each cell that has a subset(%):</t>
  </si>
  <si>
    <t>Go to the Concept's corresponding Code List. Find the Dataflow ID on the "Dataflows" row and the Concept ID underneath that cell (on the same line as "Concepts")</t>
  </si>
  <si>
    <t>Enter 1 for all codes that are valid (in the constraint) for this Dataflow/Concept</t>
  </si>
  <si>
    <t>Fill the "Indicator-Concept Matrix" (step 1)</t>
  </si>
  <si>
    <t>Fill the "Concept Scheme" (step 2)</t>
  </si>
  <si>
    <t>Need the CL_ codelist worksheets, DSD matrix, DSD and Dataflow worksheets to be filled (steps 3 to 7)</t>
  </si>
  <si>
    <t>This just removes any constraint details from the CL_ codelist worksheets</t>
  </si>
  <si>
    <t>DataMain</t>
  </si>
  <si>
    <t>&lt;?xml version='1.0' encoding='UTF-8'?&gt;&lt;message:StructureSpecificData xmlns:ss="http://www.sdmx.org/resources/sdmxml/schemas/v2_1/data/structurespecific" xmlns:footer="http://www.sdmx.org/resources/sdmxml/schemas/v2_1/message/footer" xmlns:ns1="urn:sdmx:org.sdmx.infomodel.datastructure.Dataflow=OECD:STES(3.1):ObsLevelDim:TIME_PERIOD" xmlns:message="http://www.sdmx.org/resources/sdmxml/schemas/v2_1/message" xmlns:common="http://www.sdmx.org/resources/sdmxml/schemas/v2_1/common" xmlns:xsi="http://www.w3.org/2001/XMLSchema-instance" xmlns:xml="http://www.w3.org/XML/1998/namespace"&gt;&lt;message:Header&gt;&lt;message:ID&gt;&lt;/message:ID&gt;&lt;message:Test&gt;&lt;/message:Test&gt;&lt;message:Prepared&gt;&lt;/message:Prepared&gt;&lt;message:Sender id="FR1"&gt;&lt;common:Name xml:lang="fr"&gt;&lt;/common:Name&gt;&lt;/message:Sender&gt;&lt;message:Structure structureID="OECD_STES_3_1" namespace="urn:sdmx:org.sdmx.infomodel.datastructure.Dataflow=OECD:STES(3.1):ObsLevelDim:TIME_PERIOD" dimensionAtObservation="TIME_PERIOD"&gt;&lt;common:StructureUsage&gt;&lt;Ref agencyID="OECD" id="STES" version="3.1"/&gt;&lt;/common:StructureUsage&gt;&lt;/message:Structure&gt;&lt;message:Source xml:lang="fr"&gt;Banque de données macro-économiques&lt;/message:Source&gt;&lt;/message:Header&gt;&lt;message:DataSet ss:dataScope="DataStructure" xsi:type="ns1:DataSetType" ss:structureRef="OECD_STES_3_1"&gt;&lt;/message:DataSet&gt;&lt;/message:StructureSpecificData&gt;</t>
  </si>
  <si>
    <t>LAYOUT_ROW</t>
  </si>
  <si>
    <t>LAYOUT_COLUMN</t>
  </si>
  <si>
    <t>LAYOUT_ROW_SECTION</t>
  </si>
  <si>
    <t>MEASURE,UNIT_MEASURE</t>
  </si>
  <si>
    <t>NOT_DISPLAYED</t>
  </si>
  <si>
    <t>Test Dataflow 2</t>
  </si>
  <si>
    <t>TESTDF2</t>
  </si>
  <si>
    <t>Name:en</t>
  </si>
  <si>
    <t>Description:en</t>
  </si>
  <si>
    <t>&lt;str:Codelist xmlns:mes="http://www.sdmx.org/resources/sdmxml/schemas/v2_1/message" xmlns:com="http://www.sdmx.org/resources/sdmxml/schemas/v2_1/common" xmlns:str="http://www.sdmx.org/resources/sdmxml/schemas/v2_1/structure" id="" urn="" agencyID="" isFinal="" version=""&gt;&lt;/str:Codelist&gt;</t>
  </si>
  <si>
    <t>Name:fr</t>
  </si>
  <si>
    <t>Description:fr</t>
  </si>
  <si>
    <t>Anno annual</t>
  </si>
  <si>
    <t>Anno semester</t>
  </si>
  <si>
    <t>Name:be</t>
  </si>
  <si>
    <t>Description:be</t>
  </si>
  <si>
    <t>Test Dataflow en</t>
  </si>
  <si>
    <t>test dataflow desc en</t>
  </si>
  <si>
    <t>test dataflow desc 2 en</t>
  </si>
  <si>
    <t>test dataflow desc be</t>
  </si>
  <si>
    <t>test dataflow desc 2 be</t>
  </si>
  <si>
    <t>Test Dataflow be</t>
  </si>
  <si>
    <t>Test Dataflow 2 be</t>
  </si>
  <si>
    <t>&lt;str:Dataflow xmlns:str="http://www.sdmx.org/resources/sdmxml/schemas/v2_1/structure" xmlns:com="http://www.sdmx.org/resources/sdmxml/schemas/v2_1/common" id="" urn="" isExternalReference="false" agencyID="" isFinal="" version=""&gt;&lt;str:Structure&gt;&lt;Ref id="" package="datastructure" class="DataStructure" agencyID="" version=""/&gt;&lt;/str:Structure&gt;&lt;/str:Dataflow&gt;</t>
  </si>
  <si>
    <t>Test DSD en</t>
  </si>
  <si>
    <t>Test DSD desc en</t>
  </si>
  <si>
    <t>Test DSD fr</t>
  </si>
  <si>
    <t>Test DSD desc fr</t>
  </si>
  <si>
    <t>&lt;str:DataStructure xmlns:str="http://www.sdmx.org/resources/sdmxml/schemas/v2_1/structure" xmlns:com="http://www.sdmx.org/resources/sdmxml/schemas/v2_1/common" id="" urn="" isExternalReference="false" agencyID="" isFinal="" version=""&gt;&lt;str:DataStructureComponents&gt;&lt;str:DimensionList id="DimensionDescriptor" urn=""/&gt;&lt;str:AttributeList id="AttributeDescriptor" urn=""/&gt;&lt;str:MeasureList id="MeasureDescriptor" urn=""/&gt;&lt;/str:DataStructureComponents&gt;&lt;/str:DataStructure&gt;</t>
  </si>
  <si>
    <t>Concept Name:en</t>
  </si>
  <si>
    <t>Concept Definition:en</t>
  </si>
  <si>
    <t>Test CS desc fr</t>
  </si>
  <si>
    <t>Test concept scheme fr</t>
  </si>
  <si>
    <t>Test concept scheme en</t>
  </si>
  <si>
    <t>Test CS desc en</t>
  </si>
  <si>
    <t>&lt;str:ConceptScheme xmlns:mes="http://www.sdmx.org/resources/sdmxml/schemas/v2_1/message" xmlns:str="http://www.sdmx.org/resources/sdmxml/schemas/v2_1/structure" xmlns:com="http://www.sdmx.org/resources/sdmxml/schemas/v2_1/common" id="" urn="" isExternalReference="false" agencyID="" isFinal="" version=""&gt;&lt;/str:ConceptScheme&gt;</t>
  </si>
  <si>
    <t>Concept Name:fr</t>
  </si>
  <si>
    <t>Concept Definition:fr</t>
  </si>
  <si>
    <t>Measure fr</t>
  </si>
  <si>
    <t>Data element fr</t>
  </si>
  <si>
    <t>Unit of measure fr</t>
  </si>
  <si>
    <t>Unit fr</t>
  </si>
  <si>
    <t>To include several languages in the Concept Scheme name and descrption, copy the Name and Description cells in row 1, adding new cells at the end of the row. To indicate the languague, use this syntax in the fields: [Name: &lt;language&gt;] (follow the same convention as used for Name:en)</t>
  </si>
  <si>
    <t>To include several languages for the Concepts, add Name:&lt;language&gt; and Description:&lt;language&gt; header cells in row 2. Then add the name and description values underneath their corresponding headers. Follow the same convention as used for Name and Descrption:en</t>
  </si>
  <si>
    <t>To include several languages for the DSD name and description, add Name:&lt;language&gt; and Description:&lt;language&gt; header cells in row 1. Then add the name and description values underneath their corresponding headers. Follow the same convention as used for Name and Descrption:en</t>
  </si>
  <si>
    <t>To include several languages for the Dataflow name and description, add Name:&lt;language&gt; and Description:&lt;language&gt; header cells in row 1. Then add the name and description values underneath their corresponding headers. Follow the same convention as used for Name and Descrption:en</t>
  </si>
  <si>
    <t>&lt;?xml version="1.0"?&gt;_x000D_
&lt;mes:Structure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https://registry.sdmx.org/schemas/v2_1/SDMXMessage.xsd"&gt;&lt;mes:Header&gt;&lt;mes:ID&gt;IDREF8671&lt;/mes:ID&gt;&lt;mes:Test&gt;false&lt;/mes:Test&gt;&lt;mes:Prepared&gt;2019-05-23T13:05:31&lt;/mes:Prepared&gt;&lt;mes:Sender id="OECD"/&gt;&lt;mes:Receiver id="OECD"/&gt;&lt;/mes:Header&gt;&lt;mes:Structures&gt;&lt;str:Dataflows&gt;&lt;str:Dataflow xmlns:str="http://www.sdmx.org/resources/sdmxml/schemas/v2_1/structure" xmlns:com="http://www.sdmx.org/resources/sdmxml/schemas/v2_1/common" id="TESTDF" urn="urn:sdmx:org.sdmx.infomodel.datastructure.Dataflow=SDMX:TESTDF(1.0.0)" isExternalReference="false" agencyID="SDMX" isFinal="false" version="1.0.0"&gt;&lt;com:Annotations&gt;&lt;com:Annotation xmlns:com="http://www.sdmx.org/resources/sdmxml/schemas/v2_1/common"&gt;&lt;com:AnnotationTitle&gt;REF_AREA&lt;/com:AnnotationTitle&gt;&lt;com:AnnotationType&gt;LAYOUT_ROW&lt;/com:AnnotationType&gt;&lt;/com:Annotation&gt;&lt;com:Annotation xmlns:com="http://www.sdmx.org/resources/sdmxml/schemas/v2_1/common"&gt;&lt;com:AnnotationTitle&gt;TIME&lt;/com:AnnotationTitle&gt;&lt;com:AnnotationType&gt;LAYOUT_COLUMN&lt;/com:AnnotationType&gt;&lt;/com:Annotation&gt;&lt;com:Annotation xmlns:com="http://www.sdmx.org/resources/sdmxml/schemas/v2_1/common"&gt;&lt;com:AnnotationTitle&gt;MEASURE,UNIT_MEASURE&lt;/com:AnnotationTitle&gt;&lt;com:AnnotationType&gt;LAYOUT_ROW_SECTION&lt;/com:AnnotationType&gt;&lt;/com:Annotation&gt;&lt;com:Annotation xmlns:com="http://www.sdmx.org/resources/sdmxml/schemas/v2_1/common"&gt;&lt;com:AnnotationTitle&gt;FREQ&lt;/com:AnnotationTitle&gt;&lt;com:AnnotationType&gt;NOT_DISPLAYED&lt;/com:AnnotationType&gt;&lt;/com:Annotation&gt;&lt;/com:Annotations&gt;&lt;com:Name xml:lang="en"&gt;Test Dataflow en&lt;/com:Name&gt;&lt;com:Name xml:lang="be"&gt;Test Dataflow be&lt;/com:Name&gt;&lt;com:Description xml:lang="en"&gt;test dataflow desc en&lt;/com:Description&gt;&lt;com:Description xml:lang="be"&gt;test dataflow desc be&lt;/com:Description&gt;&lt;str:Structure&gt;&lt;Ref id="TESTDSD" package="datastructure" class="DataStructure" agencyID="SDMX" version="1.0.0"/&gt;&lt;/str:Structure&gt;&lt;/str:Dataflow&gt;&lt;str:Dataflow xmlns:str="http://www.sdmx.org/resources/sdmxml/schemas/v2_1/structure" xmlns:com="http://www.sdmx.org/resources/sdmxml/schemas/v2_1/common" id="TESTDF2" urn="urn:sdmx:org.sdmx.infomodel.datastructure.Dataflow=SDMX:TESTDF2(2.0.0)" isExternalReference="false" agencyID="SDMX" isFinal="false" version="2.0.0"&gt;&lt;com:Annotations&gt;&lt;com:Annotation xmlns:com="http://www.sdmx.org/resources/sdmxml/schemas/v2_1/common"&gt;&lt;com:AnnotationTitle&gt;FREQ&lt;/com:AnnotationTitle&gt;&lt;com:AnnotationType&gt;LAYOUT_ROW_SECTION&lt;/com:AnnotationType&gt;&lt;/com:Annotation&gt;&lt;/com:Annotations&gt;&lt;com:Name xml:lang="en"&gt;Test Dataflow 2&lt;/com:Name&gt;&lt;com:Name xml:lang="be"&gt;Test Dataflow 2 be&lt;/com:Name&gt;&lt;com:Description xml:lang="en"&gt;test dataflow desc 2 en&lt;/com:Description&gt;&lt;com:Description xml:lang="be"&gt;test dataflow desc 2 be&lt;/com:Description&gt;&lt;str:Structure&gt;&lt;Ref id="TESTDSD" package="datastructure" class="DataStructure" agencyID="SDMX" version="1.0.0"/&gt;&lt;/str:Structure&gt;&lt;/str:Dataflow&gt;&lt;/str:Dataflows&gt;&lt;str:Categorisations&gt;&lt;str:Categorisation xmlns:str="http://www.sdmx.org/resources/sdmxml/schemas/v2_1/structure" xmlns:com="http://www.sdmx.org/resources/sdmxml/schemas/v2_1/common" id="TEST_TESTDF" urn="urn:sdmx:org.sdmx.infomodel.categoryscheme.Categorisation=SDMX:TEST_TESTDF(1.0.0)" agencyID="SDMX" version="1.0.0" isFinal="false"&gt;&lt;com:Name xml:lang="en"&gt;Test Dataflow en for TEST&lt;/com:Name&gt;&lt;str:Source&gt;&lt;Ref id="TESTDF" version="1.0.0" agencyID="SDMX" package="datastructure" class="Dataflow"/&gt;&lt;/str:Source&gt;&lt;str:Target&gt;&lt;Ref id="TEST" maintainableParentID="SDMXCAT" maintainableParentVersion="1.0.0" agencyID="SDMX" package="categoryscheme" class="Category"/&gt;&lt;/str:Target&gt;&lt;/str:Categorisation&gt;&lt;str:Categorisation xmlns:str="http://www.sdmx.org/resources/sdmxml/schemas/v2_1/structure" xmlns:com="http://www.sdmx.org/resources/sdmxml/schemas/v2_1/common" id="TEST_TESTDF2" urn="urn:sdmx:org.sdmx.infomodel.categoryscheme.Categorisation=SDMX:TEST_TESTDF2(2.0.0)" agencyID="SDMX" version="2.0.0" isFinal="false"&gt;&lt;com:Name xml:lang="en"&gt;Test Dataflow 2 for TEST&lt;/com:Name&gt;&lt;str:Source&gt;&lt;Ref id="TESTDF2" version="2.0.0" agencyID="SDMX" package="datastructure" class="Dataflow"/&gt;&lt;/str:Source&gt;&lt;str:Target&gt;&lt;Ref id="TEST" maintainableParentID="SDMXCAT" maintainableParentVersion="1.0.0" agencyID="SDMX" package="categoryscheme" class="Category"/&gt;&lt;/str:Target&gt;&lt;/str:Categorisation&gt;&lt;/str:Categorisations&gt;&lt;str:Codelists&gt;&lt;str:Codelist xmlns:mes="http://www.sdmx.org/resources/sdmxml/schemas/v2_1/message" xmlns:com="http://www.sdmx.org/resources/sdmxml/schemas/v2_1/common" xmlns:str="http://www.sdmx.org/resources/sdmxml/schemas/v2_1/structure" id="CL_FREQ" urn="urn:sdmx:org.sdmx.infomodel.codelist.Codelist=SDMX:CL_FREQ(2.0.0)" agencyID="SDMX" isFinal="false" version="2.0.0"&gt;&lt;com:Name xml:lang="en"&gt;Code list for frequency&lt;/com:Name&gt;&lt;com:Description xml:lang="en"&gt;&lt;/com:Description&gt;&lt;str:Code id="A" urn="urn:sdmx:org.sdmx.infomodel.codelist.Code=SDMX:CL_FREQ(2.0.0).A"&gt;&lt;com:Name xml:lang="en"&gt;Annual&lt;/com:Name&gt;&lt;com:Description xml:lang="en"&gt;To be used for data collected or disseminated every year.&lt;/com:Description&gt;&lt;/str:Code&gt;&lt;str:Code id="S" urn="urn:sdmx:org.sdmx.infomodel.codelist.Code=SDMX:CL_FREQ(2.0.0).S"&gt;&lt;com:Name xml:lang="en"&gt;Half-yearly, semester&lt;/com:Name&gt;&lt;com:Description xml:lang="en"&gt;To be used for data collected or disseminated every semester.&lt;/com:Description&gt;&lt;/str:Code&gt;&lt;str:Code id="Q" urn="urn:sdmx:org.sdmx.infomodel.codelist.Code=SDMX:CL_FREQ(2.0.0).Q"&gt;&lt;com:Name xml:lang="en"&gt;Quarterly&lt;/com:Name&gt;&lt;com:Description xml:lang="en"&gt;To be used for data collected or disseminated every quarter.&lt;/com:Description&gt;&lt;/str:Code&gt;&lt;str:Code id="M" urn="urn:sdmx:org.sdmx.infomodel.codelist.Code=SDMX:CL_FREQ(2.0.0).M"&gt;&lt;com:Name xml:lang="en"&gt;Monthly&lt;/com:Name&gt;&lt;com:Description xml:lang="en"&gt;To be used for data collected or disseminated every month.&lt;/com:Description&gt;&lt;/str:Code&gt;&lt;str:Code id="W" urn="urn:sdmx:org.sdmx.infomodel.codelist.Code=SDMX:CL_FREQ(2.0.0).W"&gt;&lt;com:Name xml:lang="en"&gt;Weekly&lt;/com:Name&gt;&lt;com:Description xml:lang="en"&gt;To be used for data collected or disseminated every week.&lt;/com:Description&gt;&lt;/str:Code&gt;&lt;str:Code id="D" urn="urn:sdmx:org.sdmx.infomodel.codelist.Code=SDMX:CL_FREQ(2.0.0).D"&gt;&lt;com:Name xml:lang="en"&gt;Daily&lt;/com:Name&gt;&lt;com:Description xml:lang="en"&gt;To be used for data collected or disseminated  every day.&lt;/com:Description&gt;&lt;/str:Code&gt;&lt;str:Code id="H" urn="urn:sdmx:org.sdmx.infomodel.codelist.Code=SDMX:CL_FREQ(2.0.0).H"&gt;&lt;com:Name xml:lang="en"&gt;Hourly&lt;/com:Name&gt;&lt;com:Description xml:lang="en"&gt;To be used for data collected or disseminated  every hour.&lt;/com:Description&gt;&lt;/str:Code&gt;&lt;str:Code id="B" urn="urn:sdmx:org.sdmx.infomodel.codelist.Code=SDMX:CL_FREQ(2.0.0).B"&gt;&lt;com:Name xml:lang="en"&gt;Daily – business week&lt;/com:Name&gt;&lt;com:Description xml:lang="en"&gt;Similar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weekend.&lt;/com:Description&gt;&lt;/str:Code&gt;&lt;str:Code id="N" urn="urn:sdmx:org.sdmx.infomodel.codelist.Code=SDMX:CL_FREQ(2.0.0).N"&gt;&lt;com:Name xml:lang="en"&gt;Minutely&lt;/com:Name&gt;&lt;com:Description xml:lang="en"&gt;While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observed.&lt;/com:Description&gt;&lt;/str:Code&gt;&lt;/str:Codelist&gt;&lt;str:Codelist xmlns:mes="http://www.sdmx.org/resources/sdmxml/schemas/v2_1/message" xmlns:com="http://www.sdmx.org/resources/sdmxml/schemas/v2_1/common" xmlns:str="http://www.sdmx.org/resources/sdmxml/schemas/v2_1/structure" id="CL_AREA" urn="urn:sdmx:org.sdmx.infomodel.codelist.Codelist=SDMX:CL_AREA(1.0.0)" agencyID="SDMX" isFinal="false" version="1.0.0"&gt;&lt;com:Name xml:lang="en"&gt;Code list for area codes&lt;/com:Name&gt;&lt;com:Description xml:lang="en"&gt;&lt;/com:Description&gt;&lt;str:Code id="AD" urn="urn:sdmx:org.sdmx.infomodel.codelist.Code=SDMX:CL_AREA(1.0.0).AD"&gt;&lt;com:Name xml:lang="en"&gt;Andorra&lt;/com:Name&gt;&lt;/str:Code&gt;&lt;str:Code id="AE" urn="urn:sdmx:org.sdmx.infomodel.codelist.Code=SDMX:CL_AREA(1.0.0).AE"&gt;&lt;com:Name xml:lang="en"&gt;United Arab Emirates&lt;/com:Name&gt;&lt;/str:Code&gt;&lt;str:Code id="AF" urn="urn:sdmx:org.sdmx.infomodel.codelist.Code=SDMX:CL_AREA(1.0.0).AF"&gt;&lt;com:Name xml:lang="en"&gt;Afghanistan&lt;/com:Name&gt;&lt;/str:Code&gt;&lt;str:Code id="AG" urn="urn:sdmx:org.sdmx.infomodel.codelist.Code=SDMX:CL_AREA(1.0.0).AG"&gt;&lt;com:Name xml:lang="en"&gt;Antigua and Barbuda&lt;/com:Name&gt;&lt;/str:Code&gt;&lt;str:Code id="AI" urn="urn:sdmx:org.sdmx.infomodel.codelist.Code=SDMX:CL_AREA(1.0.0).AI"&gt;&lt;com:Name xml:lang="en"&gt;Anguilla&lt;/com:Name&gt;&lt;/str:Code&gt;&lt;str:Code id="AL" urn="urn:sdmx:org.sdmx.infomodel.codelist.Code=SDMX:CL_AREA(1.0.0).AL"&gt;&lt;com:Name xml:lang="en"&gt;Albania&lt;/com:Name&gt;&lt;/str:Code&gt;&lt;str:Code id="AM" urn="urn:sdmx:org.sdmx.infomodel.codelist.Code=SDMX:CL_AREA(1.0.0).AM"&gt;&lt;com:Name xml:lang="en"&gt;Armenia&lt;/com:Name&gt;&lt;/str:Code&gt;&lt;str:Code id="AO" urn="urn:sdmx:org.sdmx.infomodel.codelist.Code=SDMX:CL_AREA(1.0.0).AO"&gt;&lt;com:Name xml:lang="en"&gt;Angola&lt;/com:Name&gt;&lt;/str:Code&gt;&lt;str:Code id="AQ" urn="urn:sdmx:org.sdmx.infomodel.codelist.Code=SDMX:CL_AREA(1.0.0).AQ"&gt;&lt;com:Name xml:lang="en"&gt;Antarctica&lt;/com:Name&gt;&lt;/str:Code&gt;&lt;str:Code id="AR" urn="urn:sdmx:org.sdmx.infomodel.codelist.Code=SDMX:CL_AREA(1.0.0).AR"&gt;&lt;com:Name xml:lang="en"&gt;Argentina&lt;/com:Name&gt;&lt;/str:Code&gt;&lt;str:Code id="AS" urn="urn:sdmx:org.sdmx.infomodel.codelist.Code=SDMX:CL_AREA(1.0.0).AS"&gt;&lt;com:Name xml:lang="en"&gt;American Samoa&lt;/com:Name&gt;&lt;/str:Code&gt;&lt;str:Code id="AT" urn="urn:sdmx:org.sdmx.infomodel.codelist.Code=SDMX:CL_AREA(1.0.0).AT"&gt;&lt;com:Name xml:lang="en"&gt;Austria&lt;/com:Name&gt;&lt;/str:Code&gt;&lt;str:Code id="AU" urn="urn:sdmx:org.sdmx.infomodel.codelist.Code=SDMX:CL_AREA(1.0.0).AU"&gt;&lt;com:Name xml:lang="en"&gt;Australia&lt;/com:Name&gt;&lt;/str:Code&gt;&lt;str:Code id="AW" urn="urn:sdmx:org.sdmx.infomodel.codelist.Code=SDMX:CL_AREA(1.0.0).AW"&gt;&lt;com:Name xml:lang="en"&gt;Aruba&lt;/com:Name&gt;&lt;/str:Code&gt;&lt;str:Code id="AX" urn="urn:sdmx:org.sdmx.infomodel.codelist.Code=SDMX:CL_AREA(1.0.0).AX"&gt;&lt;com:Name xml:lang="en"&gt;Åland Islands&lt;/com:Name&gt;&lt;/str:Code&gt;&lt;str:Code id="AZ" urn="urn:sdmx:org.sdmx.infomodel.codelist.Code=SDMX:CL_AREA(1.0.0).AZ"&gt;&lt;com:Name xml:lang="en"&gt;Azerbaijan&lt;/com:Name&gt;&lt;/str:Code&gt;&lt;str:Code id="BA" urn="urn:sdmx:org.sdmx.infomodel.codelist.Code=SDMX:CL_AREA(1.0.0).BA"&gt;&lt;com:Name xml:lang="en"&gt;Bosnia and Herzegovina&lt;/com:Name&gt;&lt;/str:Code&gt;&lt;str:Code id="BB" urn="urn:sdmx:org.sdmx.infomodel.codelist.Code=SDMX:CL_AREA(1.0.0).BB"&gt;&lt;com:Name xml:lang="en"&gt;Barbados&lt;/com:Name&gt;&lt;/str:Code&gt;&lt;str:Code id="BD" urn="urn:sdmx:org.sdmx.infomodel.codelist.Code=SDMX:CL_AREA(1.0.0).BD"&gt;&lt;com:Name xml:lang="en"&gt;Bangladesh&lt;/com:Name&gt;&lt;/str:Code&gt;&lt;str:Code id="BE" urn="urn:sdmx:org.sdmx.infomodel.codelist.Code=SDMX:CL_AREA(1.0.0).BE"&gt;&lt;com:Name xml:lang="en"&gt;Belgium&lt;/com:Name&gt;&lt;/str:Code&gt;&lt;str:Code id="BF" urn="urn:sdmx:org.sdmx.infomodel.codelist.Code=SDMX:CL_AREA(1.0.0).BF"&gt;&lt;com:Name xml:lang="en"&gt;Burkina Faso&lt;/com:Name&gt;&lt;/str:Code&gt;&lt;str:Code id="BG" urn="urn:sdmx:org.sdmx.infomodel.codelist.Code=SDMX:CL_AREA(1.0.0).BG"&gt;&lt;com:Name xml:lang="en"&gt;Bulgaria&lt;/com:Name&gt;&lt;/str:Code&gt;&lt;str:Code id="BH" urn="urn:sdmx:org.sdmx.infomodel.codelist.Code=SDMX:CL_AREA(1.0.0).BH"&gt;&lt;com:Name xml:lang="en"&gt;Bahrain&lt;/com:Name&gt;&lt;/str:Code&gt;&lt;str:Code id="BI" urn="urn:sdmx:org.sdmx.infomodel.codelist.Code=SDMX:CL_AREA(1.0.0).BI"&gt;&lt;com:Name xml:lang="en"&gt;Burundi&lt;/com:Name&gt;&lt;/str:Code&gt;&lt;str:Code id="BJ" urn="urn:sdmx:org.sdmx.infomodel.codelist.Code=SDMX:CL_AREA(1.0.0).BJ"&gt;&lt;com:Name xml:lang="en"&gt;Benin&lt;/com:Name&gt;&lt;/str:Code&gt;&lt;str:Code id="BL" urn="urn:sdmx:org.sdmx.infomodel.codelist.Code=SDMX:CL_AREA(1.0.0).BL"&gt;&lt;com:Name xml:lang="en"&gt;Saint Barthélemy&lt;/com:Name&gt;&lt;/str:Code&gt;&lt;str:Code id="BM" urn="urn:sdmx:org.sdmx.infomodel.codelist.Code=SDMX:CL_AREA(1.0.0).BM"&gt;&lt;com:Name xml:lang="en"&gt;Bermuda&lt;/com:Name&gt;&lt;/str:Code&gt;&lt;str:Code id="BN" urn="urn:sdmx:org.sdmx.infomodel.codelist.Code=SDMX:CL_AREA(1.0.0).BN"&gt;&lt;com:Name xml:lang="en"&gt;Brunei Darussalam&lt;/com:Name&gt;&lt;/str:Code&gt;&lt;str:Code id="BO" urn="urn:sdmx:org.sdmx.infomodel.codelist.Code=SDMX:CL_AREA(1.0.0).BO"&gt;&lt;com:Name xml:lang="en"&gt;Bolivia (Plurinational State of)&lt;/com:Name&gt;&lt;/str:Code&gt;&lt;str:Code id="BQ" urn="urn:sdmx:org.sdmx.infomodel.codelist.Code=SDMX:CL_AREA(1.0.0).BQ"&gt;&lt;com:Name xml:lang="en"&gt;Bonaire, Sint Eustatius and Saba&lt;/com:Name&gt;&lt;/str:Code&gt;&lt;str:Code id="BR" urn="urn:sdmx:org.sdmx.infomodel.codelist.Code=SDMX:CL_AREA(1.0.0).BR"&gt;&lt;com:Name xml:lang="en"&gt;Brazil&lt;/com:Name&gt;&lt;/str:Code&gt;&lt;str:Code id="BS" urn="urn:sdmx:org.sdmx.infomodel.codelist.Code=SDMX:CL_AREA(1.0.0).BS"&gt;&lt;com:Name xml:lang="en"&gt;Bahamas&lt;/com:Name&gt;&lt;/str:Code&gt;&lt;str:Code id="BT" urn="urn:sdmx:org.sdmx.infomodel.codelist.Code=SDMX:CL_AREA(1.0.0).BT"&gt;&lt;com:Name xml:lang="en"&gt;Bhutan&lt;/com:Name&gt;&lt;/str:Code&gt;&lt;str:Code id="BV" urn="urn:sdmx:org.sdmx.infomodel.codelist.Code=SDMX:CL_AREA(1.0.0).BV"&gt;&lt;com:Name xml:lang="en"&gt;Bouvet Island&lt;/com:Name&gt;&lt;/str:Code&gt;&lt;str:Code id="BW" urn="urn:sdmx:org.sdmx.infomodel.codelist.Code=SDMX:CL_AREA(1.0.0).BW"&gt;&lt;com:Name xml:lang="en"&gt;Botswana&lt;/com:Name&gt;&lt;/str:Code&gt;&lt;str:Code id="BY" urn="urn:sdmx:org.sdmx.infomodel.codelist.Code=SDMX:CL_AREA(1.0.0).BY"&gt;&lt;com:Name xml:lang="en"&gt;Belarus&lt;/com:Name&gt;&lt;/str:Code&gt;&lt;str:Code id="BZ" urn="urn:sdmx:org.sdmx.infomodel.codelist.Code=SDMX:CL_AREA(1.0.0).BZ"&gt;&lt;com:Name xml:lang="en"&gt;Belize&lt;/com:Name&gt;&lt;/str:Code&gt;&lt;str:Code id="CA" urn="urn:sdmx:org.sdmx.infomodel.codelist.Code=SDMX:CL_AREA(1.0.0).CA"&gt;&lt;com:Name xml:lang="en"&gt;Canada&lt;/com:Name&gt;&lt;/str:Code&gt;&lt;str:Code id="CC" urn="urn:sdmx:org.sdmx.infomodel.codelist.Code=SDMX:CL_AREA(1.0.0).CC"&gt;&lt;com:Name xml:lang="en"&gt;Cocos (Keeling) Islands&lt;/com:Name&gt;&lt;/str:Code&gt;&lt;str:Code id="CD" urn="urn:sdmx:org.sdmx.infomodel.codelist.Code=SDMX:CL_AREA(1.0.0).CD"&gt;&lt;com:Name xml:lang="en"&gt;Congo, Democratic Republic of the&lt;/com:Name&gt;&lt;/str:Code&gt;&lt;str:Code id="CF" urn="urn:sdmx:org.sdmx.infomodel.codelist.Code=SDMX:CL_AREA(1.0.0).CF"&gt;&lt;com:Name xml:lang="en"&gt;Central African Republic&lt;/com:Name&gt;&lt;/str:Code&gt;&lt;str:Code id="CG" urn="urn:sdmx:org.sdmx.infomodel.codelist.Code=SDMX:CL_AREA(1.0.0).CG"&gt;&lt;com:Name xml:lang="en"&gt;Congo&lt;/com:Name&gt;&lt;/str:Code&gt;&lt;str:Code id="CH" urn="urn:sdmx:org.sdmx.infomodel.codelist.Code=SDMX:CL_AREA(1.0.0).CH"&gt;&lt;com:Name xml:lang="en"&gt;Switzerland&lt;/com:Name&gt;&lt;/str:Code&gt;&lt;str:Code id="CI" urn="urn:sdmx:org.sdmx.infomodel.codelist.Code=SDMX:CL_AREA(1.0.0).CI"&gt;&lt;com:Name xml:lang="en"&gt;Côte d'Ivoire&lt;/com:Name&gt;&lt;/str:Code&gt;&lt;str:Code id="CK" urn="urn:sdmx:org.sdmx.infomodel.codelist.Code=SDMX:CL_AREA(1.0.0).CK"&gt;&lt;com:Name xml:lang="en"&gt;Cook Islands&lt;/com:Name&gt;&lt;/str:Code&gt;&lt;str:Code id="CL" urn="urn:sdmx:org.sdmx.infomodel.codelist.Code=SDMX:CL_AREA(1.0.0).CL"&gt;&lt;com:Name xml:lang="en"&gt;Chile&lt;/com:Name&gt;&lt;/str:Code&gt;&lt;str:Code id="CM" urn="urn:sdmx:org.sdmx.infomodel.codelist.Code=SDMX:CL_AREA(1.0.0).CM"&gt;&lt;com:Name xml:lang="en"&gt;Cameroon&lt;/com:Name&gt;&lt;/str:Code&gt;&lt;str:Code id="CN" urn="urn:sdmx:org.sdmx.infomodel.codelist.Code=SDMX:CL_AREA(1.0.0).CN"&gt;&lt;com:Name xml:lang="en"&gt;China&lt;/com:Name&gt;&lt;/str:Code&gt;&lt;str:Code id="CO" urn="urn:sdmx:org.sdmx.infomodel.codelist.Code=SDMX:CL_AREA(1.0.0).CO"&gt;&lt;com:Name xml:lang="en"&gt;Colombia&lt;/com:Name&gt;&lt;/str:Code&gt;&lt;str:Code id="CR" urn="urn:sdmx:org.sdmx.infomodel.codelist.Code=SDMX:CL_AREA(1.0.0).CR"&gt;&lt;com:Name xml:lang="en"&gt;Costa Rica&lt;/com:Name&gt;&lt;/str:Code&gt;&lt;str:Code id="CU" urn="urn:sdmx:org.sdmx.infomodel.codelist.Code=SDMX:CL_AREA(1.0.0).CU"&gt;&lt;com:Name xml:lang="en"&gt;Cuba&lt;/com:Name&gt;&lt;/str:Code&gt;&lt;str:Code id="CV" urn="urn:sdmx:org.sdmx.infomodel.codelist.Code=SDMX:CL_AREA(1.0.0).CV"&gt;&lt;com:Name xml:lang="en"&gt;Cabo Verde&lt;/com:Name&gt;&lt;/str:Code&gt;&lt;str:Code id="CW" urn="urn:sdmx:org.sdmx.infomodel.codelist.Code=SDMX:CL_AREA(1.0.0).CW"&gt;&lt;com:Name xml:lang="en"&gt;Curaçao&lt;/com:Name&gt;&lt;/str:Code&gt;&lt;str:Code id="CX" urn="urn:sdmx:org.sdmx.infomodel.codelist.Code=SDMX:CL_AREA(1.0.0).CX"&gt;&lt;com:Name xml:lang="en"&gt;Christmas Island&lt;/com:Name&gt;&lt;/str:Code&gt;&lt;str:Code id="CY" urn="urn:sdmx:org.sdmx.infomodel.codelist.Code=SDMX:CL_AREA(1.0.0).CY"&gt;&lt;com:Name xml:lang="en"&gt;Cyprus&lt;/com:Name&gt;&lt;/str:Code&gt;&lt;str:Code id="CZ" urn="urn:sdmx:org.sdmx.infomodel.codelist.Code=SDMX:CL_AREA(1.0.0).CZ"&gt;&lt;com:Name xml:lang="en"&gt;Czechia&lt;/com:Name&gt;&lt;/str:Code&gt;&lt;str:Code id="DE" urn="urn:sdmx:org.sdmx.infomodel.codelist.Code=SDMX:CL_AREA(1.0.0).DE"&gt;&lt;com:Name xml:lang="en"&gt;Germany&lt;/com:Name&gt;&lt;/str:Code&gt;&lt;str:Code id="DJ" urn="urn:sdmx:org.sdmx.infomodel.codelist.Code=SDMX:CL_AREA(1.0.0).DJ"&gt;&lt;com:Name xml:lang="en"&gt;Djibouti&lt;/com:Name&gt;&lt;/str:Code&gt;&lt;str:Code id="DK" urn="urn:sdmx:org.sdmx.infomodel.codelist.Code=SDMX:CL_AREA(1.0.0).DK"&gt;&lt;com:Name xml:lang="en"&gt;Denmark&lt;/com:Name&gt;&lt;/str:Code&gt;&lt;str:Code id="DM" urn="urn:sdmx:org.sdmx.infomodel.codelist.Code=SDMX:CL_AREA(1.0.0).DM"&gt;&lt;com:Name xml:lang="en"&gt;Dominica&lt;/com:Name&gt;&lt;/str:Code&gt;&lt;str:Code id="DO" urn="urn:sdmx:org.sdmx.infomodel.codelist.Code=SDMX:CL_AREA(1.0.0).DO"&gt;&lt;com:Name xml:lang="en"&gt;Dominican Republic&lt;/com:Name&gt;&lt;/str:Code&gt;&lt;str:Code id="DZ" urn="urn:sdmx:org.sdmx.infomodel.codelist.Code=SDMX:CL_AREA(1.0.0).DZ"&gt;&lt;com:Name xml:lang="en"&gt;Algeria&lt;/com:Name&gt;&lt;/str:Code&gt;&lt;str:Code id="EC" urn="urn:sdmx:org.sdmx.infomodel.codelist.Code=SDMX:CL_AREA(1.0.0).EC"&gt;&lt;com:Name xml:lang="en"&gt;Ecuador&lt;/com:Name&gt;&lt;/str:Code&gt;&lt;str:Code id="EE" urn="urn:sdmx:org.sdmx.infomodel.codelist.Code=SDMX:CL_AREA(1.0.0).EE"&gt;&lt;com:Name xml:lang="en"&gt;Estonia&lt;/com:Name&gt;&lt;/str:Code&gt;&lt;str:Code id="EG" urn="urn:sdmx:org.sdmx.infomodel.codelist.Code=SDMX:CL_AREA(1.0.0).EG"&gt;&lt;com:Name xml:lang="en"&gt;Egypt&lt;/com:Name&gt;&lt;/str:Code&gt;&lt;str:Code id="EH" urn="urn:sdmx:org.sdmx.infomodel.codelist.Code=SDMX:CL_AREA(1.0.0).EH"&gt;&lt;com:Name xml:lang="en"&gt;Western Sahara&lt;/com:Name&gt;&lt;/str:Code&gt;&lt;str:Code id="ER" urn="urn:sdmx:org.sdmx.infomodel.codelist.Code=SDMX:CL_AREA(1.0.0).ER"&gt;&lt;com:Name xml:lang="en"&gt;Eritrea&lt;/com:Name&gt;&lt;/str:Code&gt;&lt;str:Code id="ES" urn="urn:sdmx:org.sdmx.infomodel.codelist.Code=SDMX:CL_AREA(1.0.0).ES"&gt;&lt;com:Name xml:lang="en"&gt;Spain&lt;/com:Name&gt;&lt;/str:Code&gt;&lt;str:Code id="ET" urn="urn:sdmx:org.sdmx.infomodel.codelist.Code=SDMX:CL_AREA(1.0.0).ET"&gt;&lt;com:Name xml:lang="en"&gt;Ethiopia&lt;/com:Name&gt;&lt;/str:Code&gt;&lt;str:Code id="FI" urn="urn:sdmx:org.sdmx.infomodel.codelist.Code=SDMX:CL_AREA(1.0.0).FI"&gt;&lt;com:Name xml:lang="en"&gt;Finland&lt;/com:Name&gt;&lt;/str:Code&gt;&lt;str:Code id="FJ" urn="urn:sdmx:org.sdmx.infomodel.codelist.Code=SDMX:CL_AREA(1.0.0).FJ"&gt;&lt;com:Name xml:lang="en"&gt;Fiji&lt;/com:Name&gt;&lt;/str:Code&gt;&lt;str:Code id="FK" urn="urn:sdmx:org.sdmx.infomodel.codelist.Code=SDMX:CL_AREA(1.0.0).FK"&gt;&lt;com:Name xml:lang="en"&gt;Falkland Islands (Malvinas)&lt;/com:Name&gt;&lt;/str:Code&gt;&lt;str:Code id="FM" urn="urn:sdmx:org.sdmx.infomodel.codelist.Code=SDMX:CL_AREA(1.0.0).FM"&gt;&lt;com:Name xml:lang="en"&gt;Micronesia (Federated States of)&lt;/com:Name&gt;&lt;/str:Code&gt;&lt;str:Code id="FO" urn="urn:sdmx:org.sdmx.infomodel.codelist.Code=SDMX:CL_AREA(1.0.0).FO"&gt;&lt;com:Name xml:lang="en"&gt;Faroe Islands&lt;/com:Name&gt;&lt;/str:Code&gt;&lt;str:Code id="FR" urn="urn:sdmx:org.sdmx.infomodel.codelist.Code=SDMX:CL_AREA(1.0.0).FR"&gt;&lt;com:Name xml:lang="en"&gt;France&lt;/com:Name&gt;&lt;/str:Code&gt;&lt;str:Code id="GA" urn="urn:sdmx:org.sdmx.infomodel.codelist.Code=SDMX:CL_AREA(1.0.0).GA"&gt;&lt;com:Name xml:lang="en"&gt;Gabon&lt;/com:Name&gt;&lt;/str:Code&gt;&lt;str:Code id="GB" urn="urn:sdmx:org.sdmx.infomodel.codelist.Code=SDMX:CL_AREA(1.0.0).GB"&gt;&lt;com:Name xml:lang="en"&gt;United Kingdom of Great Britain and Northern Ireland&lt;/com:Name&gt;&lt;/str:Code&gt;&lt;str:Code id="GD" urn="urn:sdmx:org.sdmx.infomodel.codelist.Code=SDMX:CL_AREA(1.0.0).GD"&gt;&lt;com:Name xml:lang="en"&gt;Grenada&lt;/com:Name&gt;&lt;/str:Code&gt;&lt;str:Code id="GE" urn="urn:sdmx:org.sdmx.infomodel.codelist.Code=SDMX:CL_AREA(1.0.0).GE"&gt;&lt;com:Name xml:lang="en"&gt;Georgia&lt;/com:Name&gt;&lt;/str:Code&gt;&lt;str:Code id="GF" urn="urn:sdmx:org.sdmx.infomodel.codelist.Code=SDMX:CL_AREA(1.0.0).GF"&gt;&lt;com:Name xml:lang="en"&gt;French Guiana&lt;/com:Name&gt;&lt;/str:Code&gt;&lt;str:Code id="GG" urn="urn:sdmx:org.sdmx.infomodel.codelist.Code=SDMX:CL_AREA(1.0.0).GG"&gt;&lt;com:Name xml:lang="en"&gt;Guernsey&lt;/com:Name&gt;&lt;/str:Code&gt;&lt;str:Code id="GH" urn="urn:sdmx:org.sdmx.infomodel.codelist.Code=SDMX:CL_AREA(1.0.0).GH"&gt;&lt;com:Name xml:lang="en"&gt;Ghana&lt;/com:Name&gt;&lt;/str:Code&gt;&lt;str:Code id="GI" urn="urn:sdmx:org.sdmx.infomodel.codelist.Code=SDMX:CL_AREA(1.0.0).GI"&gt;&lt;com:Name xml:lang="en"&gt;Gibraltar&lt;/com:Name&gt;&lt;/str:Code&gt;&lt;str:Code id="GL" urn="urn:sdmx:org.sdmx.infomodel.codelist.Code=SDMX:CL_AREA(1.0.0).GL"&gt;&lt;com:Name xml:lang="en"&gt;Greenland&lt;/com:Name&gt;&lt;/str:Code&gt;&lt;str:Code id="GM" urn="urn:sdmx:org.sdmx.infomodel.codelist.Code=SDMX:CL_AREA(1.0.0).GM"&gt;&lt;com:Name xml:lang="en"&gt;Gambia&lt;/com:Name&gt;&lt;/str:Code&gt;&lt;str:Code id="GN" urn="urn:sdmx:org.sdmx.infomodel.codelist.Code=SDMX:CL_AREA(1.0.0).GN"&gt;&lt;com:Name xml:lang="en"&gt;Guinea&lt;/com:Name&gt;&lt;/str:Code&gt;&lt;str:Code id="GP" urn="urn:sdmx:org.sdmx.infomodel.codelist.Code=SDMX:CL_AREA(1.0.0).GP"&gt;&lt;com:Name xml:lang="en"&gt;Guadeloupe&lt;/com:Name&gt;&lt;/str:Code&gt;&lt;str:Code id="GQ" urn="urn:sdmx:org.sdmx.infomodel.codelist.Code=SDMX:CL_AREA(1.0.0).GQ"&gt;&lt;com:Name xml:lang="en"&gt;Equatorial Guinea&lt;/com:Name&gt;&lt;/str:Code&gt;&lt;str:Code id="GR" urn="urn:sdmx:org.sdmx.infomodel.codelist.Code=SDMX:CL_AREA(1.0.0).GR"&gt;&lt;com:Name xml:lang="en"&gt;Greece&lt;/com:Name&gt;&lt;/str:Code&gt;&lt;str:Code id="GS" urn="urn:sdmx:org.sdmx.infomodel.codelist.Code=SDMX:CL_AREA(1.0.0).GS"&gt;&lt;com:Name xml:lang="en"&gt;South Georgia and the South Sandwich Islands&lt;/com:Name&gt;&lt;/str:Code&gt;&lt;str:Code id="GT" urn="urn:sdmx:org.sdmx.infomodel.codelist.Code=SDMX:CL_AREA(1.0.0).GT"&gt;&lt;com:Name xml:lang="en"&gt;Guatemala&lt;/com:Name&gt;&lt;/str:Code&gt;&lt;str:Code id="GU" urn="urn:sdmx:org.sdmx.infomodel.codelist.Code=SDMX:CL_AREA(1.0.0).GU"&gt;&lt;com:Name xml:lang="en"&gt;Guam&lt;/com:Name&gt;&lt;/str:Code&gt;&lt;str:Code id="GW" urn="urn:sdmx:org.sdmx.infomodel.codelist.Code=SDMX:CL_AREA(1.0.0).GW"&gt;&lt;com:Name xml:lang="en"&gt;Guinea-Bissau&lt;/com:Name&gt;&lt;/str:Code&gt;&lt;str:Code id="GY" urn="urn:sdmx:org.sdmx.infomodel.codelist.Code=SDMX:CL_AREA(1.0.0).GY"&gt;&lt;com:Name xml:lang="en"&gt;Guyana&lt;/com:Name&gt;&lt;/str:Code&gt;&lt;str:Code id="HK" urn="urn:sdmx:org.sdmx.infomodel.codelist.Code=SDMX:CL_AREA(1.0.0).HK"&gt;&lt;com:Name xml:lang="en"&gt;Hong Kong&lt;/com:Name&gt;&lt;/str:Code&gt;&lt;str:Code id="HM" urn="urn:sdmx:org.sdmx.infomodel.codelist.Code=SDMX:CL_AREA(1.0.0).HM"&gt;&lt;com:Name xml:lang="en"&gt;Heard Island and McDonald Islands&lt;/com:Name&gt;&lt;/str:Code&gt;&lt;str:Code id="HN" urn="urn:sdmx:org.sdmx.infomodel.codelist.Code=SDMX:CL_AREA(1.0.0).HN"&gt;&lt;com:Name xml:lang="en"&gt;Honduras&lt;/com:Name&gt;&lt;/str:Code&gt;&lt;str:Code id="HR" urn="urn:sdmx:org.sdmx.infomodel.codelist.Code=SDMX:CL_AREA(1.0.0).HR"&gt;&lt;com:Name xml:lang="en"&gt;Croatia&lt;/com:Name&gt;&lt;/str:Code&gt;&lt;str:Code id="HT" urn="urn:sdmx:org.sdmx.infomodel.codelist.Code=SDMX:CL_AREA(1.0.0).HT"&gt;&lt;com:Name xml:lang="en"&gt;Haiti&lt;/com:Name&gt;&lt;/str:Code&gt;&lt;str:Code id="HU" urn="urn:sdmx:org.sdmx.infomodel.codelist.Code=SDMX:CL_AREA(1.0.0).HU"&gt;&lt;com:Name xml:lang="en"&gt;Hungary&lt;/com:Name&gt;&lt;/str:Code&gt;&lt;str:Code id="ID" urn="urn:sdmx:org.sdmx.infomodel.codelist.Code=SDMX:CL_AREA(1.0.0).ID"&gt;&lt;com:Name xml:lang="en"&gt;Indonesia&lt;/com:Name&gt;&lt;/str:Code&gt;&lt;str:Code id="IE" urn="urn:sdmx:org.sdmx.infomodel.codelist.Code=SDMX:CL_AREA(1.0.0).IE"&gt;&lt;com:Name xml:lang="en"&gt;Ireland&lt;/com:Name&gt;&lt;/str:Code&gt;&lt;str:Code id="IL" urn="urn:sdmx:org.sdmx.infomodel.codelist.Code=SDMX:CL_AREA(1.0.0).IL"&gt;&lt;com:Name xml:lang="en"&gt;Israel&lt;/com:Name&gt;&lt;/str:Code&gt;&lt;str:Code id="IM" urn="urn:sdmx:org.sdmx.infomodel.codelist.Code=SDMX:CL_AREA(1.0.0).IM"&gt;&lt;com:Name xml:lang="en"&gt;Isle of Man&lt;/com:Name&gt;&lt;/str:Code&gt;&lt;str:Code id="IN" urn="urn:sdmx:org.sdmx.infomodel.codelist.Code=SDMX:CL_AREA(1.0.0).IN"&gt;&lt;com:Name xml:lang="en"&gt;India&lt;/com:Name&gt;&lt;/str:Code&gt;&lt;str:Code id="IO" urn="urn:sdmx:org.sdmx.infomodel.codelist.Code=SDMX:CL_AREA(1.0.0).IO"&gt;&lt;com:Name xml:lang="en"&gt;British Indian Ocean Territory&lt;/com:Name&gt;&lt;/str:Code&gt;&lt;str:Code id="IQ" urn="urn:sdmx:org.sdmx.infomodel.codelist.Code=SDMX:CL_AREA(1.0.0).IQ"&gt;&lt;com:Name xml:lang="en"&gt;Iraq&lt;/com:Name&gt;&lt;/str:Code&gt;&lt;str:Code id="IR" urn="urn:sdmx:org.sdmx.infomodel.codelist.Code=SDMX:CL_AREA(1.0.0).IR"&gt;&lt;com:Name xml:lang="en"&gt;Iran (Islamic Republic of)&lt;/com:Name&gt;&lt;/str:Code&gt;&lt;str:Code id="IS" urn="urn:sdmx:org.sdmx.infomodel.codelist.Code=SDMX:CL_AREA(1.0.0).IS"&gt;&lt;com:Name xml:lang="en"&gt;Iceland&lt;/com:Name&gt;&lt;/str:Code&gt;&lt;str:Code id="IT" urn="urn:sdmx:org.sdmx.infomodel.codelist.Code=SDMX:CL_AREA(1.0.0).IT"&gt;&lt;com:Name xml:lang="en"&gt;Italy&lt;/com:Name&gt;&lt;/str:Code&gt;&lt;str:Code id="JE" urn="urn:sdmx:org.sdmx.infomodel.codelist.Code=SDMX:CL_AREA(1.0.0).JE"&gt;&lt;com:Name xml:lang="en"&gt;Jersey&lt;/com:Name&gt;&lt;/str:Code&gt;&lt;str:Code id="JM" urn="urn:sdmx:org.sdmx.infomodel.codelist.Code=SDMX:CL_AREA(1.0.0).JM"&gt;&lt;com:Name xml:lang="en"&gt;Jamaica&lt;/com:Name&gt;&lt;/str:Code&gt;&lt;str:Code id="JO" urn="urn:sdmx:org.sdmx.infomodel.codelist.Code=SDMX:CL_AREA(1.0.0).JO"&gt;&lt;com:Name xml:lang="en"&gt;Jordan&lt;/com:Name&gt;&lt;/str:Code&gt;&lt;str:Code id="JP" urn="urn:sdmx:org.sdmx.infomodel.codelist.Code=SDMX:CL_AREA(1.0.0).JP"&gt;&lt;com:Name xml:lang="en"&gt;Japan&lt;/com:Name&gt;&lt;/str:Code&gt;&lt;str:Code id="KE" urn="urn:sdmx:org.sdmx.infomodel.codelist.Code=SDMX:CL_AREA(1.0.0).KE"&gt;&lt;com:Name xml:lang="en"&gt;Kenya&lt;/com:Name&gt;&lt;/str:Code&gt;&lt;str:Code id="KG" urn="urn:sdmx:org.sdmx.infomodel.codelist.Code=SDMX:CL_AREA(1.0.0).KG"&gt;&lt;com:Name xml:lang="en"&gt;Kyrgyzstan&lt;/com:Name&gt;&lt;/str:Code&gt;&lt;str:Code id="KH" urn="urn:sdmx:org.sdmx.infomodel.codelist.Code=SDMX:CL_AREA(1.0.0).KH"&gt;&lt;com:Name xml:lang="en"&gt;Cambodia&lt;/com:Name&gt;&lt;/str:Code&gt;&lt;str:Code id="KI" urn="urn:sdmx:org.sdmx.infomodel.codelist.Code=SDMX:CL_AREA(1.0.0).KI"&gt;&lt;com:Name xml:lang="en"&gt;Kiribati&lt;/com:Name&gt;&lt;/str:Code&gt;&lt;str:Code id="KM" urn="urn:sdmx:org.sdmx.infomodel.codelist.Code=SDMX:CL_AREA(1.0.0).KM"&gt;&lt;com:Name xml:lang="en"&gt;Comoros&lt;/com:Name&gt;&lt;/str:Code&gt;&lt;str:Code id="KN" urn="urn:sdmx:org.sdmx.infomodel.codelist.Code=SDMX:CL_AREA(1.0.0).KN"&gt;&lt;com:Name xml:lang="en"&gt;Saint Kitts and Nevis&lt;/com:Name&gt;&lt;/str:Code&gt;&lt;str:Code id="KP" urn="urn:sdmx:org.sdmx.infomodel.codelist.Code=SDMX:CL_AREA(1.0.0).KP"&gt;&lt;com:Name xml:lang="en"&gt;Korea (Democratic People's Republic of)&lt;/com:Name&gt;&lt;/str:Code&gt;&lt;str:Code id="KR" urn="urn:sdmx:org.sdmx.infomodel.codelist.Code=SDMX:CL_AREA(1.0.0).KR"&gt;&lt;com:Name xml:lang="en"&gt;Korea, Republic of&lt;/com:Name&gt;&lt;/str:Code&gt;&lt;str:Code id="KW" urn="urn:sdmx:org.sdmx.infomodel.codelist.Code=SDMX:CL_AREA(1.0.0).KW"&gt;&lt;com:Name xml:lang="en"&gt;Kuwait&lt;/com:Name&gt;&lt;/str:Code&gt;&lt;str:Code id="KY" urn="urn:sdmx:org.sdmx.infomodel.codelist.Code=SDMX:CL_AREA(1.0.0).KY"&gt;&lt;com:Name xml:lang="en"&gt;Cayman Islands&lt;/com:Name&gt;&lt;/str:Code&gt;&lt;str:Code id="KZ" urn="urn:sdmx:org.sdmx.infomodel.codelist.Code=SDMX:CL_AREA(1.0.0).KZ"&gt;&lt;com:Name xml:lang="en"&gt;Kazakhstan&lt;/com:Name&gt;&lt;/str:Code&gt;&lt;str:Code id="LA" urn="urn:sdmx:org.sdmx.infomodel.codelist.Code=SDMX:CL_AREA(1.0.0).LA"&gt;&lt;com:Name xml:lang="en"&gt;Lao People's Democratic Republic&lt;/com:Name&gt;&lt;/str:Code&gt;&lt;str:Code id="LB" urn="urn:sdmx:org.sdmx.infomodel.codelist.Code=SDMX:CL_AREA(1.0.0).LB"&gt;&lt;com:Name xml:lang="en"&gt;Lebanon&lt;/com:Name&gt;&lt;/str:Code&gt;&lt;str:Code id="LC" urn="urn:sdmx:org.sdmx.infomodel.codelist.Code=SDMX:CL_AREA(1.0.0).LC"&gt;&lt;com:Name xml:lang="en"&gt;Saint Lucia&lt;/com:Name&gt;&lt;/str:Code&gt;&lt;str:Code id="LI" urn="urn:sdmx:org.sdmx.infomodel.codelist.Code=SDMX:CL_AREA(1.0.0).LI"&gt;&lt;com:Name xml:lang="en"&gt;Liechtenstein&lt;/com:Name&gt;&lt;/str:Code&gt;&lt;str:Code id="LK" urn="urn:sdmx:org.sdmx.infomodel.codelist.Code=SDMX:CL_AREA(1.0.0).LK"&gt;&lt;com:Name xml:lang="en"&gt;Sri Lanka&lt;/com:Name&gt;&lt;/str:Code&gt;&lt;str:Code id="LR" urn="urn:sdmx:org.sdmx.infomodel.codelist.Code=SDMX:CL_AREA(1.0.0).LR"&gt;&lt;com:Name xml:lang="en"&gt;Liberia&lt;/com:Name&gt;&lt;/str:Code&gt;&lt;str:Code id="LS" urn="urn:sdmx:org.sdmx.infomodel.codelist.Code=SDMX:CL_AREA(1.0.0).LS"&gt;&lt;com:Name xml:lang="en"&gt;Lesotho&lt;/com:Name&gt;&lt;/str:Code&gt;&lt;str:Code id="LT" urn="urn:sdmx:org.sdmx.infomodel.codelist.Code=SDMX:CL_AREA(1.0.0).LT"&gt;&lt;com:Name xml:lang="en"&gt;Lithuania&lt;/com:Name&gt;&lt;/str:Code&gt;&lt;str:Code id="LU" urn="urn:sdmx:org.sdmx.infomodel.codelist.Code=SDMX:CL_AREA(1.0.0).LU"&gt;&lt;com:Name xml:lang="en"&gt;Luxembourg&lt;/com:Name&gt;&lt;/str:Code&gt;&lt;str:Code id="LV" urn="urn:sdmx:org.sdmx.infomodel.codelist.Code=SDMX:CL_AREA(1.0.0).LV"&gt;&lt;com:Name xml:lang="en"&gt;Latvia&lt;/com:Name&gt;&lt;/str:Code&gt;&lt;str:Code id="LY" urn="urn:sdmx:org.sdmx.infomodel.codelist.Code=SDMX:CL_AREA(1.0.0).LY"&gt;&lt;com:Name xml:lang="en"&gt;Libya&lt;/com:Name&gt;&lt;/str:Code&gt;&lt;str:Code id="MA" urn="urn:sdmx:org.sdmx.infomodel.codelist.Code=SDMX:CL_AREA(1.0.0).MA"&gt;&lt;com:Name xml:lang="en"&gt;Morocco&lt;/com:Name&gt;&lt;/str:Code&gt;&lt;str:Code id="MC" urn="urn:sdmx:org.sdmx.infomodel.codelist.Code=SDMX:CL_AREA(1.0.0).MC"&gt;&lt;com:Name xml:lang="en"&gt;Monaco&lt;/com:Name&gt;&lt;/str:Code&gt;&lt;str:Code id="MD" urn="urn:sdmx:org.sdmx.infomodel.codelist.Code=SDMX:CL_AREA(1.0.0).MD"&gt;&lt;com:Name xml:lang="en"&gt;Moldova, Republic of&lt;/com:Name&gt;&lt;/str:Code&gt;&lt;str:Code id="ME" urn="urn:sdmx:org.sdmx.infomodel.codelist.Code=SDMX:CL_AREA(1.0.0).ME"&gt;&lt;com:Name xml:lang="en"&gt;Montenegro&lt;/com:Name&gt;&lt;/str:Code&gt;&lt;str:Code id="MF" urn="urn:sdmx:org.sdmx.infomodel.codelist.Code=SDMX:CL_AREA(1.0.0).MF"&gt;&lt;com:Name xml:lang="en"&gt;Saint Martin (French part)&lt;/com:Name&gt;&lt;/str:Code&gt;&lt;str:Code id="MG" urn="urn:sdmx:org.sdmx.infomodel.codelist.Code=SDMX:CL_AREA(1.0.0).MG"&gt;&lt;com:Name xml:lang="en"&gt;Madagascar&lt;/com:Name&gt;&lt;/str:Code&gt;&lt;str:Code id="MH" urn="urn:sdmx:org.sdmx.infomodel.codelist.Code=SDMX:CL_AREA(1.0.0).MH"&gt;&lt;com:Name xml:lang="en"&gt;Marshall Islands&lt;/com:Name&gt;&lt;/str:Code&gt;&lt;str:Code id="MK" urn="urn:sdmx:org.sdmx.infomodel.codelist.Code=SDMX:CL_AREA(1.0.0).MK"&gt;&lt;com:Name xml:lang="en"&gt;Macedonia, the former Yugoslav Republic of&lt;/com:Name&gt;&lt;/str:Code&gt;&lt;str:Code id="ML" urn="urn:sdmx:org.sdmx.infomodel.codelist.Code=SDMX:CL_AREA(1.0.0).ML"&gt;&lt;com:Name xml:lang="en"&gt;Mali&lt;/com:Name&gt;&lt;/str:Code&gt;&lt;str:Code id="MM" urn="urn:sdmx:org.sdmx.infomodel.codelist.Code=SDMX:CL_AREA(1.0.0).MM"&gt;&lt;com:Name xml:lang="en"&gt;Myanmar&lt;/com:Name&gt;&lt;/str:Code&gt;&lt;str:Code id="MN" urn="urn:sdmx:org.sdmx.infomodel.codelist.Code=SDMX:CL_AREA(1.0.0).MN"&gt;&lt;com:Name xml:lang="en"&gt;Mongolia&lt;/com:Name&gt;&lt;/str:Code&gt;&lt;str:Code id="MO" urn="urn:sdmx:org.sdmx.infomodel.codelist.Code=SDMX:CL_AREA(1.0.0).MO"&gt;&lt;com:Name xml:lang="en"&gt;Macao&lt;/com:Name&gt;&lt;/str:Code&gt;&lt;str:Code id="MP" urn="urn:sdmx:org.sdmx.infomodel.codelist.Code=SDMX:CL_AREA(1.0.0).MP"&gt;&lt;com:Name xml:lang="en"&gt;Northern Mariana Islands&lt;/com:Name&gt;&lt;/str:Code&gt;&lt;str:Code id="MQ" urn="urn:sdmx:org.sdmx.infomodel.codelist.Code=SDMX:CL_AREA(1.0.0).MQ"&gt;&lt;com:Name xml:lang="en"&gt;Martinique&lt;/com:Name&gt;&lt;/str:Code&gt;&lt;str:Code id="MR" urn="urn:sdmx:org.sdmx.infomodel.codelist.Code=SDMX:CL_AREA(1.0.0).MR"&gt;&lt;com:Name xml:lang="en"&gt;Mauritania&lt;/com:Name&gt;&lt;/str:Code&gt;&lt;str:Code id="MS" urn="urn:sdmx:org.sdmx.infomodel.codelist.Code=SDMX:CL_AREA(1.0.0).MS"&gt;&lt;com:Name xml:lang="en"&gt;Montserrat&lt;/com:Name&gt;&lt;/str:Code&gt;&lt;str:Code id="MT" urn="urn:sdmx:org.sdmx.infomodel.codelist.Code=SDMX:CL_AREA(1.0.0).MT"&gt;&lt;com:Name xml:lang="en"&gt;Malta&lt;/com:Name&gt;&lt;/str:Code&gt;&lt;str:Code id="MU" urn="urn:sdmx:org.sdmx.infomodel.codelist.Code=SDMX:CL_AREA(1.0.0).MU"&gt;&lt;com:Name xml:lang="en"&gt;Mauritius&lt;/com:Name&gt;&lt;/str:Code&gt;&lt;str:Code id="MV" urn="urn:sdmx:org.sdmx.infomodel.codelist.Code=SDMX:CL_AREA(1.0.0).MV"&gt;&lt;com:Name xml:lang="en"&gt;Maldives&lt;/com:Name&gt;&lt;/str:Code&gt;&lt;str:Code id="MW" urn="urn:sdmx:org.sdmx.infomodel.codelist.Code=SDMX:CL_AREA(1.0.0).MW"&gt;&lt;com:Name xml:lang="en"&gt;Malawi&lt;/com:Name&gt;&lt;/str:Code&gt;&lt;str:Code id="MX" urn="urn:sdmx:org.sdmx.infomodel.codelist.Code=SDMX:CL_AREA(1.0.0).MX"&gt;&lt;com:Name xml:lang="en"&gt;Mexico&lt;/com:Name&gt;&lt;/str:Code&gt;&lt;str:Code id="MY" urn="urn:sdmx:org.sdmx.infomodel.codelist.Code=SDMX:CL_AREA(1.0.0).MY"&gt;&lt;com:Name xml:lang="en"&gt;Malaysia&lt;/com:Name&gt;&lt;/str:Code&gt;&lt;str:Code id="MZ" urn="urn:sdmx:org.sdmx.infomodel.codelist.Code=SDMX:CL_AREA(1.0.0).MZ"&gt;&lt;com:Name xml:lang="en"&gt;Mozambique&lt;/com:Name&gt;&lt;/str:Code&gt;&lt;str:Code id="NA" urn="urn:sdmx:org.sdmx.infomodel.codelist.Code=SDMX:CL_AREA(1.0.0).NA"&gt;&lt;com:Name xml:lang="en"&gt;Namibia&lt;/com:Name&gt;&lt;/str:Code&gt;&lt;str:Code id="NC" urn="urn:sdmx:org.sdmx.infomodel.codelist.Code=SDMX:CL_AREA(1.0.0).NC"&gt;&lt;com:Name xml:lang="en"&gt;New Caledonia&lt;/com:Name&gt;&lt;/str:Code&gt;&lt;str:Code id="NE" urn="urn:sdmx:org.sdmx.infomodel.codelist.Code=SDMX:CL_AREA(1.0.0).NE"&gt;&lt;com:Name xml:lang="en"&gt;Niger&lt;/com:Name&gt;&lt;/str:Code&gt;&lt;str:Code id="NF" urn="urn:sdmx:org.sdmx.infomodel.codelist.Code=SDMX:CL_AREA(1.0.0).NF"&gt;&lt;com:Name xml:lang="en"&gt;Norfolk Island&lt;/com:Name&gt;&lt;/str:Code&gt;&lt;str:Code id="NG" urn="urn:sdmx:org.sdmx.infomodel.codelist.Code=SDMX:CL_AREA(1.0.0).NG"&gt;&lt;com:Name xml:lang="en"&gt;Nigeria&lt;/com:Name&gt;&lt;/str:Code&gt;&lt;str:Code id="NI" urn="urn:sdmx:org.sdmx.infomodel.codelist.Code=SDMX:CL_AREA(1.0.0).NI"&gt;&lt;com:Name xml:lang="en"&gt;Nicaragua&lt;/com:Name&gt;&lt;/str:Code&gt;&lt;str:Code id="NL" urn="urn:sdmx:org.sdmx.infomodel.codelist.Code=SDMX:CL_AREA(1.0.0).NL"&gt;&lt;com:Name xml:lang="en"&gt;Netherlands&lt;/com:Name&gt;&lt;/str:Code&gt;&lt;str:Code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</si>
</sst>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89" x14ac:knownFonts="1">
    <font>
      <sz val="8"/>
      <name val="Arial"/>
    </font>
    <font>
      <sz val="10"/>
      <color theme="1"/>
      <name val="Arial"/>
      <family val="2"/>
    </font>
    <font>
      <sz val="10"/>
      <color theme="1"/>
      <name val="Arial"/>
      <family val="2"/>
    </font>
    <font>
      <sz val="11"/>
      <color indexed="8"/>
      <name val="Calibri"/>
      <family val="2"/>
    </font>
    <font>
      <sz val="8"/>
      <name val="Arial"/>
      <family val="2"/>
    </font>
    <font>
      <u/>
      <sz val="8"/>
      <color indexed="12"/>
      <name val="Arial"/>
      <family val="2"/>
    </font>
    <font>
      <sz val="9"/>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b/>
      <sz val="10"/>
      <name val="Arial"/>
      <family val="2"/>
    </font>
    <font>
      <sz val="10"/>
      <name val="Arial"/>
      <family val="2"/>
    </font>
    <font>
      <b/>
      <sz val="8"/>
      <name val="Arial"/>
      <family val="2"/>
    </font>
    <font>
      <sz val="10"/>
      <name val="Arial"/>
      <family val="2"/>
    </font>
    <font>
      <i/>
      <sz val="9"/>
      <name val="Arial"/>
      <family val="2"/>
    </font>
    <font>
      <b/>
      <sz val="9"/>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8"/>
      <color theme="1"/>
      <name val="Arial"/>
      <family val="2"/>
    </font>
    <font>
      <b/>
      <sz val="9"/>
      <color theme="1"/>
      <name val="Calibri"/>
      <family val="2"/>
      <scheme val="minor"/>
    </font>
    <font>
      <sz val="10"/>
      <color theme="1"/>
      <name val="Calibri"/>
      <family val="2"/>
      <scheme val="minor"/>
    </font>
    <font>
      <sz val="10"/>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b/>
      <sz val="11"/>
      <color indexed="8"/>
      <name val="Calibri"/>
      <family val="2"/>
      <scheme val="minor"/>
    </font>
    <font>
      <b/>
      <sz val="11"/>
      <name val="Calibri"/>
      <family val="2"/>
      <scheme val="minor"/>
    </font>
    <font>
      <b/>
      <sz val="20"/>
      <color theme="1"/>
      <name val="Calibri"/>
      <family val="2"/>
      <scheme val="minor"/>
    </font>
    <font>
      <sz val="8"/>
      <name val="Calibri"/>
      <family val="2"/>
      <scheme val="minor"/>
    </font>
    <font>
      <sz val="9"/>
      <name val="Calibri"/>
      <family val="2"/>
      <scheme val="minor"/>
    </font>
    <font>
      <b/>
      <sz val="14"/>
      <name val="Arial"/>
      <family val="2"/>
    </font>
    <font>
      <sz val="14"/>
      <color theme="1"/>
      <name val="Courier New"/>
      <family val="3"/>
    </font>
    <font>
      <b/>
      <sz val="11"/>
      <color indexed="8"/>
      <name val="Calibri"/>
      <family val="2"/>
    </font>
    <font>
      <sz val="11"/>
      <color indexed="8"/>
      <name val="Calibri"/>
      <family val="2"/>
      <scheme val="minor"/>
    </font>
    <font>
      <sz val="28"/>
      <name val="Calibri"/>
      <family val="2"/>
      <scheme val="minor"/>
    </font>
    <font>
      <b/>
      <sz val="14"/>
      <name val="Calibri"/>
      <family val="2"/>
      <scheme val="minor"/>
    </font>
    <font>
      <b/>
      <sz val="16"/>
      <name val="Calibri"/>
      <family val="2"/>
      <scheme val="minor"/>
    </font>
    <font>
      <sz val="16"/>
      <name val="Calibri"/>
      <family val="2"/>
      <scheme val="minor"/>
    </font>
    <font>
      <sz val="16"/>
      <name val="Arial"/>
      <family val="2"/>
    </font>
    <font>
      <u/>
      <sz val="16"/>
      <color indexed="12"/>
      <name val="Arial"/>
      <family val="2"/>
    </font>
    <font>
      <u/>
      <sz val="11"/>
      <color indexed="12"/>
      <name val="Arial"/>
      <family val="2"/>
    </font>
    <font>
      <b/>
      <sz val="12"/>
      <name val="Calibri"/>
      <family val="2"/>
      <scheme val="minor"/>
    </font>
    <font>
      <sz val="12"/>
      <name val="Calibri"/>
      <family val="2"/>
      <scheme val="minor"/>
    </font>
    <font>
      <sz val="11"/>
      <name val="Arial"/>
      <family val="2"/>
    </font>
    <font>
      <sz val="11"/>
      <color indexed="12"/>
      <name val="Calibri"/>
      <family val="2"/>
      <scheme val="minor"/>
    </font>
    <font>
      <sz val="24"/>
      <name val="Calibri"/>
      <family val="2"/>
      <scheme val="minor"/>
    </font>
    <font>
      <b/>
      <sz val="14"/>
      <color indexed="8"/>
      <name val="Calibri"/>
      <family val="2"/>
      <scheme val="minor"/>
    </font>
    <font>
      <sz val="14"/>
      <color indexed="8"/>
      <name val="Calibri"/>
      <family val="2"/>
      <scheme val="minor"/>
    </font>
    <font>
      <sz val="14"/>
      <name val="Calibri"/>
      <family val="2"/>
      <scheme val="minor"/>
    </font>
    <font>
      <u/>
      <sz val="9"/>
      <color indexed="12"/>
      <name val="Arial"/>
      <family val="2"/>
    </font>
    <font>
      <sz val="9"/>
      <color indexed="81"/>
      <name val="Tahoma"/>
      <family val="2"/>
    </font>
    <font>
      <b/>
      <sz val="9"/>
      <color indexed="81"/>
      <name val="Tahoma"/>
      <family val="2"/>
    </font>
    <font>
      <b/>
      <sz val="10"/>
      <name val="Calibri"/>
      <family val="2"/>
      <scheme val="minor"/>
    </font>
    <font>
      <b/>
      <sz val="10"/>
      <color theme="1"/>
      <name val="Calibri"/>
      <family val="2"/>
      <scheme val="minor"/>
    </font>
    <font>
      <vertAlign val="superscript"/>
      <sz val="11"/>
      <name val="Calibri"/>
      <family val="2"/>
      <scheme val="minor"/>
    </font>
    <font>
      <u/>
      <sz val="20"/>
      <color indexed="12"/>
      <name val="Arial"/>
      <family val="2"/>
    </font>
    <font>
      <u/>
      <sz val="11"/>
      <color theme="10"/>
      <name val="Calibri"/>
      <family val="2"/>
      <scheme val="minor"/>
    </font>
    <font>
      <sz val="11"/>
      <color rgb="FF000000"/>
      <name val="Calibri"/>
      <family val="2"/>
      <charset val="1"/>
    </font>
    <font>
      <i/>
      <sz val="8"/>
      <name val="Arial"/>
      <family val="2"/>
    </font>
    <font>
      <u/>
      <sz val="10"/>
      <color indexed="12"/>
      <name val="Calibri"/>
      <family val="2"/>
      <scheme val="minor"/>
    </font>
    <font>
      <b/>
      <u/>
      <sz val="11"/>
      <color theme="1"/>
      <name val="Calibri"/>
      <family val="2"/>
      <scheme val="minor"/>
    </font>
    <font>
      <b/>
      <i/>
      <sz val="11"/>
      <color indexed="8"/>
      <name val="Calibri"/>
      <family val="2"/>
      <scheme val="minor"/>
    </font>
    <font>
      <b/>
      <sz val="11"/>
      <color theme="0"/>
      <name val="Calibri"/>
      <family val="2"/>
      <scheme val="minor"/>
    </font>
    <font>
      <sz val="8"/>
      <color theme="1"/>
      <name val="Arial"/>
      <family val="2"/>
    </font>
    <font>
      <b/>
      <sz val="8"/>
      <color theme="0"/>
      <name val="Arial"/>
      <family val="2"/>
    </font>
  </fonts>
  <fills count="47">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4"/>
        <bgColor theme="4"/>
      </patternFill>
    </fill>
    <fill>
      <patternFill patternType="solid">
        <fgColor rgb="FFFDE9D9"/>
        <bgColor indexed="64"/>
      </patternFill>
    </fill>
    <fill>
      <patternFill patternType="solid">
        <fgColor indexed="15"/>
        <bgColor indexed="64"/>
      </patternFill>
    </fill>
    <fill>
      <patternFill patternType="solid">
        <fgColor theme="4" tint="0.79998168889431442"/>
        <bgColor theme="4" tint="0.79998168889431442"/>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style="thin">
        <color theme="0" tint="-0.499984740745262"/>
      </top>
      <bottom style="thin">
        <color theme="0" tint="-0.499984740745262"/>
      </bottom>
      <diagonal/>
    </border>
    <border>
      <left style="thin">
        <color theme="4" tint="0.39997558519241921"/>
      </left>
      <right/>
      <top/>
      <bottom/>
      <diagonal/>
    </border>
    <border>
      <left style="hair">
        <color indexed="64"/>
      </left>
      <right style="hair">
        <color indexed="64"/>
      </right>
      <top style="hair">
        <color indexed="64"/>
      </top>
      <bottom style="hair">
        <color indexed="64"/>
      </bottom>
      <diagonal/>
    </border>
    <border>
      <left style="hair">
        <color indexed="64"/>
      </left>
      <right/>
      <top/>
      <bottom/>
      <diagonal/>
    </border>
    <border>
      <left/>
      <right/>
      <top/>
      <bottom style="thin">
        <color theme="4" tint="0.39997558519241921"/>
      </bottom>
      <diagonal/>
    </border>
    <border>
      <left style="thin">
        <color theme="4"/>
      </left>
      <right style="thin">
        <color theme="4"/>
      </right>
      <top style="thin">
        <color theme="4"/>
      </top>
      <bottom style="thin">
        <color theme="4"/>
      </bottom>
      <diagonal/>
    </border>
    <border>
      <left style="thin">
        <color theme="4"/>
      </left>
      <right style="thin">
        <color theme="4" tint="0.39997558519241921"/>
      </right>
      <top style="thin">
        <color theme="4"/>
      </top>
      <bottom style="thin">
        <color theme="4"/>
      </bottom>
      <diagonal/>
    </border>
    <border>
      <left/>
      <right style="thin">
        <color theme="4" tint="0.39997558519241921"/>
      </right>
      <top style="thin">
        <color theme="4" tint="0.39997558519241921"/>
      </top>
      <bottom style="thin">
        <color theme="4" tint="0.39997558519241921"/>
      </bottom>
      <diagonal/>
    </border>
  </borders>
  <cellStyleXfs count="228">
    <xf numFmtId="0" fontId="0" fillId="0" borderId="0"/>
    <xf numFmtId="0" fontId="20" fillId="2" borderId="0" applyNumberFormat="0" applyBorder="0" applyAlignment="0" applyProtection="0"/>
    <xf numFmtId="0" fontId="20" fillId="2"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1" fillId="14" borderId="0" applyNumberFormat="0" applyBorder="0" applyAlignment="0" applyProtection="0"/>
    <xf numFmtId="0" fontId="21"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21" fillId="18" borderId="0" applyNumberFormat="0" applyBorder="0" applyAlignment="0" applyProtection="0"/>
    <xf numFmtId="0" fontId="21"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21" fillId="22" borderId="0" applyNumberFormat="0" applyBorder="0" applyAlignment="0" applyProtection="0"/>
    <xf numFmtId="0" fontId="21"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22" fillId="26" borderId="0" applyNumberFormat="0" applyBorder="0" applyAlignment="0" applyProtection="0"/>
    <xf numFmtId="0" fontId="23" fillId="26" borderId="0" applyNumberFormat="0" applyBorder="0" applyAlignment="0" applyProtection="0"/>
    <xf numFmtId="0" fontId="24" fillId="27" borderId="7" applyNumberFormat="0" applyAlignment="0" applyProtection="0"/>
    <xf numFmtId="0" fontId="25" fillId="28" borderId="8" applyNumberFormat="0" applyAlignment="0" applyProtection="0"/>
    <xf numFmtId="0" fontId="26" fillId="0" borderId="0" applyNumberFormat="0" applyFill="0" applyBorder="0" applyAlignment="0" applyProtection="0"/>
    <xf numFmtId="0" fontId="27" fillId="29" borderId="0" applyNumberFormat="0" applyBorder="0" applyAlignment="0" applyProtection="0"/>
    <xf numFmtId="0" fontId="28" fillId="29" borderId="0" applyNumberFormat="0" applyBorder="0" applyAlignment="0" applyProtection="0"/>
    <xf numFmtId="0" fontId="29" fillId="0" borderId="9" applyNumberFormat="0" applyFill="0" applyAlignment="0" applyProtection="0"/>
    <xf numFmtId="0" fontId="30" fillId="0" borderId="10" applyNumberFormat="0" applyFill="0" applyAlignment="0" applyProtection="0"/>
    <xf numFmtId="0" fontId="31" fillId="0" borderId="11" applyNumberFormat="0" applyFill="0" applyAlignment="0" applyProtection="0"/>
    <xf numFmtId="0" fontId="31" fillId="0" borderId="0" applyNumberForma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32" fillId="30" borderId="7" applyNumberFormat="0" applyAlignment="0" applyProtection="0"/>
    <xf numFmtId="0" fontId="33" fillId="0" borderId="12" applyNumberFormat="0" applyFill="0" applyAlignment="0" applyProtection="0"/>
    <xf numFmtId="0" fontId="34" fillId="31" borderId="0" applyNumberFormat="0" applyBorder="0" applyAlignment="0" applyProtection="0"/>
    <xf numFmtId="0" fontId="35" fillId="31"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6" fillId="0" borderId="0"/>
    <xf numFmtId="0" fontId="8" fillId="0" borderId="0"/>
    <xf numFmtId="0" fontId="7" fillId="0" borderId="0"/>
    <xf numFmtId="0" fontId="4" fillId="0" borderId="0"/>
    <xf numFmtId="0" fontId="4" fillId="0" borderId="0"/>
    <xf numFmtId="0" fontId="20" fillId="0" borderId="0"/>
    <xf numFmtId="0" fontId="20" fillId="0" borderId="0"/>
    <xf numFmtId="0" fontId="20" fillId="0" borderId="0"/>
    <xf numFmtId="0" fontId="20" fillId="0" borderId="0"/>
    <xf numFmtId="0" fontId="19" fillId="0" borderId="0"/>
    <xf numFmtId="0" fontId="4" fillId="0" borderId="0"/>
    <xf numFmtId="0" fontId="4" fillId="0" borderId="0"/>
    <xf numFmtId="0" fontId="36" fillId="0" borderId="0"/>
    <xf numFmtId="0" fontId="4" fillId="0" borderId="0"/>
    <xf numFmtId="0" fontId="4" fillId="0" borderId="0"/>
    <xf numFmtId="0" fontId="9" fillId="0" borderId="0"/>
    <xf numFmtId="0" fontId="9" fillId="0" borderId="0"/>
    <xf numFmtId="0" fontId="8" fillId="0" borderId="0"/>
    <xf numFmtId="0" fontId="4" fillId="0" borderId="0"/>
    <xf numFmtId="0" fontId="10" fillId="0" borderId="0"/>
    <xf numFmtId="0" fontId="11" fillId="0" borderId="0"/>
    <xf numFmtId="0" fontId="8"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20" fillId="0" borderId="0"/>
    <xf numFmtId="0" fontId="20" fillId="0" borderId="0"/>
    <xf numFmtId="0" fontId="3" fillId="0" borderId="0"/>
    <xf numFmtId="0" fontId="3" fillId="0" borderId="0"/>
    <xf numFmtId="0" fontId="3" fillId="0" borderId="0"/>
    <xf numFmtId="0" fontId="20" fillId="0" borderId="0"/>
    <xf numFmtId="0" fontId="10"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20" fillId="0" borderId="0"/>
    <xf numFmtId="0" fontId="20" fillId="0" borderId="0"/>
    <xf numFmtId="0" fontId="3" fillId="0" borderId="0"/>
    <xf numFmtId="0" fontId="3" fillId="0" borderId="0"/>
    <xf numFmtId="0" fontId="3" fillId="0" borderId="0"/>
    <xf numFmtId="0" fontId="20"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14" fillId="0" borderId="0"/>
    <xf numFmtId="0" fontId="8"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3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8" fillId="0" borderId="0"/>
    <xf numFmtId="0" fontId="12" fillId="0" borderId="0"/>
    <xf numFmtId="0" fontId="20" fillId="32" borderId="13" applyNumberFormat="0" applyFont="0" applyAlignment="0" applyProtection="0"/>
    <xf numFmtId="0" fontId="3" fillId="32" borderId="13" applyNumberFormat="0" applyFont="0" applyAlignment="0" applyProtection="0"/>
    <xf numFmtId="0" fontId="3" fillId="32" borderId="13" applyNumberFormat="0" applyFont="0" applyAlignment="0" applyProtection="0"/>
    <xf numFmtId="0" fontId="37" fillId="27" borderId="14" applyNumberFormat="0" applyAlignment="0" applyProtection="0"/>
    <xf numFmtId="0" fontId="12" fillId="0" borderId="0">
      <alignment vertical="top"/>
    </xf>
    <xf numFmtId="0" fontId="38" fillId="0" borderId="0" applyNumberFormat="0" applyFill="0" applyBorder="0" applyAlignment="0" applyProtection="0"/>
    <xf numFmtId="0" fontId="39" fillId="0" borderId="15" applyNumberFormat="0" applyFill="0" applyAlignment="0" applyProtection="0"/>
    <xf numFmtId="0" fontId="40" fillId="0" borderId="0" applyNumberFormat="0" applyFill="0" applyBorder="0" applyAlignment="0" applyProtection="0"/>
    <xf numFmtId="0" fontId="2" fillId="0" borderId="0"/>
    <xf numFmtId="0" fontId="12" fillId="0" borderId="0"/>
    <xf numFmtId="0" fontId="4" fillId="0" borderId="1"/>
    <xf numFmtId="0" fontId="4" fillId="0" borderId="0"/>
    <xf numFmtId="0" fontId="81" fillId="0" borderId="0"/>
    <xf numFmtId="0" fontId="1" fillId="0" borderId="0"/>
  </cellStyleXfs>
  <cellXfs count="272">
    <xf numFmtId="0" fontId="0" fillId="0" borderId="0" xfId="0"/>
    <xf numFmtId="0" fontId="6" fillId="0" borderId="0" xfId="0" applyFont="1"/>
    <xf numFmtId="0" fontId="13" fillId="0" borderId="0" xfId="0" applyFont="1"/>
    <xf numFmtId="0" fontId="15" fillId="0" borderId="0" xfId="0" applyFont="1"/>
    <xf numFmtId="0" fontId="4" fillId="0" borderId="0" xfId="0" applyFont="1"/>
    <xf numFmtId="0" fontId="6" fillId="0" borderId="0" xfId="212" applyFont="1" applyFill="1"/>
    <xf numFmtId="0" fontId="6" fillId="0" borderId="0" xfId="212" applyFont="1" applyFill="1" applyBorder="1" applyAlignment="1">
      <alignment horizontal="left"/>
    </xf>
    <xf numFmtId="0" fontId="6" fillId="0" borderId="0" xfId="212" applyFont="1" applyFill="1" applyBorder="1"/>
    <xf numFmtId="0" fontId="6" fillId="0" borderId="0" xfId="92" applyFont="1" applyFill="1" applyBorder="1"/>
    <xf numFmtId="0" fontId="6" fillId="0" borderId="0" xfId="0" applyFont="1" applyFill="1" applyBorder="1"/>
    <xf numFmtId="0" fontId="18" fillId="0" borderId="0" xfId="212" applyFont="1" applyFill="1" applyBorder="1" applyAlignment="1">
      <alignment horizontal="left"/>
    </xf>
    <xf numFmtId="0" fontId="6" fillId="0" borderId="0" xfId="213" applyFont="1" applyFill="1" applyBorder="1" applyAlignment="1">
      <alignment wrapText="1"/>
    </xf>
    <xf numFmtId="0" fontId="6" fillId="0" borderId="0" xfId="0" applyFont="1" applyFill="1" applyBorder="1" applyAlignment="1">
      <alignment horizontal="center"/>
    </xf>
    <xf numFmtId="0" fontId="6" fillId="0" borderId="0" xfId="0" applyFont="1" applyFill="1" applyBorder="1" applyAlignment="1"/>
    <xf numFmtId="0" fontId="6" fillId="0" borderId="0" xfId="213" applyNumberFormat="1" applyFont="1" applyFill="1" applyBorder="1" applyAlignment="1" applyProtection="1">
      <alignment wrapText="1"/>
    </xf>
    <xf numFmtId="0" fontId="6" fillId="0" borderId="0" xfId="0" applyFont="1" applyFill="1" applyBorder="1" applyAlignment="1">
      <alignment vertical="center"/>
    </xf>
    <xf numFmtId="0" fontId="6" fillId="0" borderId="0" xfId="0" applyFont="1" applyFill="1" applyBorder="1" applyAlignment="1">
      <alignment wrapText="1"/>
    </xf>
    <xf numFmtId="0" fontId="6" fillId="0" borderId="0" xfId="0" applyFont="1" applyFill="1" applyBorder="1" applyAlignment="1">
      <alignment vertical="center" wrapText="1"/>
    </xf>
    <xf numFmtId="0" fontId="17" fillId="0" borderId="0" xfId="0" applyFont="1" applyFill="1" applyBorder="1" applyAlignment="1">
      <alignment horizontal="left"/>
    </xf>
    <xf numFmtId="0" fontId="6" fillId="0" borderId="0" xfId="213" applyFont="1" applyFill="1" applyBorder="1" applyAlignment="1"/>
    <xf numFmtId="0" fontId="6" fillId="0" borderId="0" xfId="91" applyFont="1" applyFill="1" applyBorder="1" applyAlignment="1">
      <alignment horizontal="left" vertical="center"/>
    </xf>
    <xf numFmtId="0" fontId="6" fillId="0" borderId="0" xfId="91" applyFont="1" applyFill="1" applyBorder="1" applyAlignment="1">
      <alignment horizontal="left" vertical="center" wrapText="1"/>
    </xf>
    <xf numFmtId="0" fontId="0" fillId="0" borderId="0" xfId="0" applyAlignment="1">
      <alignment wrapText="1"/>
    </xf>
    <xf numFmtId="0" fontId="4" fillId="33" borderId="0" xfId="0" applyFont="1" applyFill="1"/>
    <xf numFmtId="0" fontId="43" fillId="0" borderId="0" xfId="55" applyFont="1"/>
    <xf numFmtId="164" fontId="43" fillId="0" borderId="0" xfId="55" applyNumberFormat="1" applyFont="1"/>
    <xf numFmtId="0" fontId="43" fillId="0" borderId="0" xfId="55" applyFont="1" applyAlignment="1">
      <alignment wrapText="1"/>
    </xf>
    <xf numFmtId="0" fontId="6" fillId="0" borderId="0" xfId="212" applyFont="1" applyFill="1"/>
    <xf numFmtId="0" fontId="48" fillId="0" borderId="0" xfId="0" applyFont="1"/>
    <xf numFmtId="0" fontId="52" fillId="0" borderId="0" xfId="0" applyFont="1"/>
    <xf numFmtId="0" fontId="53" fillId="0" borderId="0" xfId="0" applyFont="1"/>
    <xf numFmtId="0" fontId="39" fillId="0" borderId="0" xfId="0" applyFont="1"/>
    <xf numFmtId="0" fontId="0" fillId="39" borderId="1" xfId="106" applyFont="1" applyFill="1" applyBorder="1" applyAlignment="1">
      <alignment horizontal="center"/>
    </xf>
    <xf numFmtId="0" fontId="55" fillId="0" borderId="0" xfId="0" applyFont="1" applyAlignment="1">
      <alignment vertical="center"/>
    </xf>
    <xf numFmtId="0" fontId="0" fillId="0" borderId="0" xfId="0" applyFont="1"/>
    <xf numFmtId="0" fontId="39" fillId="0" borderId="0" xfId="0" applyFont="1" applyAlignment="1">
      <alignment wrapText="1"/>
    </xf>
    <xf numFmtId="0" fontId="56" fillId="36" borderId="0" xfId="106" applyFont="1" applyFill="1" applyAlignment="1">
      <alignment horizontal="center" wrapText="1"/>
    </xf>
    <xf numFmtId="0" fontId="49" fillId="0" borderId="0" xfId="213" applyFont="1" applyFill="1"/>
    <xf numFmtId="0" fontId="57" fillId="0" borderId="0" xfId="213" applyFont="1" applyFill="1"/>
    <xf numFmtId="0" fontId="50" fillId="0" borderId="4" xfId="0" applyFont="1" applyBorder="1" applyAlignment="1">
      <alignment horizontal="left"/>
    </xf>
    <xf numFmtId="0" fontId="50" fillId="0" borderId="4" xfId="212" applyFont="1" applyFill="1" applyBorder="1" applyAlignment="1">
      <alignment horizontal="left"/>
    </xf>
    <xf numFmtId="49" fontId="0" fillId="0" borderId="0" xfId="0" applyNumberFormat="1" applyAlignment="1">
      <alignment wrapText="1"/>
    </xf>
    <xf numFmtId="0" fontId="59" fillId="0" borderId="0" xfId="0" applyFont="1"/>
    <xf numFmtId="49" fontId="0" fillId="0" borderId="0" xfId="0" applyNumberFormat="1"/>
    <xf numFmtId="49" fontId="43" fillId="0" borderId="0" xfId="55" applyNumberFormat="1" applyFont="1"/>
    <xf numFmtId="0" fontId="60" fillId="0" borderId="0" xfId="0" applyFont="1"/>
    <xf numFmtId="0" fontId="61" fillId="0" borderId="0" xfId="0" applyFont="1"/>
    <xf numFmtId="0" fontId="62" fillId="0" borderId="0" xfId="0" applyFont="1"/>
    <xf numFmtId="0" fontId="63" fillId="0" borderId="0" xfId="48" applyFont="1" applyAlignment="1" applyProtection="1"/>
    <xf numFmtId="49" fontId="4" fillId="0" borderId="0" xfId="0" applyNumberFormat="1" applyFont="1"/>
    <xf numFmtId="0" fontId="64" fillId="0" borderId="0" xfId="48" applyFont="1" applyAlignment="1" applyProtection="1"/>
    <xf numFmtId="0" fontId="50" fillId="0" borderId="4" xfId="0" applyFont="1" applyBorder="1" applyAlignment="1">
      <alignment horizontal="left" vertical="top"/>
    </xf>
    <xf numFmtId="0" fontId="50" fillId="0" borderId="4" xfId="212" applyFont="1" applyFill="1" applyBorder="1" applyAlignment="1">
      <alignment horizontal="left" vertical="top"/>
    </xf>
    <xf numFmtId="0" fontId="57" fillId="0" borderId="0" xfId="213" applyFont="1" applyFill="1" applyAlignment="1">
      <alignment vertical="top"/>
    </xf>
    <xf numFmtId="49" fontId="48" fillId="0" borderId="0" xfId="0" applyNumberFormat="1" applyFont="1" applyAlignment="1">
      <alignment vertical="top"/>
    </xf>
    <xf numFmtId="49" fontId="48" fillId="0" borderId="0" xfId="0" applyNumberFormat="1" applyFont="1" applyAlignment="1">
      <alignment vertical="top" wrapText="1"/>
    </xf>
    <xf numFmtId="0" fontId="48" fillId="0" borderId="0" xfId="0" applyFont="1" applyAlignment="1">
      <alignment vertical="top" wrapText="1"/>
    </xf>
    <xf numFmtId="0" fontId="48" fillId="0" borderId="0" xfId="0" applyFont="1" applyAlignment="1">
      <alignment horizontal="left" vertical="top"/>
    </xf>
    <xf numFmtId="0" fontId="48" fillId="0" borderId="0" xfId="0" applyFont="1" applyAlignment="1">
      <alignment vertical="top"/>
    </xf>
    <xf numFmtId="49" fontId="48" fillId="0" borderId="0" xfId="212" applyNumberFormat="1" applyFont="1" applyFill="1" applyAlignment="1">
      <alignment vertical="top"/>
    </xf>
    <xf numFmtId="0" fontId="48" fillId="0" borderId="0" xfId="0" applyFont="1" applyAlignment="1">
      <alignment wrapText="1"/>
    </xf>
    <xf numFmtId="0" fontId="59" fillId="0" borderId="0" xfId="0" applyFont="1" applyAlignment="1">
      <alignment vertical="top"/>
    </xf>
    <xf numFmtId="0" fontId="59" fillId="0" borderId="0" xfId="0" applyFont="1" applyAlignment="1">
      <alignment vertical="top" wrapText="1"/>
    </xf>
    <xf numFmtId="0" fontId="48" fillId="0" borderId="0" xfId="0" applyFont="1" applyAlignment="1">
      <alignment horizontal="center" vertical="top"/>
    </xf>
    <xf numFmtId="0" fontId="67" fillId="0" borderId="0" xfId="0" applyFont="1"/>
    <xf numFmtId="0" fontId="48" fillId="0" borderId="0" xfId="223" applyFont="1" applyFill="1" applyBorder="1" applyAlignment="1">
      <alignment wrapText="1"/>
    </xf>
    <xf numFmtId="0" fontId="48" fillId="0" borderId="0" xfId="224" applyFont="1" applyBorder="1"/>
    <xf numFmtId="0" fontId="49" fillId="40" borderId="0" xfId="213" applyFont="1" applyFill="1" applyAlignment="1">
      <alignment vertical="top"/>
    </xf>
    <xf numFmtId="0" fontId="57" fillId="40" borderId="0" xfId="213" applyFont="1" applyFill="1" applyAlignment="1">
      <alignment vertical="top"/>
    </xf>
    <xf numFmtId="0" fontId="50" fillId="40" borderId="0" xfId="0" applyFont="1" applyFill="1" applyAlignment="1">
      <alignment vertical="top"/>
    </xf>
    <xf numFmtId="0" fontId="48" fillId="0" borderId="0" xfId="212" applyFont="1" applyFill="1"/>
    <xf numFmtId="0" fontId="48" fillId="0" borderId="0" xfId="74" applyFont="1"/>
    <xf numFmtId="0" fontId="48" fillId="0" borderId="0" xfId="72" applyFont="1"/>
    <xf numFmtId="164" fontId="48" fillId="0" borderId="0" xfId="0" applyNumberFormat="1" applyFont="1"/>
    <xf numFmtId="0" fontId="58" fillId="35" borderId="0" xfId="0" applyFont="1" applyFill="1" applyAlignment="1">
      <alignment horizontal="left"/>
    </xf>
    <xf numFmtId="0" fontId="58" fillId="35" borderId="0" xfId="0" applyFont="1" applyFill="1"/>
    <xf numFmtId="0" fontId="69" fillId="35" borderId="2" xfId="0" applyFont="1" applyFill="1" applyBorder="1"/>
    <xf numFmtId="0" fontId="50" fillId="35" borderId="0" xfId="0" applyFont="1" applyFill="1" applyAlignment="1">
      <alignment vertical="top"/>
    </xf>
    <xf numFmtId="49" fontId="50" fillId="35" borderId="0" xfId="0" applyNumberFormat="1" applyFont="1" applyFill="1" applyBorder="1" applyAlignment="1">
      <alignment horizontal="center" vertical="top" wrapText="1"/>
    </xf>
    <xf numFmtId="0" fontId="50" fillId="35" borderId="0" xfId="0" applyFont="1" applyFill="1" applyBorder="1" applyAlignment="1">
      <alignment vertical="top" wrapText="1"/>
    </xf>
    <xf numFmtId="0" fontId="50" fillId="0" borderId="4" xfId="0" applyFont="1" applyFill="1" applyBorder="1" applyAlignment="1">
      <alignment horizontal="left" vertical="top"/>
    </xf>
    <xf numFmtId="0" fontId="49" fillId="33" borderId="0" xfId="213" applyFont="1" applyFill="1"/>
    <xf numFmtId="0" fontId="57" fillId="33" borderId="0" xfId="213" applyFont="1" applyFill="1"/>
    <xf numFmtId="0" fontId="49" fillId="33" borderId="0" xfId="213" applyFont="1" applyFill="1" applyAlignment="1">
      <alignment vertical="top"/>
    </xf>
    <xf numFmtId="0" fontId="57" fillId="33" borderId="0" xfId="213" applyFont="1" applyFill="1" applyAlignment="1">
      <alignment vertical="top"/>
    </xf>
    <xf numFmtId="0" fontId="50" fillId="38" borderId="1" xfId="0" applyFont="1" applyFill="1" applyBorder="1" applyAlignment="1">
      <alignment vertical="top" wrapText="1"/>
    </xf>
    <xf numFmtId="0" fontId="5" fillId="38" borderId="1" xfId="48" applyFill="1" applyBorder="1" applyAlignment="1" applyProtection="1"/>
    <xf numFmtId="0" fontId="50" fillId="38" borderId="1" xfId="0" applyFont="1" applyFill="1" applyBorder="1" applyAlignment="1">
      <alignment horizontal="left" vertical="top"/>
    </xf>
    <xf numFmtId="0" fontId="53" fillId="38" borderId="1" xfId="0" applyFont="1" applyFill="1" applyBorder="1" applyAlignment="1">
      <alignment vertical="top" wrapText="1"/>
    </xf>
    <xf numFmtId="0" fontId="48" fillId="38" borderId="1" xfId="0" applyFont="1" applyFill="1" applyBorder="1" applyAlignment="1">
      <alignment horizontal="left" vertical="top"/>
    </xf>
    <xf numFmtId="0" fontId="20" fillId="0" borderId="0" xfId="0" applyFont="1" applyFill="1" applyBorder="1" applyAlignment="1">
      <alignment vertical="center"/>
    </xf>
    <xf numFmtId="0" fontId="20" fillId="0" borderId="0" xfId="0" applyFont="1" applyFill="1" applyBorder="1" applyAlignment="1">
      <alignment vertical="center" wrapText="1"/>
    </xf>
    <xf numFmtId="0" fontId="48" fillId="0" borderId="0" xfId="0" applyFont="1" applyFill="1" applyBorder="1" applyAlignment="1">
      <alignment vertical="center" wrapText="1"/>
    </xf>
    <xf numFmtId="0" fontId="15" fillId="40" borderId="0" xfId="0" applyFont="1" applyFill="1"/>
    <xf numFmtId="0" fontId="48" fillId="0" borderId="0" xfId="72" applyFont="1" applyAlignment="1">
      <alignment horizontal="left" vertical="top" wrapText="1"/>
    </xf>
    <xf numFmtId="0" fontId="48" fillId="0" borderId="0" xfId="0" applyFont="1" applyAlignment="1">
      <alignment horizontal="left" vertical="top" wrapText="1"/>
    </xf>
    <xf numFmtId="0" fontId="43" fillId="40" borderId="0" xfId="55" applyFont="1" applyFill="1" applyAlignment="1">
      <alignment vertical="center"/>
    </xf>
    <xf numFmtId="0" fontId="0" fillId="0" borderId="0" xfId="0" applyAlignment="1">
      <alignment horizontal="left" vertical="top"/>
    </xf>
    <xf numFmtId="0" fontId="12" fillId="0" borderId="0" xfId="218">
      <alignment vertical="top"/>
    </xf>
    <xf numFmtId="0" fontId="44" fillId="0" borderId="6" xfId="55" applyFont="1" applyFill="1" applyBorder="1" applyAlignment="1">
      <alignment horizontal="left" vertical="top"/>
    </xf>
    <xf numFmtId="0" fontId="43" fillId="0" borderId="0" xfId="55" applyFont="1" applyAlignment="1">
      <alignment horizontal="left" vertical="top" wrapText="1"/>
    </xf>
    <xf numFmtId="0" fontId="44" fillId="0" borderId="0" xfId="0" applyFont="1" applyFill="1" applyBorder="1" applyAlignment="1">
      <alignment horizontal="left" vertical="top" wrapText="1"/>
    </xf>
    <xf numFmtId="0" fontId="70" fillId="41" borderId="0" xfId="213" applyFont="1" applyFill="1"/>
    <xf numFmtId="0" fontId="71" fillId="41" borderId="0" xfId="213" applyFont="1" applyFill="1"/>
    <xf numFmtId="0" fontId="59" fillId="41" borderId="0" xfId="0" applyFont="1" applyFill="1"/>
    <xf numFmtId="49" fontId="72" fillId="41" borderId="0" xfId="0" applyNumberFormat="1" applyFont="1" applyFill="1"/>
    <xf numFmtId="49" fontId="70" fillId="41" borderId="0" xfId="213" applyNumberFormat="1" applyFont="1" applyFill="1"/>
    <xf numFmtId="0" fontId="70" fillId="41" borderId="0" xfId="213" applyFont="1" applyFill="1" applyAlignment="1">
      <alignment vertical="top" wrapText="1"/>
    </xf>
    <xf numFmtId="0" fontId="71" fillId="41" borderId="0" xfId="213" applyFont="1" applyFill="1" applyAlignment="1">
      <alignment vertical="top"/>
    </xf>
    <xf numFmtId="0" fontId="73" fillId="33" borderId="0" xfId="48" applyFont="1" applyFill="1" applyAlignment="1" applyProtection="1"/>
    <xf numFmtId="0" fontId="54" fillId="0" borderId="0" xfId="0" applyFont="1" applyAlignment="1">
      <alignment horizontal="center"/>
    </xf>
    <xf numFmtId="0" fontId="13" fillId="0" borderId="0" xfId="0" applyFont="1" applyAlignment="1">
      <alignment horizontal="center"/>
    </xf>
    <xf numFmtId="0" fontId="0" fillId="0" borderId="0" xfId="0" applyAlignment="1">
      <alignment horizontal="center"/>
    </xf>
    <xf numFmtId="0" fontId="0" fillId="0" borderId="0" xfId="0" applyFill="1" applyAlignment="1">
      <alignment horizontal="center"/>
    </xf>
    <xf numFmtId="0" fontId="73" fillId="33" borderId="0" xfId="48" applyFont="1" applyFill="1" applyAlignment="1" applyProtection="1">
      <alignment vertical="top"/>
    </xf>
    <xf numFmtId="0" fontId="49" fillId="0" borderId="0" xfId="213" applyFont="1" applyFill="1" applyAlignment="1">
      <alignment vertical="top"/>
    </xf>
    <xf numFmtId="0" fontId="5" fillId="38" borderId="1" xfId="48" applyFill="1" applyBorder="1" applyAlignment="1" applyProtection="1">
      <alignment vertical="top"/>
    </xf>
    <xf numFmtId="0" fontId="50" fillId="38" borderId="19" xfId="0" applyFont="1" applyFill="1" applyBorder="1" applyAlignment="1">
      <alignment vertical="top" wrapText="1"/>
    </xf>
    <xf numFmtId="0" fontId="49" fillId="0" borderId="0" xfId="213" applyFont="1" applyFill="1" applyBorder="1"/>
    <xf numFmtId="0" fontId="49" fillId="0" borderId="0" xfId="213" applyFont="1" applyFill="1" applyBorder="1" applyAlignment="1">
      <alignment vertical="top"/>
    </xf>
    <xf numFmtId="0" fontId="73" fillId="0" borderId="0" xfId="48" applyFont="1" applyFill="1" applyBorder="1" applyAlignment="1" applyProtection="1">
      <alignment vertical="top"/>
    </xf>
    <xf numFmtId="0" fontId="73" fillId="0" borderId="0" xfId="48" applyFont="1" applyFill="1" applyBorder="1" applyAlignment="1" applyProtection="1"/>
    <xf numFmtId="0" fontId="50" fillId="0" borderId="0" xfId="212" applyFont="1" applyFill="1" applyBorder="1" applyAlignment="1">
      <alignment horizontal="left" vertical="top"/>
    </xf>
    <xf numFmtId="0" fontId="42" fillId="0" borderId="0" xfId="0" applyFont="1" applyFill="1" applyBorder="1" applyAlignment="1">
      <alignment horizontal="center"/>
    </xf>
    <xf numFmtId="0" fontId="42" fillId="0" borderId="0" xfId="0" quotePrefix="1" applyFont="1" applyFill="1" applyBorder="1" applyAlignment="1">
      <alignment horizontal="center"/>
    </xf>
    <xf numFmtId="0" fontId="45" fillId="34" borderId="3" xfId="0" applyFont="1" applyFill="1" applyBorder="1" applyAlignment="1">
      <alignment horizontal="center" vertical="center" textRotation="90"/>
    </xf>
    <xf numFmtId="0" fontId="4" fillId="0" borderId="0" xfId="0" applyFont="1" applyFill="1" applyBorder="1" applyAlignment="1">
      <alignment horizontal="center"/>
    </xf>
    <xf numFmtId="0" fontId="15" fillId="0" borderId="0" xfId="0" applyFont="1" applyFill="1" applyBorder="1" applyAlignment="1">
      <alignment horizontal="center"/>
    </xf>
    <xf numFmtId="0" fontId="41" fillId="0" borderId="0" xfId="0" applyFont="1" applyFill="1" applyBorder="1" applyAlignment="1">
      <alignment horizontal="center"/>
    </xf>
    <xf numFmtId="0" fontId="45" fillId="34" borderId="3" xfId="0" applyFont="1" applyFill="1" applyBorder="1" applyAlignment="1">
      <alignment horizontal="center" wrapText="1"/>
    </xf>
    <xf numFmtId="0" fontId="0" fillId="0" borderId="0" xfId="0" applyFill="1" applyBorder="1" applyAlignment="1">
      <alignment horizontal="center" vertical="top"/>
    </xf>
    <xf numFmtId="0" fontId="15" fillId="0" borderId="0" xfId="0" applyFont="1" applyAlignment="1"/>
    <xf numFmtId="0" fontId="0" fillId="0" borderId="0" xfId="0" applyAlignment="1"/>
    <xf numFmtId="0" fontId="71" fillId="41" borderId="0" xfId="213" applyFont="1" applyFill="1" applyAlignment="1">
      <alignment horizontal="left"/>
    </xf>
    <xf numFmtId="0" fontId="43" fillId="0" borderId="0" xfId="55" applyFont="1" applyAlignment="1">
      <alignment horizontal="left"/>
    </xf>
    <xf numFmtId="0" fontId="39" fillId="36" borderId="20" xfId="0" applyFont="1" applyFill="1" applyBorder="1" applyAlignment="1">
      <alignment vertical="top" wrapText="1"/>
    </xf>
    <xf numFmtId="0" fontId="39" fillId="36" borderId="23" xfId="0" applyFont="1" applyFill="1" applyBorder="1" applyAlignment="1">
      <alignment horizontal="left" vertical="top" wrapText="1"/>
    </xf>
    <xf numFmtId="0" fontId="76" fillId="40" borderId="3" xfId="55" applyFont="1" applyFill="1" applyBorder="1" applyAlignment="1">
      <alignment horizontal="center" vertical="center" wrapText="1"/>
    </xf>
    <xf numFmtId="0" fontId="76" fillId="40" borderId="3" xfId="55" applyFont="1" applyFill="1" applyBorder="1" applyAlignment="1">
      <alignment horizontal="center" vertical="center"/>
    </xf>
    <xf numFmtId="0" fontId="76" fillId="40" borderId="3" xfId="55" applyFont="1" applyFill="1" applyBorder="1" applyAlignment="1">
      <alignment horizontal="left" vertical="center" wrapText="1"/>
    </xf>
    <xf numFmtId="0" fontId="76" fillId="40" borderId="3" xfId="55" applyFont="1" applyFill="1" applyBorder="1" applyAlignment="1">
      <alignment horizontal="left" vertical="center"/>
    </xf>
    <xf numFmtId="0" fontId="77" fillId="40" borderId="0" xfId="55" applyFont="1" applyFill="1" applyAlignment="1">
      <alignment vertical="center" wrapText="1"/>
    </xf>
    <xf numFmtId="0" fontId="57" fillId="42" borderId="0" xfId="213" applyFont="1" applyFill="1" applyAlignment="1">
      <alignment vertical="top"/>
    </xf>
    <xf numFmtId="49" fontId="48" fillId="42" borderId="0" xfId="0" applyNumberFormat="1" applyFont="1" applyFill="1" applyAlignment="1">
      <alignment vertical="top"/>
    </xf>
    <xf numFmtId="0" fontId="57" fillId="42" borderId="0" xfId="213" applyFont="1" applyFill="1"/>
    <xf numFmtId="0" fontId="48" fillId="0" borderId="16" xfId="55" applyFont="1" applyBorder="1" applyAlignment="1">
      <alignment horizontal="center" vertical="top" wrapText="1"/>
    </xf>
    <xf numFmtId="0" fontId="48" fillId="0" borderId="16" xfId="55" applyFont="1" applyBorder="1" applyAlignment="1">
      <alignment vertical="top" wrapText="1"/>
    </xf>
    <xf numFmtId="0" fontId="48" fillId="0" borderId="24" xfId="55" applyFont="1" applyFill="1" applyBorder="1" applyAlignment="1">
      <alignment horizontal="center" vertical="top" wrapText="1"/>
    </xf>
    <xf numFmtId="0" fontId="48" fillId="0" borderId="24" xfId="55" applyFont="1" applyFill="1" applyBorder="1" applyAlignment="1">
      <alignment horizontal="left" vertical="top" wrapText="1"/>
    </xf>
    <xf numFmtId="0" fontId="48" fillId="0" borderId="24" xfId="55" applyFont="1" applyBorder="1" applyAlignment="1">
      <alignment vertical="top" wrapText="1"/>
    </xf>
    <xf numFmtId="0" fontId="48" fillId="0" borderId="16" xfId="55" applyFont="1" applyFill="1" applyBorder="1" applyAlignment="1">
      <alignment horizontal="left" vertical="top" wrapText="1"/>
    </xf>
    <xf numFmtId="0" fontId="48" fillId="0" borderId="16" xfId="55" applyFont="1" applyFill="1" applyBorder="1" applyAlignment="1">
      <alignment horizontal="center" vertical="top" wrapText="1"/>
    </xf>
    <xf numFmtId="0" fontId="48" fillId="33" borderId="1" xfId="55" applyFont="1" applyFill="1" applyBorder="1" applyAlignment="1">
      <alignment horizontal="center" vertical="top" wrapText="1"/>
    </xf>
    <xf numFmtId="0" fontId="48" fillId="0" borderId="25" xfId="55" applyFont="1" applyFill="1" applyBorder="1" applyAlignment="1">
      <alignment horizontal="left" vertical="top" wrapText="1"/>
    </xf>
    <xf numFmtId="0" fontId="48" fillId="33" borderId="25" xfId="55" applyFont="1" applyFill="1" applyBorder="1" applyAlignment="1">
      <alignment horizontal="left" vertical="top" wrapText="1"/>
    </xf>
    <xf numFmtId="0" fontId="48" fillId="33" borderId="16" xfId="55" applyFont="1" applyFill="1" applyBorder="1" applyAlignment="1">
      <alignment horizontal="left" vertical="top" wrapText="1"/>
    </xf>
    <xf numFmtId="0" fontId="80" fillId="33" borderId="16" xfId="48" applyFont="1" applyFill="1" applyBorder="1" applyAlignment="1" applyProtection="1">
      <alignment vertical="top"/>
    </xf>
    <xf numFmtId="0" fontId="48" fillId="33" borderId="16" xfId="48" applyFont="1" applyFill="1" applyBorder="1" applyAlignment="1" applyProtection="1">
      <alignment vertical="top"/>
    </xf>
    <xf numFmtId="0" fontId="25" fillId="43" borderId="26" xfId="0" applyFont="1" applyFill="1" applyBorder="1" applyAlignment="1">
      <alignment horizontal="left" vertical="top"/>
    </xf>
    <xf numFmtId="0" fontId="25" fillId="43" borderId="0" xfId="0" applyFont="1" applyFill="1" applyBorder="1" applyAlignment="1">
      <alignment horizontal="left" vertical="top"/>
    </xf>
    <xf numFmtId="49" fontId="25" fillId="43" borderId="0" xfId="0" applyNumberFormat="1" applyFont="1" applyFill="1" applyBorder="1" applyAlignment="1">
      <alignment horizontal="left" vertical="top"/>
    </xf>
    <xf numFmtId="0" fontId="0" fillId="0" borderId="0" xfId="0" applyFont="1" applyAlignment="1">
      <alignment horizontal="left" vertical="top"/>
    </xf>
    <xf numFmtId="0" fontId="0" fillId="0" borderId="0" xfId="0" applyFont="1" applyFill="1" applyBorder="1" applyAlignment="1">
      <alignment horizontal="left" vertical="top"/>
    </xf>
    <xf numFmtId="49" fontId="0" fillId="0" borderId="0" xfId="0" applyNumberFormat="1" applyFont="1" applyFill="1" applyBorder="1" applyAlignment="1">
      <alignment horizontal="left" vertical="top"/>
    </xf>
    <xf numFmtId="49" fontId="0" fillId="0" borderId="0" xfId="0" applyNumberFormat="1" applyFont="1" applyAlignment="1">
      <alignment horizontal="left" vertical="top"/>
    </xf>
    <xf numFmtId="0" fontId="48" fillId="0" borderId="0" xfId="106" applyFont="1" applyFill="1" applyBorder="1" applyAlignment="1">
      <alignment wrapText="1"/>
    </xf>
    <xf numFmtId="0" fontId="82" fillId="0" borderId="0" xfId="0" applyFont="1"/>
    <xf numFmtId="0" fontId="82" fillId="0" borderId="0" xfId="0" applyNumberFormat="1" applyFont="1"/>
    <xf numFmtId="49" fontId="48" fillId="0" borderId="0" xfId="106" applyNumberFormat="1" applyFont="1" applyFill="1" applyBorder="1"/>
    <xf numFmtId="0" fontId="48" fillId="0" borderId="0" xfId="225" applyFont="1" applyFill="1" applyBorder="1" applyAlignment="1">
      <alignment vertical="center"/>
    </xf>
    <xf numFmtId="49" fontId="48" fillId="0" borderId="16" xfId="55" applyNumberFormat="1" applyFont="1" applyBorder="1" applyAlignment="1">
      <alignment horizontal="left" vertical="top" wrapText="1"/>
    </xf>
    <xf numFmtId="0" fontId="20" fillId="38" borderId="27" xfId="55" applyFont="1" applyFill="1" applyBorder="1" applyAlignment="1">
      <alignment horizontal="center" textRotation="90" wrapText="1"/>
    </xf>
    <xf numFmtId="0" fontId="13" fillId="0" borderId="0" xfId="0" applyFont="1" applyFill="1" applyAlignment="1">
      <alignment horizontal="center"/>
    </xf>
    <xf numFmtId="0" fontId="47" fillId="33" borderId="16" xfId="48" applyFont="1" applyFill="1" applyBorder="1" applyAlignment="1" applyProtection="1">
      <alignment vertical="top"/>
    </xf>
    <xf numFmtId="0" fontId="44" fillId="0" borderId="6" xfId="55" applyFont="1" applyFill="1" applyBorder="1" applyAlignment="1">
      <alignment horizontal="left" vertical="top" wrapText="1"/>
    </xf>
    <xf numFmtId="0" fontId="44" fillId="0" borderId="6" xfId="55" applyFont="1" applyFill="1" applyBorder="1" applyAlignment="1">
      <alignment horizontal="left" vertical="top"/>
    </xf>
    <xf numFmtId="0" fontId="43" fillId="0" borderId="0" xfId="55" applyFont="1" applyAlignment="1">
      <alignment horizontal="left" vertical="top"/>
    </xf>
    <xf numFmtId="0" fontId="44" fillId="0" borderId="0" xfId="0" applyFont="1" applyFill="1" applyBorder="1" applyAlignment="1">
      <alignment horizontal="left" vertical="top" wrapText="1"/>
    </xf>
    <xf numFmtId="0" fontId="44" fillId="0" borderId="0" xfId="0" applyFont="1" applyFill="1" applyBorder="1" applyAlignment="1">
      <alignment horizontal="left" vertical="top"/>
    </xf>
    <xf numFmtId="0" fontId="44" fillId="33" borderId="1" xfId="55" applyFont="1" applyFill="1" applyBorder="1" applyAlignment="1">
      <alignment horizontal="center" vertical="top" wrapText="1"/>
    </xf>
    <xf numFmtId="0" fontId="83" fillId="0" borderId="6" xfId="48" applyFont="1" applyFill="1" applyBorder="1" applyAlignment="1" applyProtection="1">
      <alignment horizontal="left" vertical="top" wrapText="1"/>
    </xf>
    <xf numFmtId="0" fontId="0" fillId="0" borderId="0" xfId="0"/>
    <xf numFmtId="0" fontId="49" fillId="0" borderId="0" xfId="213" applyFont="1" applyFill="1"/>
    <xf numFmtId="0" fontId="57" fillId="0" borderId="0" xfId="213" applyFont="1" applyFill="1"/>
    <xf numFmtId="0" fontId="57" fillId="0" borderId="0" xfId="213" applyFont="1" applyFill="1" applyAlignment="1">
      <alignment vertical="top"/>
    </xf>
    <xf numFmtId="0" fontId="49" fillId="40" borderId="0" xfId="213" applyFont="1" applyFill="1" applyAlignment="1">
      <alignment vertical="top"/>
    </xf>
    <xf numFmtId="0" fontId="48" fillId="0" borderId="0" xfId="74" applyFont="1"/>
    <xf numFmtId="0" fontId="49" fillId="33" borderId="0" xfId="213" applyFont="1" applyFill="1"/>
    <xf numFmtId="0" fontId="50" fillId="38" borderId="1" xfId="0" applyFont="1" applyFill="1" applyBorder="1" applyAlignment="1">
      <alignment vertical="top" wrapText="1"/>
    </xf>
    <xf numFmtId="0" fontId="5" fillId="38" borderId="1" xfId="48" applyFill="1" applyBorder="1" applyAlignment="1" applyProtection="1"/>
    <xf numFmtId="0" fontId="50" fillId="38" borderId="1" xfId="0" applyFont="1" applyFill="1" applyBorder="1" applyAlignment="1">
      <alignment horizontal="left" vertical="top"/>
    </xf>
    <xf numFmtId="0" fontId="73" fillId="33" borderId="0" xfId="48" applyFont="1" applyFill="1" applyAlignment="1" applyProtection="1"/>
    <xf numFmtId="0" fontId="57" fillId="42" borderId="0" xfId="213" applyFont="1" applyFill="1" applyAlignment="1">
      <alignment vertical="top"/>
    </xf>
    <xf numFmtId="0" fontId="57" fillId="42" borderId="0" xfId="213" applyFont="1" applyFill="1"/>
    <xf numFmtId="0" fontId="51" fillId="0" borderId="1" xfId="110" applyFont="1" applyFill="1" applyBorder="1" applyAlignment="1">
      <alignment horizontal="center" vertical="center" textRotation="90" wrapText="1"/>
    </xf>
    <xf numFmtId="0" fontId="50" fillId="0" borderId="0" xfId="110" applyFont="1" applyFill="1"/>
    <xf numFmtId="0" fontId="69" fillId="35" borderId="0" xfId="0" applyFont="1" applyFill="1" applyBorder="1" applyAlignment="1">
      <alignment vertical="top" wrapText="1"/>
    </xf>
    <xf numFmtId="0" fontId="48" fillId="0" borderId="0" xfId="0" applyFont="1" applyBorder="1" applyAlignment="1">
      <alignment vertical="top"/>
    </xf>
    <xf numFmtId="0" fontId="48" fillId="0" borderId="0" xfId="0" applyFont="1" applyBorder="1"/>
    <xf numFmtId="0" fontId="65" fillId="0" borderId="0" xfId="0" applyFont="1" applyBorder="1" applyAlignment="1">
      <alignment vertical="top"/>
    </xf>
    <xf numFmtId="0" fontId="47" fillId="0" borderId="0" xfId="48" applyFont="1" applyBorder="1" applyAlignment="1" applyProtection="1">
      <alignment horizontal="left" vertical="top"/>
    </xf>
    <xf numFmtId="0" fontId="59" fillId="0" borderId="0" xfId="0" applyFont="1" applyBorder="1" applyAlignment="1">
      <alignment vertical="top"/>
    </xf>
    <xf numFmtId="0" fontId="66" fillId="0" borderId="0" xfId="0" applyFont="1" applyBorder="1" applyAlignment="1">
      <alignment horizontal="left" vertical="top"/>
    </xf>
    <xf numFmtId="0" fontId="48" fillId="0" borderId="0" xfId="0" applyFont="1" applyBorder="1" applyAlignment="1">
      <alignment horizontal="left" vertical="top"/>
    </xf>
    <xf numFmtId="0" fontId="65" fillId="0" borderId="0" xfId="0" applyFont="1" applyBorder="1" applyAlignment="1">
      <alignment vertical="top" wrapText="1"/>
    </xf>
    <xf numFmtId="0" fontId="50" fillId="0" borderId="0" xfId="0" applyFont="1" applyBorder="1" applyAlignment="1">
      <alignment vertical="top"/>
    </xf>
    <xf numFmtId="0" fontId="48" fillId="0" borderId="0" xfId="0" applyFont="1" applyBorder="1" applyAlignment="1">
      <alignment horizontal="left" vertical="top" wrapText="1"/>
    </xf>
    <xf numFmtId="0" fontId="48" fillId="0" borderId="0" xfId="0" applyFont="1" applyBorder="1" applyAlignment="1">
      <alignment horizontal="left" wrapText="1"/>
    </xf>
    <xf numFmtId="0" fontId="48" fillId="0" borderId="0" xfId="0" applyFont="1" applyBorder="1" applyAlignment="1">
      <alignment wrapText="1"/>
    </xf>
    <xf numFmtId="0" fontId="48" fillId="0" borderId="0" xfId="0" applyFont="1" applyBorder="1" applyAlignment="1">
      <alignment horizontal="left"/>
    </xf>
    <xf numFmtId="0" fontId="5" fillId="0" borderId="16" xfId="48" applyFill="1" applyBorder="1" applyAlignment="1" applyProtection="1">
      <alignment horizontal="center" vertical="center" textRotation="90" wrapText="1"/>
    </xf>
    <xf numFmtId="0" fontId="5" fillId="0" borderId="16" xfId="48" applyFill="1" applyBorder="1" applyAlignment="1" applyProtection="1">
      <alignment horizontal="left" vertical="center" textRotation="90"/>
    </xf>
    <xf numFmtId="0" fontId="5" fillId="0" borderId="0" xfId="48" applyFill="1" applyBorder="1" applyAlignment="1" applyProtection="1">
      <alignment horizontal="center" vertical="center" textRotation="90"/>
    </xf>
    <xf numFmtId="0" fontId="39" fillId="0" borderId="3" xfId="110" applyFont="1" applyFill="1" applyBorder="1" applyAlignment="1">
      <alignment horizontal="left" vertical="center" wrapText="1"/>
    </xf>
    <xf numFmtId="0" fontId="48" fillId="0" borderId="0" xfId="110" applyFont="1" applyFill="1"/>
    <xf numFmtId="0" fontId="51" fillId="0" borderId="1" xfId="110" applyFont="1" applyFill="1" applyBorder="1" applyAlignment="1">
      <alignment horizontal="left" wrapText="1"/>
    </xf>
    <xf numFmtId="0" fontId="20" fillId="0" borderId="1" xfId="110" applyFont="1" applyFill="1" applyBorder="1" applyAlignment="1">
      <alignment horizontal="left" wrapText="1"/>
    </xf>
    <xf numFmtId="0" fontId="20" fillId="0" borderId="1" xfId="110" applyFont="1" applyFill="1" applyBorder="1" applyAlignment="1">
      <alignment horizontal="left"/>
    </xf>
    <xf numFmtId="0" fontId="20" fillId="0" borderId="1" xfId="110" applyFont="1" applyFill="1" applyBorder="1" applyAlignment="1">
      <alignment horizontal="center"/>
    </xf>
    <xf numFmtId="0" fontId="39" fillId="0" borderId="1" xfId="110" applyFont="1" applyFill="1" applyBorder="1" applyAlignment="1">
      <alignment wrapText="1"/>
    </xf>
    <xf numFmtId="0" fontId="51" fillId="0" borderId="0" xfId="110" applyFont="1" applyFill="1" applyBorder="1" applyAlignment="1">
      <alignment horizontal="left" wrapText="1"/>
    </xf>
    <xf numFmtId="0" fontId="20" fillId="0" borderId="0" xfId="110" applyFont="1" applyFill="1" applyBorder="1" applyAlignment="1">
      <alignment horizontal="left" wrapText="1"/>
    </xf>
    <xf numFmtId="0" fontId="20" fillId="0" borderId="0" xfId="110" applyFont="1" applyFill="1" applyBorder="1" applyAlignment="1">
      <alignment horizontal="center" wrapText="1"/>
    </xf>
    <xf numFmtId="0" fontId="39" fillId="0" borderId="3" xfId="110" applyFont="1" applyFill="1" applyBorder="1" applyAlignment="1">
      <alignment wrapText="1"/>
    </xf>
    <xf numFmtId="0" fontId="48" fillId="0" borderId="0" xfId="106" applyFont="1" applyFill="1"/>
    <xf numFmtId="0" fontId="48" fillId="0" borderId="0" xfId="106" applyFont="1" applyFill="1" applyAlignment="1">
      <alignment wrapText="1"/>
    </xf>
    <xf numFmtId="0" fontId="48" fillId="0" borderId="0" xfId="106" applyFont="1" applyFill="1" applyAlignment="1">
      <alignment horizontal="left"/>
    </xf>
    <xf numFmtId="0" fontId="48" fillId="0" borderId="0" xfId="106" applyFont="1" applyFill="1" applyAlignment="1">
      <alignment horizontal="center"/>
    </xf>
    <xf numFmtId="0" fontId="48" fillId="45" borderId="0" xfId="106" applyFont="1" applyFill="1"/>
    <xf numFmtId="0" fontId="48" fillId="45" borderId="0" xfId="106" applyFont="1" applyFill="1" applyAlignment="1">
      <alignment wrapText="1"/>
    </xf>
    <xf numFmtId="0" fontId="48" fillId="45" borderId="0" xfId="106" applyFont="1" applyFill="1" applyAlignment="1">
      <alignment horizontal="left" wrapText="1"/>
    </xf>
    <xf numFmtId="0" fontId="48" fillId="45" borderId="0" xfId="106" applyFont="1" applyFill="1" applyAlignment="1">
      <alignment horizontal="left"/>
    </xf>
    <xf numFmtId="0" fontId="48" fillId="45" borderId="0" xfId="106" applyFont="1" applyFill="1" applyAlignment="1">
      <alignment horizontal="center"/>
    </xf>
    <xf numFmtId="0" fontId="50" fillId="38" borderId="3" xfId="0" applyFont="1" applyFill="1" applyBorder="1" applyAlignment="1">
      <alignment horizontal="left" vertical="top"/>
    </xf>
    <xf numFmtId="0" fontId="53" fillId="38" borderId="3" xfId="0" applyFont="1" applyFill="1" applyBorder="1" applyAlignment="1">
      <alignment vertical="top" wrapText="1"/>
    </xf>
    <xf numFmtId="0" fontId="0" fillId="0" borderId="0" xfId="0" applyBorder="1"/>
    <xf numFmtId="0" fontId="0" fillId="0" borderId="0" xfId="0" applyFill="1" applyBorder="1"/>
    <xf numFmtId="0" fontId="86" fillId="43" borderId="29" xfId="0" applyFont="1" applyFill="1" applyBorder="1" applyAlignment="1">
      <alignment horizontal="left" vertical="top"/>
    </xf>
    <xf numFmtId="0" fontId="0" fillId="0" borderId="0" xfId="0" applyFont="1" applyFill="1"/>
    <xf numFmtId="0" fontId="87" fillId="46" borderId="30" xfId="0" applyFont="1" applyFill="1" applyBorder="1" applyAlignment="1">
      <alignment horizontal="left" vertical="top"/>
    </xf>
    <xf numFmtId="0" fontId="87" fillId="46" borderId="31" xfId="0" applyFont="1" applyFill="1" applyBorder="1" applyAlignment="1">
      <alignment horizontal="left" vertical="top"/>
    </xf>
    <xf numFmtId="0" fontId="15" fillId="0" borderId="0" xfId="0" applyFont="1" applyAlignment="1">
      <alignment horizontal="center"/>
    </xf>
    <xf numFmtId="49" fontId="48" fillId="0" borderId="0" xfId="0" applyNumberFormat="1" applyFont="1"/>
    <xf numFmtId="0" fontId="5" fillId="0" borderId="0" xfId="48" applyFill="1" applyBorder="1" applyAlignment="1" applyProtection="1">
      <alignment horizontal="center" vertical="center" textRotation="90" wrapText="1"/>
    </xf>
    <xf numFmtId="0" fontId="48" fillId="0" borderId="0" xfId="106" applyFont="1" applyFill="1" applyAlignment="1">
      <alignment horizontal="left" wrapText="1"/>
    </xf>
    <xf numFmtId="0" fontId="50" fillId="45" borderId="0" xfId="110" applyFont="1" applyFill="1"/>
    <xf numFmtId="0" fontId="48" fillId="45" borderId="0" xfId="110" applyFont="1" applyFill="1"/>
    <xf numFmtId="0" fontId="5" fillId="0" borderId="0" xfId="48" applyBorder="1" applyAlignment="1" applyProtection="1"/>
    <xf numFmtId="0" fontId="5" fillId="0" borderId="0" xfId="48" applyFill="1" applyBorder="1" applyAlignment="1" applyProtection="1"/>
    <xf numFmtId="0" fontId="5" fillId="0" borderId="0" xfId="48" applyFill="1" applyBorder="1" applyAlignment="1" applyProtection="1">
      <alignment vertical="top"/>
    </xf>
    <xf numFmtId="0" fontId="88" fillId="43" borderId="32" xfId="0" applyFont="1" applyFill="1" applyBorder="1"/>
    <xf numFmtId="0" fontId="5" fillId="45" borderId="0" xfId="48" applyFill="1" applyBorder="1" applyAlignment="1" applyProtection="1"/>
    <xf numFmtId="0" fontId="79" fillId="35" borderId="0" xfId="48" applyFont="1" applyFill="1" applyAlignment="1" applyProtection="1">
      <alignment horizontal="center"/>
    </xf>
    <xf numFmtId="0" fontId="15" fillId="0" borderId="0" xfId="0" applyFont="1" applyAlignment="1">
      <alignment horizontal="center"/>
    </xf>
    <xf numFmtId="0" fontId="47" fillId="37" borderId="27" xfId="48" applyFont="1" applyFill="1" applyBorder="1" applyAlignment="1" applyProtection="1">
      <alignment horizontal="center" textRotation="90"/>
    </xf>
    <xf numFmtId="0" fontId="48" fillId="44" borderId="28" xfId="0" applyFont="1" applyFill="1" applyBorder="1" applyAlignment="1">
      <alignment horizontal="center" textRotation="90"/>
    </xf>
    <xf numFmtId="0" fontId="50" fillId="0" borderId="28" xfId="0" applyFont="1" applyBorder="1" applyAlignment="1">
      <alignment horizontal="center" textRotation="90"/>
    </xf>
    <xf numFmtId="0" fontId="48" fillId="44" borderId="0" xfId="0" applyFont="1" applyFill="1" applyAlignment="1">
      <alignment horizontal="center" textRotation="90"/>
    </xf>
    <xf numFmtId="0" fontId="50" fillId="0" borderId="0" xfId="0" applyFont="1" applyAlignment="1">
      <alignment horizontal="center" textRotation="90"/>
    </xf>
    <xf numFmtId="0" fontId="13" fillId="0" borderId="4" xfId="0" applyFont="1" applyBorder="1" applyAlignment="1">
      <alignment horizontal="center"/>
    </xf>
    <xf numFmtId="0" fontId="46" fillId="0" borderId="1" xfId="0" applyFont="1" applyBorder="1" applyAlignment="1">
      <alignment horizontal="center" vertical="center" wrapText="1"/>
    </xf>
    <xf numFmtId="0" fontId="46" fillId="0" borderId="1" xfId="0" applyFont="1" applyBorder="1" applyAlignment="1">
      <alignment horizontal="center" vertical="center"/>
    </xf>
    <xf numFmtId="0" fontId="46" fillId="36" borderId="21" xfId="0" applyFont="1" applyFill="1" applyBorder="1" applyAlignment="1">
      <alignment horizontal="center" vertical="center" wrapText="1"/>
    </xf>
    <xf numFmtId="0" fontId="46" fillId="36" borderId="22" xfId="0" applyFont="1" applyFill="1" applyBorder="1" applyAlignment="1">
      <alignment horizontal="center" vertical="center" wrapText="1"/>
    </xf>
    <xf numFmtId="0" fontId="46" fillId="37" borderId="1" xfId="0" applyFont="1" applyFill="1" applyBorder="1" applyAlignment="1">
      <alignment horizontal="center" vertical="center" textRotation="90"/>
    </xf>
    <xf numFmtId="0" fontId="68" fillId="37" borderId="3" xfId="48" applyFont="1" applyFill="1" applyBorder="1" applyAlignment="1" applyProtection="1">
      <alignment horizontal="center" textRotation="90"/>
    </xf>
    <xf numFmtId="0" fontId="68" fillId="37" borderId="5" xfId="48" applyFont="1" applyFill="1" applyBorder="1" applyAlignment="1" applyProtection="1">
      <alignment horizontal="center" textRotation="90"/>
    </xf>
    <xf numFmtId="0" fontId="50" fillId="38" borderId="17" xfId="0" applyFont="1" applyFill="1" applyBorder="1" applyAlignment="1">
      <alignment horizontal="center" vertical="top" wrapText="1"/>
    </xf>
    <xf numFmtId="0" fontId="50" fillId="38" borderId="18" xfId="0" applyFont="1" applyFill="1" applyBorder="1" applyAlignment="1">
      <alignment horizontal="center" vertical="top" wrapText="1"/>
    </xf>
    <xf numFmtId="0" fontId="50" fillId="38" borderId="19" xfId="0" applyFont="1" applyFill="1" applyBorder="1" applyAlignment="1">
      <alignment horizontal="center" vertical="top" wrapText="1"/>
    </xf>
    <xf numFmtId="0" fontId="50" fillId="38" borderId="20" xfId="0" applyFont="1" applyFill="1" applyBorder="1" applyAlignment="1">
      <alignment horizontal="center" vertical="top" wrapText="1"/>
    </xf>
    <xf numFmtId="0" fontId="50" fillId="38" borderId="4" xfId="0" applyFont="1" applyFill="1" applyBorder="1" applyAlignment="1">
      <alignment horizontal="center" vertical="top" wrapText="1"/>
    </xf>
  </cellXfs>
  <cellStyles count="228">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4"/>
    <cellStyle name="Check Cell 2" xfId="40"/>
    <cellStyle name="Explanatory Text 2" xfId="41"/>
    <cellStyle name="Good 2" xfId="42"/>
    <cellStyle name="Good 3" xfId="43"/>
    <cellStyle name="Heading 1 2" xfId="44"/>
    <cellStyle name="Heading 2 2" xfId="45"/>
    <cellStyle name="Heading 3 2" xfId="46"/>
    <cellStyle name="Heading 4 2" xfId="47"/>
    <cellStyle name="Hyperlink" xfId="48" builtinId="8"/>
    <cellStyle name="Hyperlink 2" xfId="49"/>
    <cellStyle name="Hyperlink 3" xfId="50"/>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_STO" xfId="89"/>
    <cellStyle name="Normal 20" xfId="222"/>
    <cellStyle name="Normal 20 2" xfId="227"/>
    <cellStyle name="Normal 28" xfId="226"/>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5 7" xfId="225"/>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15_Dim_DSD- MATRIX- SNA Alignment V0 1" xfId="212"/>
    <cellStyle name="Normal_Sheet1" xfId="213"/>
    <cellStyle name="Normal_Sheet1 2" xfId="223"/>
    <cellStyle name="Note 2" xfId="214"/>
    <cellStyle name="Note 2 2" xfId="215"/>
    <cellStyle name="Note 2 3" xfId="216"/>
    <cellStyle name="Output 2" xfId="217"/>
    <cellStyle name="Style 1" xfId="218"/>
    <cellStyle name="Title" xfId="219" builtinId="15" customBuiltin="1"/>
    <cellStyle name="Total 2" xfId="220"/>
    <cellStyle name="Warning Text 2" xfId="221"/>
  </cellStyles>
  <dxfs count="4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b val="0"/>
        <i/>
        <strike val="0"/>
        <condense val="0"/>
        <extend val="0"/>
        <outline val="0"/>
        <shadow val="0"/>
        <u val="none"/>
        <vertAlign val="baseline"/>
        <sz val="8"/>
        <color auto="1"/>
        <name val="Arial"/>
        <scheme val="none"/>
      </font>
      <numFmt numFmtId="0" formatCode="General"/>
    </dxf>
    <dxf>
      <font>
        <b val="0"/>
        <i val="0"/>
        <strike val="0"/>
        <condense val="0"/>
        <extend val="0"/>
        <outline val="0"/>
        <shadow val="0"/>
        <u val="none"/>
        <vertAlign val="baseline"/>
        <sz val="8"/>
        <color auto="1"/>
        <name val="Arial"/>
        <scheme val="none"/>
      </font>
    </dxf>
    <dxf>
      <numFmt numFmtId="30" formatCode="@"/>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numFmt numFmtId="30" formatCode="@"/>
    </dxf>
    <dxf>
      <font>
        <b val="0"/>
        <i val="0"/>
        <strike val="0"/>
        <condense val="0"/>
        <extend val="0"/>
        <outline val="0"/>
        <shadow val="0"/>
        <u val="none"/>
        <vertAlign val="baseline"/>
        <sz val="8"/>
        <color auto="1"/>
        <name val="Arial"/>
        <scheme val="none"/>
      </font>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top" textRotation="0" wrapText="0" indent="0" justifyLastLine="0" shrinkToFit="0" readingOrder="0"/>
    </dxf>
    <dxf>
      <fill>
        <patternFill patternType="none">
          <fgColor indexed="64"/>
          <bgColor auto="1"/>
        </patternFill>
      </fill>
    </dxf>
    <dxf>
      <border outline="0">
        <right style="thin">
          <color theme="4" tint="0.39997558519241921"/>
        </right>
        <top style="thin">
          <color theme="4" tint="0.39997558519241921"/>
        </top>
      </border>
    </dxf>
    <dxf>
      <fill>
        <patternFill patternType="none">
          <fgColor indexed="64"/>
          <bgColor auto="1"/>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minor"/>
      </font>
      <alignment vertical="top" textRotation="0" wrapText="1" indent="0" justifyLastLine="0" shrinkToFit="0" readingOrder="0"/>
    </dxf>
    <dxf>
      <font>
        <b val="0"/>
        <i val="0"/>
        <strike val="0"/>
        <condense val="0"/>
        <extend val="0"/>
        <outline val="0"/>
        <shadow val="0"/>
        <u val="none"/>
        <vertAlign val="baseline"/>
        <sz val="11"/>
        <color auto="1"/>
        <name val="Calibri"/>
        <scheme val="minor"/>
      </font>
      <alignment horizontal="center" vertical="top" textRotation="0" wrapText="0" indent="0" justifyLastLine="0" shrinkToFit="0" readingOrder="0"/>
    </dxf>
    <dxf>
      <alignment vertical="top" textRotation="0" indent="0" justifyLastLine="0" shrinkToFit="0" readingOrder="0"/>
    </dxf>
    <dxf>
      <font>
        <b/>
        <i val="0"/>
        <strike val="0"/>
        <condense val="0"/>
        <extend val="0"/>
        <outline val="0"/>
        <shadow val="0"/>
        <u val="none"/>
        <vertAlign val="baseline"/>
        <sz val="14"/>
        <color auto="1"/>
        <name val="Calibri"/>
        <scheme val="minor"/>
      </font>
      <alignment vertical="top" textRotation="0" indent="0" justifyLastLine="0" shrinkToFit="0" readingOrder="0"/>
    </dxf>
  </dxfs>
  <tableStyles count="2" defaultTableStyle="TableStyleMedium9" defaultPivotStyle="PivotStyleLight16">
    <tableStyle name="Table Style 1" pivot="0" count="0"/>
    <tableStyle name="Table Style 2" pivot="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tables/table1.xml><?xml version="1.0" encoding="utf-8"?>
<table xmlns="http://schemas.openxmlformats.org/spreadsheetml/2006/main" id="5" name="Table5" displayName="Table5" ref="A2:C8" totalsRowShown="0" headerRowDxfId="48" dataDxfId="47">
  <autoFilter ref="A2:C8"/>
  <tableColumns count="3">
    <tableColumn id="1" name="Generate? 0=no, 1=yes" dataDxfId="46"/>
    <tableColumn id="2" name="Action" dataDxfId="45"/>
    <tableColumn id="3" name="Prerequisites" dataDxfId="44"/>
  </tableColumns>
  <tableStyleInfo name="TableStyleMedium4" showFirstColumn="0" showLastColumn="0" showRowStripes="1" showColumnStripes="0"/>
</table>
</file>

<file path=xl/tables/table2.xml><?xml version="1.0" encoding="utf-8"?>
<table xmlns="http://schemas.openxmlformats.org/spreadsheetml/2006/main" id="3" name="Table14" displayName="Table14" ref="A1:J2" totalsRowShown="0" headerRowDxfId="43" dataDxfId="41" headerRowBorderDxfId="42" tableBorderDxfId="40">
  <autoFilter ref="A1:J2"/>
  <tableColumns count="10">
    <tableColumn id="1" name="ID" dataDxfId="39"/>
    <tableColumn id="2" name="Agency" dataDxfId="38"/>
    <tableColumn id="3" name="Version" dataDxfId="37"/>
    <tableColumn id="6" name="IsFinal" dataDxfId="36"/>
    <tableColumn id="7" name="LAYOUT_ROW" dataDxfId="35"/>
    <tableColumn id="8" name="LAYOUT_COLUMN" dataDxfId="34"/>
    <tableColumn id="9" name="LAYOUT_ROW_SECTION" dataDxfId="33"/>
    <tableColumn id="10" name="NOT_DISPLAYED" dataDxfId="32"/>
    <tableColumn id="4" name="Name:en" dataDxfId="31"/>
    <tableColumn id="5" name="Description:en" dataDxfId="30"/>
  </tableColumns>
  <tableStyleInfo name="TableStyleLight16" showFirstColumn="0" showLastColumn="0" showRowStripes="1" showColumnStripes="0"/>
</table>
</file>

<file path=xl/tables/table3.xml><?xml version="1.0" encoding="utf-8"?>
<table xmlns="http://schemas.openxmlformats.org/spreadsheetml/2006/main" id="2" name="Table13" displayName="Table13" ref="A1:M2" totalsRowShown="0">
  <autoFilter ref="A1:M2"/>
  <tableColumns count="13">
    <tableColumn id="1" name="ID"/>
    <tableColumn id="2" name="Agency" dataDxfId="29"/>
    <tableColumn id="3" name="Version" dataDxfId="28"/>
    <tableColumn id="6" name="IsFinal"/>
    <tableColumn id="8" name="Cat.Sch Agency" dataDxfId="27"/>
    <tableColumn id="9" name="Cat.Scheme ID" dataDxfId="26"/>
    <tableColumn id="10" name="Cat.Sch Version" dataDxfId="25"/>
    <tableColumn id="7" name="Category" dataDxfId="24"/>
    <tableColumn id="11" name="Formula to Convert Name to Code" dataDxfId="23">
      <calculatedColumnFormula>FirstCharacters(N2,TRUE)</calculatedColumnFormula>
    </tableColumn>
    <tableColumn id="12" name="LAYOUT_ROW" dataDxfId="22"/>
    <tableColumn id="13" name="LAYOUT_COLUMN" dataDxfId="21"/>
    <tableColumn id="14" name="LAYOUT_ROW_SECTION" dataDxfId="20"/>
    <tableColumn id="15" name="NOT_DISPLAYED" dataDxfId="1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3.bin"/><Relationship Id="rId1" Type="http://schemas.openxmlformats.org/officeDocument/2006/relationships/hyperlink" Target="file:///C:\Users\barraclough_d\Technical%20standards\schemas\"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5" Type="http://schemas.openxmlformats.org/officeDocument/2006/relationships/printerSettings" Target="../printerSettings/printerSettings16.bin"/><Relationship Id="rId4" Type="http://schemas.openxmlformats.org/officeDocument/2006/relationships/printerSettings" Target="../printerSettings/printerSettings1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6" Type="http://schemas.openxmlformats.org/officeDocument/2006/relationships/printerSettings" Target="../printerSettings/printerSettings23.bin"/><Relationship Id="rId5" Type="http://schemas.openxmlformats.org/officeDocument/2006/relationships/printerSettings" Target="../printerSettings/printerSettings22.bin"/><Relationship Id="rId4" Type="http://schemas.openxmlformats.org/officeDocument/2006/relationships/printerSettings" Target="../printerSettings/printerSettings2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E42"/>
  <sheetViews>
    <sheetView zoomScaleNormal="100" workbookViewId="0">
      <selection activeCell="C29" sqref="C29"/>
    </sheetView>
  </sheetViews>
  <sheetFormatPr defaultRowHeight="18.75" x14ac:dyDescent="0.3"/>
  <cols>
    <col min="1" max="1" width="9.33203125" style="42"/>
    <col min="2" max="2" width="9.33203125" style="28"/>
    <col min="3" max="3" width="9.33203125" style="29"/>
    <col min="4" max="4" width="24" style="29" customWidth="1"/>
    <col min="5" max="16384" width="9.33203125" style="29"/>
  </cols>
  <sheetData>
    <row r="1" spans="1:5" s="46" customFormat="1" ht="21" x14ac:dyDescent="0.35">
      <c r="A1" s="45" t="s">
        <v>120</v>
      </c>
      <c r="B1" s="28"/>
      <c r="D1" s="47"/>
      <c r="E1" s="48"/>
    </row>
    <row r="2" spans="1:5" s="46" customFormat="1" ht="21" x14ac:dyDescent="0.35">
      <c r="A2" s="45">
        <v>0</v>
      </c>
      <c r="B2" s="28" t="s">
        <v>396</v>
      </c>
      <c r="D2" s="47"/>
      <c r="E2" s="48"/>
    </row>
    <row r="3" spans="1:5" x14ac:dyDescent="0.3">
      <c r="A3" s="42">
        <v>1</v>
      </c>
      <c r="B3" s="50" t="s">
        <v>182</v>
      </c>
    </row>
    <row r="4" spans="1:5" s="30" customFormat="1" x14ac:dyDescent="0.3">
      <c r="A4" s="42"/>
      <c r="B4" s="28"/>
      <c r="C4" s="30" t="s">
        <v>183</v>
      </c>
    </row>
    <row r="5" spans="1:5" s="30" customFormat="1" x14ac:dyDescent="0.3">
      <c r="A5" s="42"/>
      <c r="B5" s="28"/>
      <c r="C5" s="30" t="s">
        <v>186</v>
      </c>
    </row>
    <row r="6" spans="1:5" s="30" customFormat="1" x14ac:dyDescent="0.3">
      <c r="A6" s="42"/>
      <c r="B6" s="28"/>
      <c r="D6" s="30" t="s">
        <v>184</v>
      </c>
    </row>
    <row r="7" spans="1:5" s="30" customFormat="1" x14ac:dyDescent="0.3">
      <c r="A7" s="42"/>
      <c r="B7" s="28"/>
      <c r="D7" s="30" t="s">
        <v>185</v>
      </c>
    </row>
    <row r="8" spans="1:5" s="30" customFormat="1" x14ac:dyDescent="0.3">
      <c r="A8" s="42"/>
      <c r="B8" s="28"/>
      <c r="D8" s="30" t="s">
        <v>187</v>
      </c>
    </row>
    <row r="9" spans="1:5" x14ac:dyDescent="0.3">
      <c r="A9" s="42">
        <v>2</v>
      </c>
      <c r="B9" s="50" t="s">
        <v>123</v>
      </c>
    </row>
    <row r="10" spans="1:5" s="30" customFormat="1" x14ac:dyDescent="0.3">
      <c r="A10" s="42"/>
      <c r="B10" s="28"/>
      <c r="C10" s="30" t="s">
        <v>188</v>
      </c>
    </row>
    <row r="11" spans="1:5" s="30" customFormat="1" x14ac:dyDescent="0.3">
      <c r="A11" s="42"/>
      <c r="B11" s="28"/>
      <c r="C11" s="30" t="s">
        <v>124</v>
      </c>
    </row>
    <row r="12" spans="1:5" s="30" customFormat="1" x14ac:dyDescent="0.3">
      <c r="A12" s="42"/>
      <c r="B12" s="28"/>
      <c r="C12" s="30" t="s">
        <v>122</v>
      </c>
    </row>
    <row r="13" spans="1:5" s="30" customFormat="1" x14ac:dyDescent="0.3">
      <c r="A13" s="42"/>
      <c r="B13" s="28"/>
      <c r="C13" s="30" t="s">
        <v>176</v>
      </c>
    </row>
    <row r="14" spans="1:5" s="30" customFormat="1" x14ac:dyDescent="0.3">
      <c r="A14" s="42"/>
      <c r="B14" s="28"/>
      <c r="C14" s="30" t="s">
        <v>1008</v>
      </c>
    </row>
    <row r="15" spans="1:5" s="30" customFormat="1" x14ac:dyDescent="0.3">
      <c r="A15" s="42"/>
      <c r="B15" s="28"/>
      <c r="C15" s="30" t="s">
        <v>1009</v>
      </c>
    </row>
    <row r="16" spans="1:5" x14ac:dyDescent="0.3">
      <c r="A16" s="42">
        <v>3</v>
      </c>
      <c r="B16" s="64" t="s">
        <v>336</v>
      </c>
    </row>
    <row r="17" spans="1:3" x14ac:dyDescent="0.3">
      <c r="C17" s="30" t="s">
        <v>126</v>
      </c>
    </row>
    <row r="18" spans="1:3" x14ac:dyDescent="0.3">
      <c r="C18" s="30" t="s">
        <v>427</v>
      </c>
    </row>
    <row r="19" spans="1:3" x14ac:dyDescent="0.3">
      <c r="A19" s="42">
        <v>4</v>
      </c>
      <c r="B19" s="64" t="s">
        <v>121</v>
      </c>
    </row>
    <row r="20" spans="1:3" x14ac:dyDescent="0.3">
      <c r="C20" s="30" t="s">
        <v>128</v>
      </c>
    </row>
    <row r="21" spans="1:3" x14ac:dyDescent="0.3">
      <c r="C21" s="30" t="s">
        <v>127</v>
      </c>
    </row>
    <row r="22" spans="1:3" x14ac:dyDescent="0.3">
      <c r="C22" s="30" t="s">
        <v>177</v>
      </c>
    </row>
    <row r="23" spans="1:3" x14ac:dyDescent="0.3">
      <c r="C23" s="30" t="s">
        <v>178</v>
      </c>
    </row>
    <row r="24" spans="1:3" x14ac:dyDescent="0.3">
      <c r="C24" s="30" t="s">
        <v>179</v>
      </c>
    </row>
    <row r="25" spans="1:3" x14ac:dyDescent="0.3">
      <c r="A25" s="42">
        <v>5</v>
      </c>
      <c r="B25" s="50" t="s">
        <v>238</v>
      </c>
      <c r="C25" s="30"/>
    </row>
    <row r="26" spans="1:3" s="30" customFormat="1" x14ac:dyDescent="0.3">
      <c r="A26" s="42"/>
      <c r="B26" s="28"/>
      <c r="C26" s="30" t="s">
        <v>1010</v>
      </c>
    </row>
    <row r="27" spans="1:3" x14ac:dyDescent="0.3">
      <c r="A27" s="42">
        <v>6</v>
      </c>
      <c r="B27" s="50" t="s">
        <v>245</v>
      </c>
      <c r="C27" s="30"/>
    </row>
    <row r="28" spans="1:3" x14ac:dyDescent="0.3">
      <c r="B28" s="50"/>
      <c r="C28" s="30" t="s">
        <v>1011</v>
      </c>
    </row>
    <row r="29" spans="1:3" x14ac:dyDescent="0.3">
      <c r="A29" s="42">
        <v>7</v>
      </c>
      <c r="B29" s="50" t="s">
        <v>244</v>
      </c>
    </row>
    <row r="30" spans="1:3" s="30" customFormat="1" x14ac:dyDescent="0.3">
      <c r="A30" s="42"/>
      <c r="B30" s="28"/>
      <c r="C30" s="30" t="s">
        <v>201</v>
      </c>
    </row>
    <row r="31" spans="1:3" s="30" customFormat="1" x14ac:dyDescent="0.3">
      <c r="A31" s="42"/>
      <c r="B31" s="28"/>
      <c r="C31" s="30" t="s">
        <v>202</v>
      </c>
    </row>
    <row r="32" spans="1:3" s="30" customFormat="1" x14ac:dyDescent="0.3">
      <c r="A32" s="42"/>
      <c r="B32" s="28"/>
      <c r="C32" s="30" t="s">
        <v>203</v>
      </c>
    </row>
    <row r="33" spans="1:4" x14ac:dyDescent="0.3">
      <c r="D33" s="30" t="s">
        <v>125</v>
      </c>
    </row>
    <row r="34" spans="1:4" x14ac:dyDescent="0.3">
      <c r="C34" s="30" t="s">
        <v>204</v>
      </c>
    </row>
    <row r="35" spans="1:4" x14ac:dyDescent="0.3">
      <c r="D35" s="30" t="s">
        <v>205</v>
      </c>
    </row>
    <row r="36" spans="1:4" x14ac:dyDescent="0.3">
      <c r="A36" s="42">
        <v>8</v>
      </c>
      <c r="B36" s="64" t="s">
        <v>955</v>
      </c>
      <c r="D36" s="30"/>
    </row>
    <row r="37" spans="1:4" x14ac:dyDescent="0.3">
      <c r="B37" s="64"/>
      <c r="C37" s="30" t="s">
        <v>956</v>
      </c>
      <c r="D37" s="30"/>
    </row>
    <row r="38" spans="1:4" x14ac:dyDescent="0.3">
      <c r="C38" s="30" t="s">
        <v>957</v>
      </c>
      <c r="D38" s="30"/>
    </row>
    <row r="39" spans="1:4" x14ac:dyDescent="0.3">
      <c r="D39" s="30" t="s">
        <v>958</v>
      </c>
    </row>
    <row r="40" spans="1:4" x14ac:dyDescent="0.3">
      <c r="D40" s="30" t="s">
        <v>959</v>
      </c>
    </row>
    <row r="41" spans="1:4" s="28" customFormat="1" x14ac:dyDescent="0.3">
      <c r="A41" s="42">
        <v>9</v>
      </c>
      <c r="B41" s="50" t="s">
        <v>239</v>
      </c>
    </row>
    <row r="42" spans="1:4" x14ac:dyDescent="0.3">
      <c r="C42" s="30" t="s">
        <v>426</v>
      </c>
    </row>
  </sheetData>
  <hyperlinks>
    <hyperlink ref="B3" location="'Indicator-Concept Matrix'!A1" display="Decompose existing Indicators into separate Concepts"/>
    <hyperlink ref="B9" location="'Concept Scheme'!A1" display="Complete the Concept Scheme overview table with all concepts. "/>
    <hyperlink ref="B25" location="DSDs!A1" display="Add the DSDs and their details to the DSDs worksheet"/>
    <hyperlink ref="B29" location="'DSD-Concept Matrix'!A1" display="[if there is more than one DSD] Complete the DSD-Concept Matrix worksheet"/>
    <hyperlink ref="B41" location="'Generate SDMX-ML'!A1" display="Generate  the SDMX-ML using the Generate SDMX-ML worksheet"/>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filterMode="1">
    <tabColor rgb="FF0070C0"/>
  </sheetPr>
  <dimension ref="A1:G4"/>
  <sheetViews>
    <sheetView zoomScale="85" zoomScaleNormal="85" workbookViewId="0">
      <pane ySplit="3" topLeftCell="A4" activePane="bottomLeft" state="frozen"/>
      <selection activeCell="C49" sqref="C49"/>
      <selection pane="bottomLeft" activeCell="A4" sqref="A4"/>
    </sheetView>
  </sheetViews>
  <sheetFormatPr defaultColWidth="10.6640625" defaultRowHeight="15" x14ac:dyDescent="0.25"/>
  <cols>
    <col min="1" max="1" width="17.5" style="228" bestFit="1" customWidth="1"/>
    <col min="2" max="2" width="65.1640625" style="225" customWidth="1"/>
    <col min="3" max="3" width="32.1640625" style="244" customWidth="1"/>
    <col min="4" max="4" width="31" style="226" customWidth="1"/>
    <col min="5" max="5" width="14.5" style="227" bestFit="1" customWidth="1"/>
    <col min="6" max="6" width="10.6640625" style="224"/>
    <col min="7" max="7" width="16.6640625" style="224" customWidth="1"/>
    <col min="8" max="16384" width="10.6640625" style="224"/>
  </cols>
  <sheetData>
    <row r="1" spans="1:7" s="195" customFormat="1" ht="117.75" customHeight="1" x14ac:dyDescent="0.25">
      <c r="A1" s="251" t="s">
        <v>394</v>
      </c>
      <c r="B1" s="194" t="s">
        <v>181</v>
      </c>
      <c r="C1" s="243" t="s">
        <v>14</v>
      </c>
      <c r="D1" s="210" t="s">
        <v>18</v>
      </c>
      <c r="E1" s="211" t="s">
        <v>193</v>
      </c>
      <c r="F1" s="212" t="s">
        <v>28</v>
      </c>
      <c r="G1" s="213" t="s">
        <v>938</v>
      </c>
    </row>
    <row r="2" spans="1:7" s="214" customFormat="1" ht="26.25" x14ac:dyDescent="0.4">
      <c r="A2" s="246"/>
      <c r="B2" s="215" t="s">
        <v>180</v>
      </c>
      <c r="C2" s="215"/>
      <c r="D2" s="216"/>
      <c r="E2" s="217"/>
      <c r="F2" s="218"/>
      <c r="G2" s="219" t="s">
        <v>939</v>
      </c>
    </row>
    <row r="3" spans="1:7" s="214" customFormat="1" ht="26.25" x14ac:dyDescent="0.4">
      <c r="A3" s="245" t="s">
        <v>247</v>
      </c>
      <c r="B3" s="220"/>
      <c r="C3" s="220"/>
      <c r="D3" s="221"/>
      <c r="E3" s="221"/>
      <c r="F3" s="222"/>
      <c r="G3" s="223"/>
    </row>
    <row r="4" spans="1:7" s="228" customFormat="1" x14ac:dyDescent="0.25">
      <c r="B4" s="229"/>
      <c r="C4" s="230"/>
      <c r="D4" s="231"/>
      <c r="E4" s="232"/>
    </row>
  </sheetData>
  <autoFilter ref="A1:A3">
    <filterColumn colId="0">
      <filters blank="1">
        <filter val="AIR_GHG"/>
        <filter val="Source"/>
      </filters>
    </filterColumn>
  </autoFilter>
  <hyperlinks>
    <hyperlink ref="F1" location="CL_UNIT_MULT!A1" display="UNIT_MULT"/>
    <hyperlink ref="E1" location="CL_MEASURE!A1" display="MEASURE"/>
    <hyperlink ref="D1" location="CL_UNIT_MEASURE!A1" display="UNIT_MEASURE"/>
    <hyperlink ref="C1" location="CL_AREA!A1" display="REF_AREA"/>
    <hyperlink ref="A1" location="'Indicator-Concept Matrix'!A1" display="Update Concept Scheme Concepts from Indicator matrix"/>
  </hyperlink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A1:G11"/>
  <sheetViews>
    <sheetView zoomScaleNormal="100" workbookViewId="0">
      <selection activeCell="D11" sqref="D11"/>
    </sheetView>
  </sheetViews>
  <sheetFormatPr defaultRowHeight="15" x14ac:dyDescent="0.25"/>
  <cols>
    <col min="1" max="1" width="36.1640625" style="28" bestFit="1" customWidth="1"/>
    <col min="2" max="2" width="29.1640625" style="60" bestFit="1" customWidth="1"/>
    <col min="3" max="3" width="58.33203125" style="60" customWidth="1"/>
    <col min="4" max="4" width="33.6640625" style="208" customWidth="1"/>
    <col min="5" max="5" width="27.6640625" style="198" bestFit="1" customWidth="1"/>
    <col min="6" max="6" width="43.5" style="209" customWidth="1"/>
    <col min="7" max="7" width="37.5" style="28" bestFit="1" customWidth="1"/>
    <col min="8" max="10" width="9.33203125" style="28"/>
    <col min="11" max="11" width="48.6640625" style="28" bestFit="1" customWidth="1"/>
    <col min="12" max="12" width="4.5" style="28" bestFit="1" customWidth="1"/>
    <col min="13" max="16384" width="9.33203125" style="28"/>
  </cols>
  <sheetData>
    <row r="1" spans="1:7" s="75" customFormat="1" ht="36" x14ac:dyDescent="0.55000000000000004">
      <c r="A1" s="252" t="s">
        <v>259</v>
      </c>
      <c r="B1" s="252"/>
      <c r="C1" s="252"/>
      <c r="D1" s="76" t="s">
        <v>256</v>
      </c>
      <c r="F1" s="74"/>
    </row>
    <row r="2" spans="1:7" s="61" customFormat="1" ht="18.75" x14ac:dyDescent="0.2">
      <c r="A2" s="61" t="s">
        <v>260</v>
      </c>
      <c r="B2" s="62" t="s">
        <v>213</v>
      </c>
      <c r="C2" s="62" t="s">
        <v>252</v>
      </c>
      <c r="D2" s="199" t="s">
        <v>237</v>
      </c>
      <c r="E2" s="200" t="s">
        <v>931</v>
      </c>
      <c r="F2" s="201"/>
    </row>
    <row r="3" spans="1:7" s="58" customFormat="1" ht="30" x14ac:dyDescent="0.2">
      <c r="A3" s="63">
        <v>0</v>
      </c>
      <c r="B3" s="56" t="s">
        <v>358</v>
      </c>
      <c r="C3" s="56" t="s">
        <v>253</v>
      </c>
      <c r="D3" s="199" t="s">
        <v>243</v>
      </c>
      <c r="E3" s="202">
        <v>0</v>
      </c>
      <c r="F3" s="197"/>
    </row>
    <row r="4" spans="1:7" s="58" customFormat="1" ht="30" x14ac:dyDescent="0.2">
      <c r="A4" s="63">
        <v>0</v>
      </c>
      <c r="B4" s="56" t="s">
        <v>357</v>
      </c>
      <c r="C4" s="56" t="s">
        <v>942</v>
      </c>
      <c r="D4" s="199" t="s">
        <v>952</v>
      </c>
      <c r="E4" s="203" t="s">
        <v>281</v>
      </c>
      <c r="F4" s="197"/>
    </row>
    <row r="5" spans="1:7" s="58" customFormat="1" ht="30" x14ac:dyDescent="0.2">
      <c r="A5" s="63">
        <v>0</v>
      </c>
      <c r="B5" s="56" t="s">
        <v>212</v>
      </c>
      <c r="C5" s="56" t="s">
        <v>261</v>
      </c>
      <c r="D5" s="204" t="s">
        <v>953</v>
      </c>
      <c r="E5" s="197" t="s">
        <v>359</v>
      </c>
      <c r="F5" s="203"/>
    </row>
    <row r="6" spans="1:7" s="58" customFormat="1" x14ac:dyDescent="0.2">
      <c r="A6" s="63">
        <v>0</v>
      </c>
      <c r="B6" s="56" t="s">
        <v>208</v>
      </c>
      <c r="C6" s="56" t="s">
        <v>255</v>
      </c>
      <c r="D6" s="205"/>
      <c r="E6" s="206"/>
      <c r="F6" s="203"/>
    </row>
    <row r="7" spans="1:7" s="58" customFormat="1" ht="31.5" x14ac:dyDescent="0.2">
      <c r="A7" s="63">
        <v>0</v>
      </c>
      <c r="B7" s="56" t="s">
        <v>209</v>
      </c>
      <c r="C7" s="56" t="s">
        <v>254</v>
      </c>
      <c r="D7" s="196" t="s">
        <v>393</v>
      </c>
      <c r="E7" s="196"/>
      <c r="F7" s="196" t="s">
        <v>950</v>
      </c>
      <c r="G7" s="196" t="s">
        <v>252</v>
      </c>
    </row>
    <row r="8" spans="1:7" s="58" customFormat="1" x14ac:dyDescent="0.2">
      <c r="A8" s="63">
        <v>0</v>
      </c>
      <c r="B8" s="56" t="s">
        <v>246</v>
      </c>
      <c r="C8" s="56" t="s">
        <v>251</v>
      </c>
      <c r="D8" s="247" t="s">
        <v>394</v>
      </c>
      <c r="E8" s="197"/>
      <c r="F8" s="206"/>
      <c r="G8" s="58" t="s">
        <v>960</v>
      </c>
    </row>
    <row r="9" spans="1:7" s="58" customFormat="1" x14ac:dyDescent="0.2">
      <c r="B9" s="56"/>
      <c r="C9" s="56"/>
      <c r="D9" s="248" t="s">
        <v>395</v>
      </c>
      <c r="E9" s="197"/>
      <c r="F9" s="206"/>
      <c r="G9" s="58" t="s">
        <v>961</v>
      </c>
    </row>
    <row r="10" spans="1:7" x14ac:dyDescent="0.25">
      <c r="A10" s="58"/>
      <c r="B10" s="56"/>
      <c r="C10" s="56"/>
      <c r="D10" s="249" t="s">
        <v>954</v>
      </c>
      <c r="E10" s="197"/>
      <c r="F10" s="206"/>
      <c r="G10" s="28" t="s">
        <v>962</v>
      </c>
    </row>
    <row r="11" spans="1:7" x14ac:dyDescent="0.25">
      <c r="C11" s="56"/>
      <c r="D11" s="249" t="s">
        <v>951</v>
      </c>
      <c r="F11" s="207"/>
      <c r="G11" s="28" t="s">
        <v>963</v>
      </c>
    </row>
  </sheetData>
  <mergeCells count="1">
    <mergeCell ref="A1:C1"/>
  </mergeCells>
  <hyperlinks>
    <hyperlink ref="A1" location="'Generate SDMX-ML'!A1" display="Generate SDMX-ML!"/>
    <hyperlink ref="E2" r:id="rId1" display="\\FS-CH-1.main.oecd.org\Users1\barraclough_d\SDMX\Technical standards\schemas\"/>
    <hyperlink ref="A1:C1" location="'Generate SDMX &amp; Params'!A1" display="Generate SDMX-ML"/>
    <hyperlink ref="D8" location="'Indicator-Concept Matrix'!A1" display="Update Concept Scheme Concepts from Indicator matrix"/>
    <hyperlink ref="D9" location="'Concept Scheme'!A1" display="Update DSD Matrix Concepts and CLs from Concept Scheme"/>
    <hyperlink ref="D10" location="'Concept Scheme'!A1" display="Update Constraints from DSD matrix"/>
    <hyperlink ref="D11" location="'Concept Scheme'!A1" display="Remove Constraints from Codelists"/>
  </hyperlinks>
  <pageMargins left="0.7" right="0.7" top="0.75" bottom="0.75" header="0.3" footer="0.3"/>
  <pageSetup paperSize="9" orientation="portrait"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27"/>
  <sheetViews>
    <sheetView workbookViewId="0">
      <selection activeCell="A27" sqref="A27"/>
    </sheetView>
  </sheetViews>
  <sheetFormatPr defaultRowHeight="12.75" x14ac:dyDescent="0.2"/>
  <cols>
    <col min="1" max="1" width="18.5" style="98" bestFit="1" customWidth="1"/>
    <col min="2" max="2" width="28.1640625" style="98" customWidth="1"/>
    <col min="3" max="16384" width="9.33203125" style="98"/>
  </cols>
  <sheetData>
    <row r="1" spans="1:2" x14ac:dyDescent="0.2">
      <c r="A1" s="98" t="s">
        <v>337</v>
      </c>
      <c r="B1" s="98" t="s">
        <v>19</v>
      </c>
    </row>
    <row r="2" spans="1:2" x14ac:dyDescent="0.2">
      <c r="B2" s="98" t="s">
        <v>20</v>
      </c>
    </row>
    <row r="3" spans="1:2" x14ac:dyDescent="0.2">
      <c r="B3" s="98" t="s">
        <v>3</v>
      </c>
    </row>
    <row r="4" spans="1:2" x14ac:dyDescent="0.2">
      <c r="B4" s="98" t="s">
        <v>1</v>
      </c>
    </row>
    <row r="5" spans="1:2" x14ac:dyDescent="0.2">
      <c r="B5" s="98" t="s">
        <v>214</v>
      </c>
    </row>
    <row r="6" spans="1:2" x14ac:dyDescent="0.2">
      <c r="B6" s="98" t="s">
        <v>338</v>
      </c>
    </row>
    <row r="7" spans="1:2" x14ac:dyDescent="0.2">
      <c r="B7" s="98" t="s">
        <v>24</v>
      </c>
    </row>
    <row r="8" spans="1:2" x14ac:dyDescent="0.2">
      <c r="B8" s="98" t="s">
        <v>38</v>
      </c>
    </row>
    <row r="9" spans="1:2" x14ac:dyDescent="0.2">
      <c r="B9" s="98" t="s">
        <v>339</v>
      </c>
    </row>
    <row r="10" spans="1:2" x14ac:dyDescent="0.2">
      <c r="B10" s="98" t="s">
        <v>340</v>
      </c>
    </row>
    <row r="11" spans="1:2" x14ac:dyDescent="0.2">
      <c r="A11" s="98" t="s">
        <v>341</v>
      </c>
      <c r="B11" s="98" t="s">
        <v>45</v>
      </c>
    </row>
    <row r="12" spans="1:2" x14ac:dyDescent="0.2">
      <c r="B12" s="99" t="s">
        <v>40</v>
      </c>
    </row>
    <row r="13" spans="1:2" x14ac:dyDescent="0.2">
      <c r="B13" s="99" t="s">
        <v>107</v>
      </c>
    </row>
    <row r="14" spans="1:2" x14ac:dyDescent="0.2">
      <c r="B14" s="98" t="s">
        <v>46</v>
      </c>
    </row>
    <row r="15" spans="1:2" x14ac:dyDescent="0.2">
      <c r="A15" s="98" t="s">
        <v>342</v>
      </c>
      <c r="B15" s="98" t="b">
        <v>1</v>
      </c>
    </row>
    <row r="16" spans="1:2" x14ac:dyDescent="0.2">
      <c r="B16" s="98" t="b">
        <v>0</v>
      </c>
    </row>
    <row r="17" spans="1:2" x14ac:dyDescent="0.2">
      <c r="A17" s="98" t="s">
        <v>343</v>
      </c>
      <c r="B17" s="98" t="s">
        <v>2</v>
      </c>
    </row>
    <row r="18" spans="1:2" x14ac:dyDescent="0.2">
      <c r="B18" s="98" t="s">
        <v>224</v>
      </c>
    </row>
    <row r="19" spans="1:2" x14ac:dyDescent="0.2">
      <c r="B19" s="98" t="s">
        <v>344</v>
      </c>
    </row>
    <row r="20" spans="1:2" x14ac:dyDescent="0.2">
      <c r="A20" s="98" t="s">
        <v>354</v>
      </c>
      <c r="B20" s="100" t="s">
        <v>345</v>
      </c>
    </row>
    <row r="21" spans="1:2" x14ac:dyDescent="0.2">
      <c r="B21" s="100" t="s">
        <v>16</v>
      </c>
    </row>
    <row r="22" spans="1:2" x14ac:dyDescent="0.2">
      <c r="B22" s="100" t="s">
        <v>347</v>
      </c>
    </row>
    <row r="23" spans="1:2" x14ac:dyDescent="0.2">
      <c r="B23" s="100" t="s">
        <v>356</v>
      </c>
    </row>
    <row r="24" spans="1:2" x14ac:dyDescent="0.2">
      <c r="B24" s="101" t="s">
        <v>348</v>
      </c>
    </row>
    <row r="25" spans="1:2" x14ac:dyDescent="0.2">
      <c r="B25" s="101" t="s">
        <v>346</v>
      </c>
    </row>
    <row r="26" spans="1:2" x14ac:dyDescent="0.2">
      <c r="B26" s="101" t="s">
        <v>355</v>
      </c>
    </row>
    <row r="27" spans="1:2" x14ac:dyDescent="0.2">
      <c r="B27" s="101"/>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70C0"/>
  </sheetPr>
  <dimension ref="A1:P12"/>
  <sheetViews>
    <sheetView zoomScaleNormal="100" workbookViewId="0">
      <pane xSplit="2" ySplit="2" topLeftCell="E3" activePane="bottomRight" state="frozen"/>
      <selection activeCell="A7" sqref="A7"/>
      <selection pane="topRight" activeCell="A7" sqref="A7"/>
      <selection pane="bottomLeft" activeCell="A7" sqref="A7"/>
      <selection pane="bottomRight"/>
    </sheetView>
  </sheetViews>
  <sheetFormatPr defaultRowHeight="12.75" x14ac:dyDescent="0.2"/>
  <cols>
    <col min="1" max="1" width="23.33203125" style="24" customWidth="1"/>
    <col min="2" max="2" width="17.83203125" style="24" bestFit="1" customWidth="1"/>
    <col min="3" max="3" width="21.1640625" style="26" bestFit="1" customWidth="1"/>
    <col min="4" max="4" width="29.33203125" style="24" bestFit="1" customWidth="1"/>
    <col min="5" max="5" width="11.33203125" style="24" bestFit="1" customWidth="1"/>
    <col min="6" max="6" width="12.1640625" style="26" bestFit="1" customWidth="1"/>
    <col min="7" max="7" width="13.6640625" style="44" bestFit="1" customWidth="1"/>
    <col min="8" max="8" width="25" style="24" customWidth="1"/>
    <col min="9" max="9" width="25.5" style="25" customWidth="1"/>
    <col min="10" max="10" width="22" style="134" customWidth="1"/>
    <col min="11" max="11" width="27.5" style="26" customWidth="1"/>
    <col min="12" max="12" width="20.1640625" style="24" customWidth="1"/>
    <col min="13" max="13" width="12.33203125" style="24" bestFit="1" customWidth="1"/>
    <col min="14" max="14" width="32" style="24" bestFit="1" customWidth="1"/>
    <col min="15" max="15" width="21.33203125" style="24" bestFit="1" customWidth="1"/>
    <col min="16" max="16384" width="9.33203125" style="24"/>
  </cols>
  <sheetData>
    <row r="1" spans="1:16" s="103" customFormat="1" ht="18.75" x14ac:dyDescent="0.3">
      <c r="A1" s="102" t="s">
        <v>41</v>
      </c>
      <c r="B1" s="103" t="s">
        <v>13</v>
      </c>
      <c r="C1" s="104" t="s">
        <v>42</v>
      </c>
      <c r="D1" s="105" t="s">
        <v>129</v>
      </c>
      <c r="E1" s="102" t="s">
        <v>206</v>
      </c>
      <c r="F1" s="103" t="s">
        <v>935</v>
      </c>
      <c r="G1" s="107" t="s">
        <v>257</v>
      </c>
      <c r="H1" s="108" t="b">
        <v>0</v>
      </c>
      <c r="I1" s="106" t="s">
        <v>973</v>
      </c>
      <c r="J1" s="103" t="s">
        <v>999</v>
      </c>
      <c r="K1" s="102" t="s">
        <v>974</v>
      </c>
      <c r="L1" s="133" t="s">
        <v>1000</v>
      </c>
      <c r="M1" s="106" t="s">
        <v>976</v>
      </c>
      <c r="N1" s="103" t="s">
        <v>998</v>
      </c>
      <c r="O1" s="102" t="s">
        <v>974</v>
      </c>
      <c r="P1" s="133" t="s">
        <v>997</v>
      </c>
    </row>
    <row r="2" spans="1:16" s="96" customFormat="1" ht="38.25" x14ac:dyDescent="0.2">
      <c r="A2" s="137" t="s">
        <v>47</v>
      </c>
      <c r="B2" s="137" t="s">
        <v>108</v>
      </c>
      <c r="C2" s="139" t="s">
        <v>49</v>
      </c>
      <c r="D2" s="140" t="s">
        <v>44</v>
      </c>
      <c r="E2" s="140" t="s">
        <v>274</v>
      </c>
      <c r="F2" s="140" t="s">
        <v>275</v>
      </c>
      <c r="G2" s="141" t="s">
        <v>335</v>
      </c>
      <c r="H2" s="138" t="s">
        <v>995</v>
      </c>
      <c r="I2" s="137" t="s">
        <v>996</v>
      </c>
      <c r="J2" s="138" t="s">
        <v>1002</v>
      </c>
      <c r="K2" s="137" t="s">
        <v>1003</v>
      </c>
    </row>
    <row r="3" spans="1:16" s="176" customFormat="1" ht="90" x14ac:dyDescent="0.2">
      <c r="A3" s="145" t="s">
        <v>3</v>
      </c>
      <c r="B3" s="146" t="s">
        <v>193</v>
      </c>
      <c r="C3" s="156" t="s">
        <v>219</v>
      </c>
      <c r="D3" s="146" t="s">
        <v>45</v>
      </c>
      <c r="E3" s="176">
        <v>1</v>
      </c>
      <c r="F3" s="176">
        <v>25</v>
      </c>
      <c r="G3" s="100"/>
      <c r="H3" s="146" t="s">
        <v>194</v>
      </c>
      <c r="I3" s="146" t="s">
        <v>215</v>
      </c>
      <c r="J3" s="146" t="s">
        <v>1004</v>
      </c>
      <c r="K3" s="146" t="s">
        <v>1005</v>
      </c>
    </row>
    <row r="4" spans="1:16" s="176" customFormat="1" ht="38.25" customHeight="1" x14ac:dyDescent="0.2">
      <c r="A4" s="145" t="s">
        <v>3</v>
      </c>
      <c r="B4" s="146" t="s">
        <v>18</v>
      </c>
      <c r="C4" s="156" t="s">
        <v>220</v>
      </c>
      <c r="D4" s="146" t="s">
        <v>45</v>
      </c>
      <c r="E4" s="176">
        <v>1</v>
      </c>
      <c r="F4" s="176">
        <v>25</v>
      </c>
      <c r="G4" s="177"/>
      <c r="H4" s="146" t="s">
        <v>195</v>
      </c>
      <c r="I4" s="146" t="s">
        <v>216</v>
      </c>
      <c r="J4" s="146" t="s">
        <v>1006</v>
      </c>
      <c r="K4" s="146" t="s">
        <v>1007</v>
      </c>
    </row>
    <row r="5" spans="1:16" s="176" customFormat="1" ht="60" x14ac:dyDescent="0.2">
      <c r="A5" s="147" t="s">
        <v>3</v>
      </c>
      <c r="B5" s="148" t="s">
        <v>14</v>
      </c>
      <c r="C5" s="156" t="s">
        <v>218</v>
      </c>
      <c r="D5" s="146" t="s">
        <v>45</v>
      </c>
      <c r="E5" s="176">
        <v>1</v>
      </c>
      <c r="F5" s="176">
        <v>25</v>
      </c>
      <c r="G5" s="177"/>
      <c r="H5" s="148" t="s">
        <v>15</v>
      </c>
      <c r="I5" s="149" t="s">
        <v>217</v>
      </c>
      <c r="J5" s="148" t="s">
        <v>15</v>
      </c>
      <c r="K5" s="149" t="s">
        <v>217</v>
      </c>
    </row>
    <row r="6" spans="1:16" ht="60" x14ac:dyDescent="0.2">
      <c r="A6" s="151" t="s">
        <v>20</v>
      </c>
      <c r="B6" s="150" t="s">
        <v>39</v>
      </c>
      <c r="C6" s="157" t="s">
        <v>50</v>
      </c>
      <c r="D6" s="150" t="s">
        <v>40</v>
      </c>
      <c r="E6" s="176"/>
      <c r="F6" s="176"/>
      <c r="G6" s="26"/>
      <c r="H6" s="150" t="s">
        <v>48</v>
      </c>
      <c r="I6" s="146" t="s">
        <v>428</v>
      </c>
      <c r="J6" s="150" t="s">
        <v>48</v>
      </c>
      <c r="K6" s="146" t="s">
        <v>428</v>
      </c>
    </row>
    <row r="7" spans="1:16" ht="60" x14ac:dyDescent="0.2">
      <c r="A7" s="151" t="s">
        <v>19</v>
      </c>
      <c r="B7" s="150" t="s">
        <v>16</v>
      </c>
      <c r="C7" s="156" t="s">
        <v>17</v>
      </c>
      <c r="D7" s="150" t="s">
        <v>45</v>
      </c>
      <c r="E7" s="176">
        <v>1</v>
      </c>
      <c r="F7" s="176">
        <v>25</v>
      </c>
      <c r="G7" s="26"/>
      <c r="H7" s="150" t="s">
        <v>4</v>
      </c>
      <c r="I7" s="146" t="s">
        <v>429</v>
      </c>
      <c r="J7" s="150" t="s">
        <v>4</v>
      </c>
      <c r="K7" s="146" t="s">
        <v>429</v>
      </c>
    </row>
    <row r="8" spans="1:16" ht="12.75" customHeight="1" x14ac:dyDescent="0.2">
      <c r="A8" s="147" t="s">
        <v>1</v>
      </c>
      <c r="B8" s="150" t="s">
        <v>36</v>
      </c>
      <c r="C8" s="157" t="s">
        <v>50</v>
      </c>
      <c r="D8" s="175" t="s">
        <v>107</v>
      </c>
      <c r="E8" s="176">
        <v>1</v>
      </c>
      <c r="F8" s="176">
        <v>25</v>
      </c>
      <c r="G8" s="26"/>
      <c r="H8" s="150" t="s">
        <v>37</v>
      </c>
      <c r="I8" s="146" t="s">
        <v>430</v>
      </c>
      <c r="J8" s="150" t="s">
        <v>37</v>
      </c>
      <c r="K8" s="146" t="s">
        <v>430</v>
      </c>
    </row>
    <row r="9" spans="1:16" ht="75" x14ac:dyDescent="0.2">
      <c r="A9" s="152" t="s">
        <v>214</v>
      </c>
      <c r="B9" s="153" t="s">
        <v>25</v>
      </c>
      <c r="C9" s="156" t="s">
        <v>29</v>
      </c>
      <c r="D9" s="150" t="s">
        <v>45</v>
      </c>
      <c r="E9" s="176">
        <v>1</v>
      </c>
      <c r="F9" s="176">
        <v>25</v>
      </c>
      <c r="G9" s="26"/>
      <c r="H9" s="150" t="s">
        <v>32</v>
      </c>
      <c r="I9" s="146" t="s">
        <v>431</v>
      </c>
      <c r="J9" s="150" t="s">
        <v>32</v>
      </c>
      <c r="K9" s="146" t="s">
        <v>431</v>
      </c>
    </row>
    <row r="10" spans="1:16" ht="38.25" x14ac:dyDescent="0.2">
      <c r="A10" s="179" t="s">
        <v>24</v>
      </c>
      <c r="B10" s="175" t="s">
        <v>26</v>
      </c>
      <c r="C10" s="180" t="s">
        <v>934</v>
      </c>
      <c r="D10" s="175" t="s">
        <v>46</v>
      </c>
      <c r="E10" s="176">
        <v>1</v>
      </c>
      <c r="F10" s="178">
        <v>2</v>
      </c>
      <c r="G10" s="177"/>
      <c r="H10" s="175" t="s">
        <v>33</v>
      </c>
      <c r="I10" s="174" t="s">
        <v>933</v>
      </c>
      <c r="J10" s="175" t="s">
        <v>33</v>
      </c>
      <c r="K10" s="174" t="s">
        <v>933</v>
      </c>
    </row>
    <row r="11" spans="1:16" ht="60" x14ac:dyDescent="0.2">
      <c r="A11" s="152" t="s">
        <v>214</v>
      </c>
      <c r="B11" s="153" t="s">
        <v>27</v>
      </c>
      <c r="C11" s="173" t="s">
        <v>30</v>
      </c>
      <c r="D11" s="150" t="s">
        <v>45</v>
      </c>
      <c r="E11" s="176">
        <v>1</v>
      </c>
      <c r="F11" s="176">
        <v>25</v>
      </c>
      <c r="G11" s="26"/>
      <c r="H11" s="150" t="s">
        <v>34</v>
      </c>
      <c r="I11" s="146" t="s">
        <v>432</v>
      </c>
      <c r="J11" s="150" t="s">
        <v>34</v>
      </c>
      <c r="K11" s="146" t="s">
        <v>432</v>
      </c>
    </row>
    <row r="12" spans="1:16" ht="120" x14ac:dyDescent="0.2">
      <c r="A12" s="152" t="s">
        <v>338</v>
      </c>
      <c r="B12" s="154" t="s">
        <v>28</v>
      </c>
      <c r="C12" s="173" t="s">
        <v>31</v>
      </c>
      <c r="D12" s="150" t="s">
        <v>46</v>
      </c>
      <c r="E12" s="176">
        <v>1</v>
      </c>
      <c r="F12" s="176">
        <v>25</v>
      </c>
      <c r="G12" s="26"/>
      <c r="H12" s="155" t="s">
        <v>35</v>
      </c>
      <c r="I12" s="146" t="s">
        <v>433</v>
      </c>
      <c r="J12" s="155" t="s">
        <v>35</v>
      </c>
      <c r="K12" s="146" t="s">
        <v>433</v>
      </c>
    </row>
  </sheetData>
  <conditionalFormatting sqref="D2:F2">
    <cfRule type="duplicateValues" dxfId="18" priority="1"/>
  </conditionalFormatting>
  <conditionalFormatting sqref="B3:B82">
    <cfRule type="duplicateValues" dxfId="17" priority="2"/>
  </conditionalFormatting>
  <dataValidations count="5">
    <dataValidation type="list" allowBlank="1" showInputMessage="1" showErrorMessage="1" sqref="K13:K1048576 G3:G12">
      <formula1>drpConceptRoles</formula1>
    </dataValidation>
    <dataValidation type="whole" allowBlank="1" showInputMessage="1" showErrorMessage="1" sqref="I13:J1048576 E3:F12">
      <formula1>1</formula1>
      <formula2>999999</formula2>
    </dataValidation>
    <dataValidation type="list" allowBlank="1" showInputMessage="1" showErrorMessage="1" sqref="A3:A37">
      <formula1>drpDimAttrMeas</formula1>
    </dataValidation>
    <dataValidation type="list" allowBlank="1" showInputMessage="1" showErrorMessage="1" sqref="D3:D5">
      <formula1>drpTypes</formula1>
    </dataValidation>
    <dataValidation type="list" allowBlank="1" showInputMessage="1" showErrorMessage="1" sqref="H1">
      <formula1>drpBoolean</formula1>
    </dataValidation>
  </dataValidations>
  <hyperlinks>
    <hyperlink ref="C3" location="CL_MEASURE!A1" display="CL_MEASURE"/>
    <hyperlink ref="C4" location="CL_UNIT_MEASURE!A1" display="CL_UNIT_MEASURE"/>
    <hyperlink ref="C5" location="CL_AREA!A1" display="CL_AREA"/>
    <hyperlink ref="C9" location="CL_CONF_STATUS!A1" display="CL_CONF_STATUS"/>
    <hyperlink ref="C11" location="CL_OBS_STATUS!A1" display="CL_OBS_STATUS"/>
    <hyperlink ref="C12" location="CL_UNIT_MULT!A1" display="CL_UNIT_MULT"/>
    <hyperlink ref="C7" location="CL_FREQ!A1" display="CL_FREQ"/>
    <hyperlink ref="C10" location="CL_DECIMALS!A1" display="CL_DECIMALS"/>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L40"/>
  <sheetViews>
    <sheetView zoomScale="130" zoomScaleNormal="130" workbookViewId="0">
      <pane xSplit="1" ySplit="1" topLeftCell="B2" activePane="bottomRight" state="frozen"/>
      <selection pane="topRight" activeCell="B1" sqref="B1"/>
      <selection pane="bottomLeft" activeCell="A2" sqref="A2"/>
      <selection pane="bottomRight" activeCell="F7" sqref="F7"/>
    </sheetView>
  </sheetViews>
  <sheetFormatPr defaultRowHeight="11.25" x14ac:dyDescent="0.2"/>
  <cols>
    <col min="1" max="1" width="9.33203125" style="161"/>
    <col min="2" max="2" width="11.1640625" style="161" customWidth="1"/>
    <col min="3" max="3" width="11.6640625" style="164" customWidth="1"/>
    <col min="5" max="5" width="18.83203125" bestFit="1" customWidth="1"/>
    <col min="6" max="6" width="23.1640625" style="161" bestFit="1" customWidth="1"/>
    <col min="7" max="7" width="29.33203125" style="161" bestFit="1" customWidth="1"/>
    <col min="8" max="8" width="23.1640625" style="161" bestFit="1" customWidth="1"/>
    <col min="9" max="9" width="29.33203125" style="161" bestFit="1" customWidth="1"/>
    <col min="10" max="10" width="21" style="161" bestFit="1" customWidth="1"/>
    <col min="11" max="11" width="29.33203125" style="161" bestFit="1" customWidth="1"/>
    <col min="12" max="12" width="21" style="161" bestFit="1" customWidth="1"/>
    <col min="13" max="16384" width="9.33203125" style="161"/>
  </cols>
  <sheetData>
    <row r="1" spans="1:12" ht="15" x14ac:dyDescent="0.2">
      <c r="A1" s="158" t="s">
        <v>235</v>
      </c>
      <c r="B1" s="159" t="s">
        <v>41</v>
      </c>
      <c r="C1" s="160" t="s">
        <v>42</v>
      </c>
      <c r="D1" s="159" t="s">
        <v>257</v>
      </c>
      <c r="E1" s="237" t="s">
        <v>966</v>
      </c>
      <c r="F1" s="237" t="s">
        <v>967</v>
      </c>
      <c r="G1" s="237" t="s">
        <v>968</v>
      </c>
      <c r="H1" s="237" t="s">
        <v>970</v>
      </c>
      <c r="I1" s="159" t="s">
        <v>973</v>
      </c>
      <c r="J1" s="159" t="s">
        <v>974</v>
      </c>
      <c r="K1" s="159" t="s">
        <v>976</v>
      </c>
      <c r="L1" s="159" t="s">
        <v>977</v>
      </c>
    </row>
    <row r="2" spans="1:12" x14ac:dyDescent="0.2">
      <c r="A2" s="162" t="s">
        <v>944</v>
      </c>
      <c r="B2" s="162" t="s">
        <v>13</v>
      </c>
      <c r="C2" s="163" t="s">
        <v>129</v>
      </c>
      <c r="D2" s="162" t="b">
        <v>0</v>
      </c>
      <c r="E2" s="34" t="s">
        <v>14</v>
      </c>
      <c r="F2" s="34" t="s">
        <v>360</v>
      </c>
      <c r="G2" s="4" t="s">
        <v>969</v>
      </c>
      <c r="H2" s="238" t="s">
        <v>16</v>
      </c>
      <c r="I2" s="162" t="s">
        <v>990</v>
      </c>
      <c r="J2" s="162" t="s">
        <v>991</v>
      </c>
      <c r="K2" s="239" t="s">
        <v>992</v>
      </c>
      <c r="L2" s="240" t="s">
        <v>993</v>
      </c>
    </row>
    <row r="40" spans="3:3" x14ac:dyDescent="0.2">
      <c r="C40" s="164">
        <f>+C44</f>
        <v>0</v>
      </c>
    </row>
  </sheetData>
  <protectedRanges>
    <protectedRange algorithmName="SHA-512" hashValue="qTcaU7p6hnrcV3QGwQgrp2MI4WU29Lws/lA1J6AzrgWq0XJDLSt1Xlmzwxsk2QvAMj1vfi/H8qOxj6AU1x4rhg==" saltValue="YGeSSPmDG66YJOhj5E5XPA==" spinCount="100000" sqref="A1:D1 I1:L1" name="Range1_1"/>
  </protectedRanges>
  <conditionalFormatting sqref="A2">
    <cfRule type="duplicateValues" dxfId="16" priority="3"/>
  </conditionalFormatting>
  <conditionalFormatting sqref="A2:A100">
    <cfRule type="duplicateValues" dxfId="15" priority="1"/>
  </conditionalFormatting>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70C0"/>
  </sheetPr>
  <dimension ref="A1:Q39"/>
  <sheetViews>
    <sheetView zoomScale="85" zoomScaleNormal="85" workbookViewId="0">
      <pane xSplit="1" ySplit="1" topLeftCell="B2" activePane="bottomRight" state="frozen"/>
      <selection pane="topRight" activeCell="B1" sqref="B1"/>
      <selection pane="bottomLeft" activeCell="A2" sqref="A2"/>
      <selection pane="bottomRight" activeCell="A2" sqref="A2:F35"/>
    </sheetView>
  </sheetViews>
  <sheetFormatPr defaultRowHeight="11.25" x14ac:dyDescent="0.2"/>
  <cols>
    <col min="1" max="1" width="16.33203125" customWidth="1"/>
    <col min="2" max="2" width="10" customWidth="1"/>
    <col min="3" max="3" width="10" style="43" customWidth="1"/>
    <col min="4" max="4" width="13.5" customWidth="1"/>
    <col min="5" max="5" width="18" customWidth="1"/>
    <col min="6" max="6" width="17.1640625" customWidth="1"/>
    <col min="7" max="7" width="17" style="43" customWidth="1"/>
    <col min="8" max="8" width="14.5" customWidth="1"/>
    <col min="9" max="9" width="8.5" style="166" customWidth="1"/>
    <col min="10" max="10" width="19.6640625" customWidth="1"/>
    <col min="11" max="11" width="22.6640625" customWidth="1"/>
    <col min="12" max="12" width="33.33203125" customWidth="1"/>
    <col min="13" max="13" width="20.5" customWidth="1"/>
    <col min="14" max="14" width="27.33203125" customWidth="1"/>
    <col min="15" max="15" width="26" customWidth="1"/>
    <col min="16" max="16" width="28.1640625" customWidth="1"/>
    <col min="17" max="17" width="32.33203125" customWidth="1"/>
  </cols>
  <sheetData>
    <row r="1" spans="1:17" x14ac:dyDescent="0.2">
      <c r="A1" t="s">
        <v>235</v>
      </c>
      <c r="B1" t="s">
        <v>41</v>
      </c>
      <c r="C1" s="43" t="s">
        <v>42</v>
      </c>
      <c r="D1" s="4" t="s">
        <v>257</v>
      </c>
      <c r="E1" s="4" t="s">
        <v>279</v>
      </c>
      <c r="F1" s="4" t="s">
        <v>278</v>
      </c>
      <c r="G1" s="49" t="s">
        <v>280</v>
      </c>
      <c r="H1" s="3" t="s">
        <v>271</v>
      </c>
      <c r="I1" s="166" t="s">
        <v>442</v>
      </c>
      <c r="J1" t="s">
        <v>966</v>
      </c>
      <c r="K1" t="s">
        <v>967</v>
      </c>
      <c r="L1" s="181" t="s">
        <v>968</v>
      </c>
      <c r="M1" t="s">
        <v>970</v>
      </c>
      <c r="N1" s="250" t="s">
        <v>973</v>
      </c>
      <c r="O1" s="250" t="s">
        <v>974</v>
      </c>
      <c r="P1" s="250" t="s">
        <v>980</v>
      </c>
      <c r="Q1" s="250" t="s">
        <v>981</v>
      </c>
    </row>
    <row r="2" spans="1:17" ht="15" x14ac:dyDescent="0.25">
      <c r="A2" t="s">
        <v>945</v>
      </c>
      <c r="B2" s="4" t="s">
        <v>13</v>
      </c>
      <c r="C2" s="49" t="s">
        <v>129</v>
      </c>
      <c r="D2" t="b">
        <v>0</v>
      </c>
      <c r="E2" s="4" t="s">
        <v>13</v>
      </c>
      <c r="F2" s="4" t="s">
        <v>937</v>
      </c>
      <c r="G2" s="49" t="s">
        <v>129</v>
      </c>
      <c r="H2" s="4" t="s">
        <v>936</v>
      </c>
      <c r="I2" s="167" t="str">
        <f>FirstCharacters(N2,TRUE)</f>
        <v>TDE</v>
      </c>
      <c r="J2" s="34" t="s">
        <v>14</v>
      </c>
      <c r="K2" s="34" t="s">
        <v>360</v>
      </c>
      <c r="L2" s="4" t="s">
        <v>969</v>
      </c>
      <c r="M2" s="34" t="s">
        <v>16</v>
      </c>
      <c r="N2" s="165" t="s">
        <v>982</v>
      </c>
      <c r="O2" s="165" t="s">
        <v>983</v>
      </c>
      <c r="P2" s="165" t="s">
        <v>987</v>
      </c>
      <c r="Q2" s="165" t="s">
        <v>985</v>
      </c>
    </row>
    <row r="3" spans="1:17" s="181" customFormat="1" ht="15" x14ac:dyDescent="0.25">
      <c r="A3" s="181" t="s">
        <v>972</v>
      </c>
      <c r="B3" s="4" t="s">
        <v>13</v>
      </c>
      <c r="C3" s="49" t="s">
        <v>109</v>
      </c>
      <c r="D3" s="181" t="b">
        <v>0</v>
      </c>
      <c r="E3" s="4" t="s">
        <v>13</v>
      </c>
      <c r="F3" s="4" t="s">
        <v>937</v>
      </c>
      <c r="G3" s="49" t="s">
        <v>129</v>
      </c>
      <c r="H3" s="4" t="s">
        <v>936</v>
      </c>
      <c r="I3" s="167" t="str">
        <f>FirstCharacters(N3,TRUE)</f>
        <v>TD2</v>
      </c>
      <c r="J3" s="34"/>
      <c r="K3" s="34"/>
      <c r="L3" s="4" t="s">
        <v>16</v>
      </c>
      <c r="M3" s="34"/>
      <c r="N3" s="165" t="s">
        <v>971</v>
      </c>
      <c r="O3" s="165" t="s">
        <v>984</v>
      </c>
      <c r="P3" s="165" t="s">
        <v>988</v>
      </c>
      <c r="Q3" s="165" t="s">
        <v>986</v>
      </c>
    </row>
    <row r="39" spans="3:3" x14ac:dyDescent="0.2">
      <c r="C39" s="43">
        <f>+C43</f>
        <v>0</v>
      </c>
    </row>
  </sheetData>
  <dataConsolidate link="1"/>
  <conditionalFormatting sqref="A2">
    <cfRule type="duplicateValues" dxfId="14" priority="6"/>
  </conditionalFormatting>
  <conditionalFormatting sqref="A2 A4:A100">
    <cfRule type="duplicateValues" dxfId="13" priority="3"/>
  </conditionalFormatting>
  <conditionalFormatting sqref="A3">
    <cfRule type="duplicateValues" dxfId="12" priority="2"/>
  </conditionalFormatting>
  <conditionalFormatting sqref="A3">
    <cfRule type="duplicateValues" dxfId="11" priority="1"/>
  </conditionalFormatting>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C48"/>
  <sheetViews>
    <sheetView workbookViewId="0">
      <selection activeCell="AQ2" sqref="AQ2:AQ36"/>
    </sheetView>
  </sheetViews>
  <sheetFormatPr defaultRowHeight="11.25" x14ac:dyDescent="0.2"/>
  <cols>
    <col min="1" max="1" width="10.6640625" customWidth="1"/>
    <col min="2" max="2" width="5.1640625" customWidth="1"/>
    <col min="3" max="37" width="3.5" bestFit="1" customWidth="1"/>
    <col min="38" max="38" width="4.83203125" customWidth="1"/>
    <col min="39" max="39" width="15" style="22" customWidth="1"/>
    <col min="40" max="40" width="6.83203125" bestFit="1" customWidth="1"/>
    <col min="41" max="41" width="6.83203125" customWidth="1"/>
    <col min="42" max="42" width="6.83203125" bestFit="1" customWidth="1"/>
    <col min="43" max="43" width="17.33203125" style="34" customWidth="1"/>
    <col min="44" max="52" width="5" bestFit="1" customWidth="1"/>
    <col min="53" max="53" width="3.5" bestFit="1" customWidth="1"/>
    <col min="54" max="54" width="5" bestFit="1" customWidth="1"/>
    <col min="55" max="72" width="3.5" bestFit="1" customWidth="1"/>
    <col min="73" max="73" width="5" bestFit="1" customWidth="1"/>
    <col min="74" max="80" width="3.5" bestFit="1" customWidth="1"/>
  </cols>
  <sheetData>
    <row r="1" spans="1:81" ht="45" x14ac:dyDescent="0.25">
      <c r="A1" s="31" t="s">
        <v>196</v>
      </c>
      <c r="B1" s="31" t="s">
        <v>197</v>
      </c>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31"/>
      <c r="AM1" s="35" t="s">
        <v>199</v>
      </c>
      <c r="AN1" s="31"/>
      <c r="AO1" s="31"/>
      <c r="AP1" s="31"/>
      <c r="AQ1" s="31" t="s">
        <v>198</v>
      </c>
    </row>
    <row r="2" spans="1:81" ht="18.75" x14ac:dyDescent="0.2">
      <c r="A2" t="e">
        <f t="shared" ref="A2:A48" si="0">INDEX(DSDs,ROW(A1),COLUMN(A1))</f>
        <v>#REF!</v>
      </c>
      <c r="B2" t="str">
        <f t="shared" ref="B2:K11" si="1">IFERROR(IF(INDEX(ConDimVals,ROW(A1),COLUMN(A1))="",0,1),"")</f>
        <v/>
      </c>
      <c r="C2" t="str">
        <f t="shared" si="1"/>
        <v/>
      </c>
      <c r="D2" t="str">
        <f t="shared" si="1"/>
        <v/>
      </c>
      <c r="E2" t="str">
        <f t="shared" si="1"/>
        <v/>
      </c>
      <c r="F2" t="str">
        <f t="shared" si="1"/>
        <v/>
      </c>
      <c r="G2" t="str">
        <f t="shared" si="1"/>
        <v/>
      </c>
      <c r="H2" t="str">
        <f t="shared" si="1"/>
        <v/>
      </c>
      <c r="I2" t="str">
        <f t="shared" si="1"/>
        <v/>
      </c>
      <c r="J2" t="str">
        <f t="shared" si="1"/>
        <v/>
      </c>
      <c r="K2" t="str">
        <f t="shared" si="1"/>
        <v/>
      </c>
      <c r="L2" t="str">
        <f t="shared" ref="L2:U11" si="2">IFERROR(IF(INDEX(ConDimVals,ROW(K1),COLUMN(K1))="",0,1),"")</f>
        <v/>
      </c>
      <c r="M2" t="str">
        <f t="shared" si="2"/>
        <v/>
      </c>
      <c r="N2" t="str">
        <f t="shared" si="2"/>
        <v/>
      </c>
      <c r="O2" t="str">
        <f t="shared" si="2"/>
        <v/>
      </c>
      <c r="P2" t="str">
        <f t="shared" si="2"/>
        <v/>
      </c>
      <c r="Q2" t="str">
        <f t="shared" si="2"/>
        <v/>
      </c>
      <c r="R2" t="str">
        <f t="shared" si="2"/>
        <v/>
      </c>
      <c r="S2" t="str">
        <f t="shared" si="2"/>
        <v/>
      </c>
      <c r="T2" t="str">
        <f t="shared" si="2"/>
        <v/>
      </c>
      <c r="U2" t="str">
        <f t="shared" si="2"/>
        <v/>
      </c>
      <c r="V2" t="str">
        <f t="shared" ref="V2:AE11" si="3">IFERROR(IF(INDEX(ConDimVals,ROW(U1),COLUMN(U1))="",0,1),"")</f>
        <v/>
      </c>
      <c r="W2" t="str">
        <f t="shared" si="3"/>
        <v/>
      </c>
      <c r="X2" t="str">
        <f t="shared" si="3"/>
        <v/>
      </c>
      <c r="Y2" t="str">
        <f t="shared" si="3"/>
        <v/>
      </c>
      <c r="Z2" t="str">
        <f t="shared" si="3"/>
        <v/>
      </c>
      <c r="AA2" t="str">
        <f t="shared" si="3"/>
        <v/>
      </c>
      <c r="AB2" t="str">
        <f t="shared" si="3"/>
        <v/>
      </c>
      <c r="AC2" t="str">
        <f t="shared" si="3"/>
        <v/>
      </c>
      <c r="AD2" t="str">
        <f t="shared" si="3"/>
        <v/>
      </c>
      <c r="AE2" t="str">
        <f t="shared" si="3"/>
        <v/>
      </c>
      <c r="AF2" t="str">
        <f t="shared" ref="AF2:AK11" si="4">IFERROR(IF(INDEX(ConDimVals,ROW(AE1),COLUMN(AE1))="",0,1),"")</f>
        <v/>
      </c>
      <c r="AG2" t="str">
        <f t="shared" si="4"/>
        <v/>
      </c>
      <c r="AH2" t="str">
        <f t="shared" si="4"/>
        <v/>
      </c>
      <c r="AI2" t="str">
        <f t="shared" si="4"/>
        <v/>
      </c>
      <c r="AJ2" t="str">
        <f t="shared" si="4"/>
        <v/>
      </c>
      <c r="AK2" t="str">
        <f t="shared" si="4"/>
        <v/>
      </c>
      <c r="AM2" s="22">
        <f>COUNTIF(B2:AL2,1)</f>
        <v>0</v>
      </c>
      <c r="AN2" s="32"/>
      <c r="AP2">
        <v>0</v>
      </c>
      <c r="AQ2" s="33" t="str">
        <f>IFERROR(LOOKUP(2,1/(COUNTIF($AQ$1:AQ1,CountDSDs)=0),CountDSDs),"")</f>
        <v/>
      </c>
      <c r="AR2">
        <f t="shared" ref="AR2:AR36" si="5">SUMIF(CountDSDs,INDEX(CountUniqueDSDs,ROW(A1)),B$2:B$48)</f>
        <v>0</v>
      </c>
      <c r="AS2">
        <f t="shared" ref="AS2:AS36" si="6">SUMIF(CountDSDs,INDEX(CountUniqueDSDs,ROW(B1)),C$2:C$48)</f>
        <v>0</v>
      </c>
      <c r="AT2">
        <f t="shared" ref="AT2:AT36" si="7">SUMIF(CountDSDs,INDEX(CountUniqueDSDs,ROW(C1)),D$2:D$48)</f>
        <v>0</v>
      </c>
      <c r="AU2">
        <f t="shared" ref="AU2:AU36" si="8">SUMIF(CountDSDs,INDEX(CountUniqueDSDs,ROW(D1)),E$2:E$48)</f>
        <v>0</v>
      </c>
      <c r="AV2">
        <f t="shared" ref="AV2:AV36" si="9">SUMIF(CountDSDs,INDEX(CountUniqueDSDs,ROW(E1)),F$2:F$48)</f>
        <v>0</v>
      </c>
      <c r="AW2">
        <f t="shared" ref="AW2:AW36" si="10">SUMIF(CountDSDs,INDEX(CountUniqueDSDs,ROW(F1)),G$2:G$48)</f>
        <v>0</v>
      </c>
      <c r="AX2">
        <f t="shared" ref="AX2:AX36" si="11">SUMIF(CountDSDs,INDEX(CountUniqueDSDs,ROW(G1)),H$2:H$48)</f>
        <v>0</v>
      </c>
      <c r="AY2">
        <f t="shared" ref="AY2:AY36" si="12">SUMIF(CountDSDs,INDEX(CountUniqueDSDs,ROW(H1)),I$2:I$48)</f>
        <v>0</v>
      </c>
      <c r="AZ2">
        <f t="shared" ref="AZ2:AZ36" si="13">SUMIF(CountDSDs,INDEX(CountUniqueDSDs,ROW(I1)),J$2:J$48)</f>
        <v>0</v>
      </c>
      <c r="BA2">
        <f t="shared" ref="BA2:BA36" si="14">SUMIF(CountDSDs,INDEX(CountUniqueDSDs,ROW(J1)),K$2:K$48)</f>
        <v>0</v>
      </c>
      <c r="BB2">
        <f t="shared" ref="BB2:BB36" si="15">SUMIF(CountDSDs,INDEX(CountUniqueDSDs,ROW(K1)),L$2:L$48)</f>
        <v>0</v>
      </c>
      <c r="BC2">
        <f t="shared" ref="BC2:BC36" si="16">SUMIF(CountDSDs,INDEX(CountUniqueDSDs,ROW(L1)),M$2:M$48)</f>
        <v>0</v>
      </c>
      <c r="BD2">
        <f t="shared" ref="BD2:BD36" si="17">SUMIF(CountDSDs,INDEX(CountUniqueDSDs,ROW(M1)),N$2:N$48)</f>
        <v>0</v>
      </c>
      <c r="BE2">
        <f t="shared" ref="BE2:BE36" si="18">SUMIF(CountDSDs,INDEX(CountUniqueDSDs,ROW(N1)),O$2:O$48)</f>
        <v>0</v>
      </c>
      <c r="BF2">
        <f t="shared" ref="BF2:BF36" si="19">SUMIF(CountDSDs,INDEX(CountUniqueDSDs,ROW(O1)),P$2:P$48)</f>
        <v>0</v>
      </c>
      <c r="BG2">
        <f t="shared" ref="BG2:BG36" si="20">SUMIF(CountDSDs,INDEX(CountUniqueDSDs,ROW(P1)),Q$2:Q$48)</f>
        <v>0</v>
      </c>
      <c r="BH2">
        <f t="shared" ref="BH2:BH36" si="21">SUMIF(CountDSDs,INDEX(CountUniqueDSDs,ROW(Q1)),R$2:R$48)</f>
        <v>0</v>
      </c>
      <c r="BI2">
        <f t="shared" ref="BI2:BI36" si="22">SUMIF(CountDSDs,INDEX(CountUniqueDSDs,ROW(R1)),S$2:S$48)</f>
        <v>0</v>
      </c>
      <c r="BJ2">
        <f t="shared" ref="BJ2:BJ36" si="23">SUMIF(CountDSDs,INDEX(CountUniqueDSDs,ROW(S1)),T$2:T$48)</f>
        <v>0</v>
      </c>
      <c r="BK2">
        <f t="shared" ref="BK2:BK36" si="24">SUMIF(CountDSDs,INDEX(CountUniqueDSDs,ROW(T1)),U$2:U$48)</f>
        <v>0</v>
      </c>
      <c r="BL2">
        <f t="shared" ref="BL2:BL36" si="25">SUMIF(CountDSDs,INDEX(CountUniqueDSDs,ROW(U1)),V$2:V$48)</f>
        <v>0</v>
      </c>
      <c r="BM2">
        <f t="shared" ref="BM2:BM36" si="26">SUMIF(CountDSDs,INDEX(CountUniqueDSDs,ROW(V1)),W$2:W$48)</f>
        <v>0</v>
      </c>
      <c r="BN2">
        <f t="shared" ref="BN2:BN36" si="27">SUMIF(CountDSDs,INDEX(CountUniqueDSDs,ROW(W1)),X$2:X$48)</f>
        <v>0</v>
      </c>
      <c r="BO2">
        <f t="shared" ref="BO2:BO36" si="28">SUMIF(CountDSDs,INDEX(CountUniqueDSDs,ROW(X1)),Y$2:Y$48)</f>
        <v>0</v>
      </c>
      <c r="BP2">
        <f t="shared" ref="BP2:BP36" si="29">SUMIF(CountDSDs,INDEX(CountUniqueDSDs,ROW(Y1)),Z$2:Z$48)</f>
        <v>0</v>
      </c>
      <c r="BQ2">
        <f t="shared" ref="BQ2:BQ36" si="30">SUMIF(CountDSDs,INDEX(CountUniqueDSDs,ROW(Z1)),AA$2:AA$48)</f>
        <v>0</v>
      </c>
      <c r="BR2">
        <f t="shared" ref="BR2:BR36" si="31">SUMIF(CountDSDs,INDEX(CountUniqueDSDs,ROW(AA1)),AB$2:AB$48)</f>
        <v>0</v>
      </c>
      <c r="BS2">
        <f t="shared" ref="BS2:BS36" si="32">SUMIF(CountDSDs,INDEX(CountUniqueDSDs,ROW(AB1)),AC$2:AC$48)</f>
        <v>0</v>
      </c>
      <c r="BT2">
        <f t="shared" ref="BT2:BT36" si="33">SUMIF(CountDSDs,INDEX(CountUniqueDSDs,ROW(AC1)),AD$2:AD$48)</f>
        <v>0</v>
      </c>
      <c r="BU2">
        <f t="shared" ref="BU2:BU36" si="34">SUMIF(CountDSDs,INDEX(CountUniqueDSDs,ROW(AD1)),AE$2:AE$48)</f>
        <v>0</v>
      </c>
      <c r="BV2">
        <f t="shared" ref="BV2:BV36" si="35">SUMIF(CountDSDs,INDEX(CountUniqueDSDs,ROW(AE1)),AF$2:AF$48)</f>
        <v>0</v>
      </c>
      <c r="BW2">
        <f t="shared" ref="BW2:BW36" si="36">SUMIF(CountDSDs,INDEX(CountUniqueDSDs,ROW(AF1)),AG$2:AG$48)</f>
        <v>0</v>
      </c>
      <c r="BX2">
        <f t="shared" ref="BX2:BX36" si="37">SUMIF(CountDSDs,INDEX(CountUniqueDSDs,ROW(AG1)),AH$2:AH$48)</f>
        <v>0</v>
      </c>
      <c r="BY2">
        <f t="shared" ref="BY2:BY36" si="38">SUMIF(CountDSDs,INDEX(CountUniqueDSDs,ROW(AH1)),AI$2:AI$48)</f>
        <v>0</v>
      </c>
      <c r="BZ2">
        <f t="shared" ref="BZ2:BZ36" si="39">SUMIF(CountDSDs,INDEX(CountUniqueDSDs,ROW(AI1)),AJ$2:AJ$48)</f>
        <v>0</v>
      </c>
      <c r="CA2">
        <f t="shared" ref="CA2:CA36" si="40">SUMIF(CountDSDs,INDEX(CountUniqueDSDs,ROW(AJ1)),AK$2:AK$48)</f>
        <v>0</v>
      </c>
      <c r="CB2">
        <f t="shared" ref="CB2:CB36" si="41">SUMIF(CountDSDs,INDEX(CountUniqueDSDs,ROW(AK1)),AL$2:AL$48)</f>
        <v>0</v>
      </c>
      <c r="CC2">
        <f t="shared" ref="CC2:CC36" ca="1" si="42">COUNTIF(OFFSET(FIRSTROW,$AP2,0),"&gt;0")</f>
        <v>0</v>
      </c>
    </row>
    <row r="3" spans="1:81" ht="18.75" x14ac:dyDescent="0.2">
      <c r="A3" t="e">
        <f t="shared" si="0"/>
        <v>#REF!</v>
      </c>
      <c r="B3" t="str">
        <f t="shared" si="1"/>
        <v/>
      </c>
      <c r="C3" t="str">
        <f t="shared" si="1"/>
        <v/>
      </c>
      <c r="D3" t="str">
        <f t="shared" si="1"/>
        <v/>
      </c>
      <c r="E3" t="str">
        <f t="shared" si="1"/>
        <v/>
      </c>
      <c r="F3" t="str">
        <f t="shared" si="1"/>
        <v/>
      </c>
      <c r="G3" t="str">
        <f t="shared" si="1"/>
        <v/>
      </c>
      <c r="H3" t="str">
        <f t="shared" si="1"/>
        <v/>
      </c>
      <c r="I3" t="str">
        <f t="shared" si="1"/>
        <v/>
      </c>
      <c r="J3" t="str">
        <f t="shared" si="1"/>
        <v/>
      </c>
      <c r="K3" t="str">
        <f t="shared" si="1"/>
        <v/>
      </c>
      <c r="L3" t="str">
        <f t="shared" si="2"/>
        <v/>
      </c>
      <c r="M3" t="str">
        <f t="shared" si="2"/>
        <v/>
      </c>
      <c r="N3" t="str">
        <f t="shared" si="2"/>
        <v/>
      </c>
      <c r="O3" t="str">
        <f t="shared" si="2"/>
        <v/>
      </c>
      <c r="P3" t="str">
        <f t="shared" si="2"/>
        <v/>
      </c>
      <c r="Q3" t="str">
        <f t="shared" si="2"/>
        <v/>
      </c>
      <c r="R3" t="str">
        <f t="shared" si="2"/>
        <v/>
      </c>
      <c r="S3" t="str">
        <f t="shared" si="2"/>
        <v/>
      </c>
      <c r="T3" t="str">
        <f t="shared" si="2"/>
        <v/>
      </c>
      <c r="U3" t="str">
        <f t="shared" si="2"/>
        <v/>
      </c>
      <c r="V3" t="str">
        <f t="shared" si="3"/>
        <v/>
      </c>
      <c r="W3" t="str">
        <f t="shared" si="3"/>
        <v/>
      </c>
      <c r="X3" t="str">
        <f t="shared" si="3"/>
        <v/>
      </c>
      <c r="Y3" t="str">
        <f t="shared" si="3"/>
        <v/>
      </c>
      <c r="Z3" t="str">
        <f t="shared" si="3"/>
        <v/>
      </c>
      <c r="AA3" t="str">
        <f t="shared" si="3"/>
        <v/>
      </c>
      <c r="AB3" t="str">
        <f t="shared" si="3"/>
        <v/>
      </c>
      <c r="AC3" t="str">
        <f t="shared" si="3"/>
        <v/>
      </c>
      <c r="AD3" t="str">
        <f t="shared" si="3"/>
        <v/>
      </c>
      <c r="AE3" t="str">
        <f t="shared" si="3"/>
        <v/>
      </c>
      <c r="AF3" t="str">
        <f t="shared" si="4"/>
        <v/>
      </c>
      <c r="AG3" t="str">
        <f t="shared" si="4"/>
        <v/>
      </c>
      <c r="AH3" t="str">
        <f t="shared" si="4"/>
        <v/>
      </c>
      <c r="AI3" t="str">
        <f t="shared" si="4"/>
        <v/>
      </c>
      <c r="AJ3" t="str">
        <f t="shared" si="4"/>
        <v/>
      </c>
      <c r="AK3" t="str">
        <f t="shared" si="4"/>
        <v/>
      </c>
      <c r="AM3" s="22">
        <f t="shared" ref="AM3:AM48" si="43">COUNTIF(B3:AL3,1)</f>
        <v>0</v>
      </c>
      <c r="AP3">
        <v>1</v>
      </c>
      <c r="AQ3" s="33" t="str">
        <f>IFERROR(LOOKUP(2,1/(COUNTIF($AQ$1:AQ2,CountDSDs)=0),CountDSDs),"")</f>
        <v/>
      </c>
      <c r="AR3">
        <f t="shared" si="5"/>
        <v>0</v>
      </c>
      <c r="AS3">
        <f t="shared" si="6"/>
        <v>0</v>
      </c>
      <c r="AT3">
        <f t="shared" si="7"/>
        <v>0</v>
      </c>
      <c r="AU3">
        <f t="shared" si="8"/>
        <v>0</v>
      </c>
      <c r="AV3">
        <f t="shared" si="9"/>
        <v>0</v>
      </c>
      <c r="AW3">
        <f t="shared" si="10"/>
        <v>0</v>
      </c>
      <c r="AX3">
        <f t="shared" si="11"/>
        <v>0</v>
      </c>
      <c r="AY3">
        <f t="shared" si="12"/>
        <v>0</v>
      </c>
      <c r="AZ3">
        <f t="shared" si="13"/>
        <v>0</v>
      </c>
      <c r="BA3">
        <f t="shared" si="14"/>
        <v>0</v>
      </c>
      <c r="BB3">
        <f t="shared" si="15"/>
        <v>0</v>
      </c>
      <c r="BC3">
        <f t="shared" si="16"/>
        <v>0</v>
      </c>
      <c r="BD3">
        <f t="shared" si="17"/>
        <v>0</v>
      </c>
      <c r="BE3">
        <f t="shared" si="18"/>
        <v>0</v>
      </c>
      <c r="BF3">
        <f t="shared" si="19"/>
        <v>0</v>
      </c>
      <c r="BG3">
        <f t="shared" si="20"/>
        <v>0</v>
      </c>
      <c r="BH3">
        <f t="shared" si="21"/>
        <v>0</v>
      </c>
      <c r="BI3">
        <f t="shared" si="22"/>
        <v>0</v>
      </c>
      <c r="BJ3">
        <f t="shared" si="23"/>
        <v>0</v>
      </c>
      <c r="BK3">
        <f t="shared" si="24"/>
        <v>0</v>
      </c>
      <c r="BL3">
        <f t="shared" si="25"/>
        <v>0</v>
      </c>
      <c r="BM3">
        <f t="shared" si="26"/>
        <v>0</v>
      </c>
      <c r="BN3">
        <f t="shared" si="27"/>
        <v>0</v>
      </c>
      <c r="BO3">
        <f t="shared" si="28"/>
        <v>0</v>
      </c>
      <c r="BP3">
        <f t="shared" si="29"/>
        <v>0</v>
      </c>
      <c r="BQ3">
        <f t="shared" si="30"/>
        <v>0</v>
      </c>
      <c r="BR3">
        <f t="shared" si="31"/>
        <v>0</v>
      </c>
      <c r="BS3">
        <f t="shared" si="32"/>
        <v>0</v>
      </c>
      <c r="BT3">
        <f t="shared" si="33"/>
        <v>0</v>
      </c>
      <c r="BU3">
        <f t="shared" si="34"/>
        <v>0</v>
      </c>
      <c r="BV3">
        <f t="shared" si="35"/>
        <v>0</v>
      </c>
      <c r="BW3">
        <f t="shared" si="36"/>
        <v>0</v>
      </c>
      <c r="BX3">
        <f t="shared" si="37"/>
        <v>0</v>
      </c>
      <c r="BY3">
        <f t="shared" si="38"/>
        <v>0</v>
      </c>
      <c r="BZ3">
        <f t="shared" si="39"/>
        <v>0</v>
      </c>
      <c r="CA3">
        <f t="shared" si="40"/>
        <v>0</v>
      </c>
      <c r="CB3">
        <f t="shared" si="41"/>
        <v>0</v>
      </c>
      <c r="CC3">
        <f t="shared" ca="1" si="42"/>
        <v>0</v>
      </c>
    </row>
    <row r="4" spans="1:81" ht="18.75" x14ac:dyDescent="0.2">
      <c r="A4" t="e">
        <f t="shared" si="0"/>
        <v>#REF!</v>
      </c>
      <c r="B4" t="str">
        <f t="shared" si="1"/>
        <v/>
      </c>
      <c r="C4" t="str">
        <f t="shared" si="1"/>
        <v/>
      </c>
      <c r="D4" t="str">
        <f t="shared" si="1"/>
        <v/>
      </c>
      <c r="E4" t="str">
        <f t="shared" si="1"/>
        <v/>
      </c>
      <c r="F4" t="str">
        <f t="shared" si="1"/>
        <v/>
      </c>
      <c r="G4" t="str">
        <f t="shared" si="1"/>
        <v/>
      </c>
      <c r="H4" t="str">
        <f t="shared" si="1"/>
        <v/>
      </c>
      <c r="I4" t="str">
        <f t="shared" si="1"/>
        <v/>
      </c>
      <c r="J4" t="str">
        <f t="shared" si="1"/>
        <v/>
      </c>
      <c r="K4" t="str">
        <f t="shared" si="1"/>
        <v/>
      </c>
      <c r="L4" t="str">
        <f t="shared" si="2"/>
        <v/>
      </c>
      <c r="M4" t="str">
        <f t="shared" si="2"/>
        <v/>
      </c>
      <c r="N4" t="str">
        <f t="shared" si="2"/>
        <v/>
      </c>
      <c r="O4" t="str">
        <f t="shared" si="2"/>
        <v/>
      </c>
      <c r="P4" t="str">
        <f t="shared" si="2"/>
        <v/>
      </c>
      <c r="Q4" t="str">
        <f t="shared" si="2"/>
        <v/>
      </c>
      <c r="R4" t="str">
        <f t="shared" si="2"/>
        <v/>
      </c>
      <c r="S4" t="str">
        <f t="shared" si="2"/>
        <v/>
      </c>
      <c r="T4" t="str">
        <f t="shared" si="2"/>
        <v/>
      </c>
      <c r="U4" t="str">
        <f t="shared" si="2"/>
        <v/>
      </c>
      <c r="V4" t="str">
        <f t="shared" si="3"/>
        <v/>
      </c>
      <c r="W4" t="str">
        <f t="shared" si="3"/>
        <v/>
      </c>
      <c r="X4" t="str">
        <f t="shared" si="3"/>
        <v/>
      </c>
      <c r="Y4" t="str">
        <f t="shared" si="3"/>
        <v/>
      </c>
      <c r="Z4" t="str">
        <f t="shared" si="3"/>
        <v/>
      </c>
      <c r="AA4" t="str">
        <f t="shared" si="3"/>
        <v/>
      </c>
      <c r="AB4" t="str">
        <f t="shared" si="3"/>
        <v/>
      </c>
      <c r="AC4" t="str">
        <f t="shared" si="3"/>
        <v/>
      </c>
      <c r="AD4" t="str">
        <f t="shared" si="3"/>
        <v/>
      </c>
      <c r="AE4" t="str">
        <f t="shared" si="3"/>
        <v/>
      </c>
      <c r="AF4" t="str">
        <f t="shared" si="4"/>
        <v/>
      </c>
      <c r="AG4" t="str">
        <f t="shared" si="4"/>
        <v/>
      </c>
      <c r="AH4" t="str">
        <f t="shared" si="4"/>
        <v/>
      </c>
      <c r="AI4" t="str">
        <f t="shared" si="4"/>
        <v/>
      </c>
      <c r="AJ4" t="str">
        <f t="shared" si="4"/>
        <v/>
      </c>
      <c r="AK4" t="str">
        <f t="shared" si="4"/>
        <v/>
      </c>
      <c r="AM4" s="22">
        <f t="shared" si="43"/>
        <v>0</v>
      </c>
      <c r="AP4">
        <v>2</v>
      </c>
      <c r="AQ4" s="33" t="str">
        <f>IFERROR(LOOKUP(2,1/(COUNTIF($AQ$1:AQ3,CountDSDs)=0),CountDSDs),"")</f>
        <v/>
      </c>
      <c r="AR4">
        <f t="shared" si="5"/>
        <v>0</v>
      </c>
      <c r="AS4">
        <f t="shared" si="6"/>
        <v>0</v>
      </c>
      <c r="AT4">
        <f t="shared" si="7"/>
        <v>0</v>
      </c>
      <c r="AU4">
        <f t="shared" si="8"/>
        <v>0</v>
      </c>
      <c r="AV4">
        <f t="shared" si="9"/>
        <v>0</v>
      </c>
      <c r="AW4">
        <f t="shared" si="10"/>
        <v>0</v>
      </c>
      <c r="AX4">
        <f t="shared" si="11"/>
        <v>0</v>
      </c>
      <c r="AY4">
        <f t="shared" si="12"/>
        <v>0</v>
      </c>
      <c r="AZ4">
        <f t="shared" si="13"/>
        <v>0</v>
      </c>
      <c r="BA4">
        <f t="shared" si="14"/>
        <v>0</v>
      </c>
      <c r="BB4">
        <f t="shared" si="15"/>
        <v>0</v>
      </c>
      <c r="BC4">
        <f t="shared" si="16"/>
        <v>0</v>
      </c>
      <c r="BD4">
        <f t="shared" si="17"/>
        <v>0</v>
      </c>
      <c r="BE4">
        <f t="shared" si="18"/>
        <v>0</v>
      </c>
      <c r="BF4">
        <f t="shared" si="19"/>
        <v>0</v>
      </c>
      <c r="BG4">
        <f t="shared" si="20"/>
        <v>0</v>
      </c>
      <c r="BH4">
        <f t="shared" si="21"/>
        <v>0</v>
      </c>
      <c r="BI4">
        <f t="shared" si="22"/>
        <v>0</v>
      </c>
      <c r="BJ4">
        <f t="shared" si="23"/>
        <v>0</v>
      </c>
      <c r="BK4">
        <f t="shared" si="24"/>
        <v>0</v>
      </c>
      <c r="BL4">
        <f t="shared" si="25"/>
        <v>0</v>
      </c>
      <c r="BM4">
        <f t="shared" si="26"/>
        <v>0</v>
      </c>
      <c r="BN4">
        <f t="shared" si="27"/>
        <v>0</v>
      </c>
      <c r="BO4">
        <f t="shared" si="28"/>
        <v>0</v>
      </c>
      <c r="BP4">
        <f t="shared" si="29"/>
        <v>0</v>
      </c>
      <c r="BQ4">
        <f t="shared" si="30"/>
        <v>0</v>
      </c>
      <c r="BR4">
        <f t="shared" si="31"/>
        <v>0</v>
      </c>
      <c r="BS4">
        <f t="shared" si="32"/>
        <v>0</v>
      </c>
      <c r="BT4">
        <f t="shared" si="33"/>
        <v>0</v>
      </c>
      <c r="BU4">
        <f t="shared" si="34"/>
        <v>0</v>
      </c>
      <c r="BV4">
        <f t="shared" si="35"/>
        <v>0</v>
      </c>
      <c r="BW4">
        <f t="shared" si="36"/>
        <v>0</v>
      </c>
      <c r="BX4">
        <f t="shared" si="37"/>
        <v>0</v>
      </c>
      <c r="BY4">
        <f t="shared" si="38"/>
        <v>0</v>
      </c>
      <c r="BZ4">
        <f t="shared" si="39"/>
        <v>0</v>
      </c>
      <c r="CA4">
        <f t="shared" si="40"/>
        <v>0</v>
      </c>
      <c r="CB4">
        <f t="shared" si="41"/>
        <v>0</v>
      </c>
      <c r="CC4">
        <f t="shared" ca="1" si="42"/>
        <v>0</v>
      </c>
    </row>
    <row r="5" spans="1:81" ht="18.75" x14ac:dyDescent="0.2">
      <c r="A5" t="e">
        <f t="shared" si="0"/>
        <v>#REF!</v>
      </c>
      <c r="B5" t="str">
        <f t="shared" si="1"/>
        <v/>
      </c>
      <c r="C5" t="str">
        <f t="shared" si="1"/>
        <v/>
      </c>
      <c r="D5" t="str">
        <f t="shared" si="1"/>
        <v/>
      </c>
      <c r="E5" t="str">
        <f t="shared" si="1"/>
        <v/>
      </c>
      <c r="F5" t="str">
        <f t="shared" si="1"/>
        <v/>
      </c>
      <c r="G5" t="str">
        <f t="shared" si="1"/>
        <v/>
      </c>
      <c r="H5" t="str">
        <f t="shared" si="1"/>
        <v/>
      </c>
      <c r="I5" t="str">
        <f t="shared" si="1"/>
        <v/>
      </c>
      <c r="J5" t="str">
        <f t="shared" si="1"/>
        <v/>
      </c>
      <c r="K5" t="str">
        <f t="shared" si="1"/>
        <v/>
      </c>
      <c r="L5" t="str">
        <f t="shared" si="2"/>
        <v/>
      </c>
      <c r="M5" t="str">
        <f t="shared" si="2"/>
        <v/>
      </c>
      <c r="N5" t="str">
        <f t="shared" si="2"/>
        <v/>
      </c>
      <c r="O5" t="str">
        <f t="shared" si="2"/>
        <v/>
      </c>
      <c r="P5" t="str">
        <f t="shared" si="2"/>
        <v/>
      </c>
      <c r="Q5" t="str">
        <f t="shared" si="2"/>
        <v/>
      </c>
      <c r="R5" t="str">
        <f t="shared" si="2"/>
        <v/>
      </c>
      <c r="S5" t="str">
        <f t="shared" si="2"/>
        <v/>
      </c>
      <c r="T5" t="str">
        <f t="shared" si="2"/>
        <v/>
      </c>
      <c r="U5" t="str">
        <f t="shared" si="2"/>
        <v/>
      </c>
      <c r="V5" t="str">
        <f t="shared" si="3"/>
        <v/>
      </c>
      <c r="W5" t="str">
        <f t="shared" si="3"/>
        <v/>
      </c>
      <c r="X5" t="str">
        <f t="shared" si="3"/>
        <v/>
      </c>
      <c r="Y5" t="str">
        <f t="shared" si="3"/>
        <v/>
      </c>
      <c r="Z5" t="str">
        <f t="shared" si="3"/>
        <v/>
      </c>
      <c r="AA5" t="str">
        <f t="shared" si="3"/>
        <v/>
      </c>
      <c r="AB5" t="str">
        <f t="shared" si="3"/>
        <v/>
      </c>
      <c r="AC5" t="str">
        <f t="shared" si="3"/>
        <v/>
      </c>
      <c r="AD5" t="str">
        <f t="shared" si="3"/>
        <v/>
      </c>
      <c r="AE5" t="str">
        <f t="shared" si="3"/>
        <v/>
      </c>
      <c r="AF5" t="str">
        <f t="shared" si="4"/>
        <v/>
      </c>
      <c r="AG5" t="str">
        <f t="shared" si="4"/>
        <v/>
      </c>
      <c r="AH5" t="str">
        <f t="shared" si="4"/>
        <v/>
      </c>
      <c r="AI5" t="str">
        <f t="shared" si="4"/>
        <v/>
      </c>
      <c r="AJ5" t="str">
        <f t="shared" si="4"/>
        <v/>
      </c>
      <c r="AK5" t="str">
        <f t="shared" si="4"/>
        <v/>
      </c>
      <c r="AM5" s="22">
        <f t="shared" si="43"/>
        <v>0</v>
      </c>
      <c r="AP5">
        <v>3</v>
      </c>
      <c r="AQ5" s="33" t="str">
        <f>IFERROR(LOOKUP(2,1/(COUNTIF($AQ$1:AQ4,CountDSDs)=0),CountDSDs),"")</f>
        <v/>
      </c>
      <c r="AR5">
        <f t="shared" si="5"/>
        <v>0</v>
      </c>
      <c r="AS5">
        <f t="shared" si="6"/>
        <v>0</v>
      </c>
      <c r="AT5">
        <f t="shared" si="7"/>
        <v>0</v>
      </c>
      <c r="AU5">
        <f t="shared" si="8"/>
        <v>0</v>
      </c>
      <c r="AV5">
        <f t="shared" si="9"/>
        <v>0</v>
      </c>
      <c r="AW5">
        <f t="shared" si="10"/>
        <v>0</v>
      </c>
      <c r="AX5">
        <f t="shared" si="11"/>
        <v>0</v>
      </c>
      <c r="AY5">
        <f t="shared" si="12"/>
        <v>0</v>
      </c>
      <c r="AZ5">
        <f t="shared" si="13"/>
        <v>0</v>
      </c>
      <c r="BA5">
        <f t="shared" si="14"/>
        <v>0</v>
      </c>
      <c r="BB5">
        <f t="shared" si="15"/>
        <v>0</v>
      </c>
      <c r="BC5">
        <f t="shared" si="16"/>
        <v>0</v>
      </c>
      <c r="BD5">
        <f t="shared" si="17"/>
        <v>0</v>
      </c>
      <c r="BE5">
        <f t="shared" si="18"/>
        <v>0</v>
      </c>
      <c r="BF5">
        <f t="shared" si="19"/>
        <v>0</v>
      </c>
      <c r="BG5">
        <f t="shared" si="20"/>
        <v>0</v>
      </c>
      <c r="BH5">
        <f t="shared" si="21"/>
        <v>0</v>
      </c>
      <c r="BI5">
        <f t="shared" si="22"/>
        <v>0</v>
      </c>
      <c r="BJ5">
        <f t="shared" si="23"/>
        <v>0</v>
      </c>
      <c r="BK5">
        <f t="shared" si="24"/>
        <v>0</v>
      </c>
      <c r="BL5">
        <f t="shared" si="25"/>
        <v>0</v>
      </c>
      <c r="BM5">
        <f t="shared" si="26"/>
        <v>0</v>
      </c>
      <c r="BN5">
        <f t="shared" si="27"/>
        <v>0</v>
      </c>
      <c r="BO5">
        <f t="shared" si="28"/>
        <v>0</v>
      </c>
      <c r="BP5">
        <f t="shared" si="29"/>
        <v>0</v>
      </c>
      <c r="BQ5">
        <f t="shared" si="30"/>
        <v>0</v>
      </c>
      <c r="BR5">
        <f t="shared" si="31"/>
        <v>0</v>
      </c>
      <c r="BS5">
        <f t="shared" si="32"/>
        <v>0</v>
      </c>
      <c r="BT5">
        <f t="shared" si="33"/>
        <v>0</v>
      </c>
      <c r="BU5">
        <f t="shared" si="34"/>
        <v>0</v>
      </c>
      <c r="BV5">
        <f t="shared" si="35"/>
        <v>0</v>
      </c>
      <c r="BW5">
        <f t="shared" si="36"/>
        <v>0</v>
      </c>
      <c r="BX5">
        <f t="shared" si="37"/>
        <v>0</v>
      </c>
      <c r="BY5">
        <f t="shared" si="38"/>
        <v>0</v>
      </c>
      <c r="BZ5">
        <f t="shared" si="39"/>
        <v>0</v>
      </c>
      <c r="CA5">
        <f t="shared" si="40"/>
        <v>0</v>
      </c>
      <c r="CB5">
        <f t="shared" si="41"/>
        <v>0</v>
      </c>
      <c r="CC5">
        <f t="shared" ca="1" si="42"/>
        <v>0</v>
      </c>
    </row>
    <row r="6" spans="1:81" ht="18.75" x14ac:dyDescent="0.2">
      <c r="A6" t="e">
        <f t="shared" si="0"/>
        <v>#REF!</v>
      </c>
      <c r="B6" t="str">
        <f t="shared" si="1"/>
        <v/>
      </c>
      <c r="C6" t="str">
        <f t="shared" si="1"/>
        <v/>
      </c>
      <c r="D6" t="str">
        <f t="shared" si="1"/>
        <v/>
      </c>
      <c r="E6" t="str">
        <f t="shared" si="1"/>
        <v/>
      </c>
      <c r="F6" t="str">
        <f t="shared" si="1"/>
        <v/>
      </c>
      <c r="G6" t="str">
        <f t="shared" si="1"/>
        <v/>
      </c>
      <c r="H6" t="str">
        <f t="shared" si="1"/>
        <v/>
      </c>
      <c r="I6" t="str">
        <f t="shared" si="1"/>
        <v/>
      </c>
      <c r="J6" t="str">
        <f t="shared" si="1"/>
        <v/>
      </c>
      <c r="K6" t="str">
        <f t="shared" si="1"/>
        <v/>
      </c>
      <c r="L6" t="str">
        <f t="shared" si="2"/>
        <v/>
      </c>
      <c r="M6" t="str">
        <f t="shared" si="2"/>
        <v/>
      </c>
      <c r="N6" t="str">
        <f t="shared" si="2"/>
        <v/>
      </c>
      <c r="O6" t="str">
        <f t="shared" si="2"/>
        <v/>
      </c>
      <c r="P6" t="str">
        <f t="shared" si="2"/>
        <v/>
      </c>
      <c r="Q6" t="str">
        <f t="shared" si="2"/>
        <v/>
      </c>
      <c r="R6" t="str">
        <f t="shared" si="2"/>
        <v/>
      </c>
      <c r="S6" t="str">
        <f t="shared" si="2"/>
        <v/>
      </c>
      <c r="T6" t="str">
        <f t="shared" si="2"/>
        <v/>
      </c>
      <c r="U6" t="str">
        <f t="shared" si="2"/>
        <v/>
      </c>
      <c r="V6" t="str">
        <f t="shared" si="3"/>
        <v/>
      </c>
      <c r="W6" t="str">
        <f t="shared" si="3"/>
        <v/>
      </c>
      <c r="X6" t="str">
        <f t="shared" si="3"/>
        <v/>
      </c>
      <c r="Y6" t="str">
        <f t="shared" si="3"/>
        <v/>
      </c>
      <c r="Z6" t="str">
        <f t="shared" si="3"/>
        <v/>
      </c>
      <c r="AA6" t="str">
        <f t="shared" si="3"/>
        <v/>
      </c>
      <c r="AB6" t="str">
        <f t="shared" si="3"/>
        <v/>
      </c>
      <c r="AC6" t="str">
        <f t="shared" si="3"/>
        <v/>
      </c>
      <c r="AD6" t="str">
        <f t="shared" si="3"/>
        <v/>
      </c>
      <c r="AE6" t="str">
        <f t="shared" si="3"/>
        <v/>
      </c>
      <c r="AF6" t="str">
        <f t="shared" si="4"/>
        <v/>
      </c>
      <c r="AG6" t="str">
        <f t="shared" si="4"/>
        <v/>
      </c>
      <c r="AH6" t="str">
        <f t="shared" si="4"/>
        <v/>
      </c>
      <c r="AI6" t="str">
        <f t="shared" si="4"/>
        <v/>
      </c>
      <c r="AJ6" t="str">
        <f t="shared" si="4"/>
        <v/>
      </c>
      <c r="AK6" t="str">
        <f t="shared" si="4"/>
        <v/>
      </c>
      <c r="AM6" s="22">
        <f t="shared" si="43"/>
        <v>0</v>
      </c>
      <c r="AP6">
        <v>4</v>
      </c>
      <c r="AQ6" s="33" t="str">
        <f>IFERROR(LOOKUP(2,1/(COUNTIF($AQ$1:AQ5,CountDSDs)=0),CountDSDs),"")</f>
        <v/>
      </c>
      <c r="AR6">
        <f t="shared" si="5"/>
        <v>0</v>
      </c>
      <c r="AS6">
        <f t="shared" si="6"/>
        <v>0</v>
      </c>
      <c r="AT6">
        <f t="shared" si="7"/>
        <v>0</v>
      </c>
      <c r="AU6">
        <f t="shared" si="8"/>
        <v>0</v>
      </c>
      <c r="AV6">
        <f t="shared" si="9"/>
        <v>0</v>
      </c>
      <c r="AW6">
        <f t="shared" si="10"/>
        <v>0</v>
      </c>
      <c r="AX6">
        <f t="shared" si="11"/>
        <v>0</v>
      </c>
      <c r="AY6">
        <f t="shared" si="12"/>
        <v>0</v>
      </c>
      <c r="AZ6">
        <f t="shared" si="13"/>
        <v>0</v>
      </c>
      <c r="BA6">
        <f t="shared" si="14"/>
        <v>0</v>
      </c>
      <c r="BB6">
        <f t="shared" si="15"/>
        <v>0</v>
      </c>
      <c r="BC6">
        <f t="shared" si="16"/>
        <v>0</v>
      </c>
      <c r="BD6">
        <f t="shared" si="17"/>
        <v>0</v>
      </c>
      <c r="BE6">
        <f t="shared" si="18"/>
        <v>0</v>
      </c>
      <c r="BF6">
        <f t="shared" si="19"/>
        <v>0</v>
      </c>
      <c r="BG6">
        <f t="shared" si="20"/>
        <v>0</v>
      </c>
      <c r="BH6">
        <f t="shared" si="21"/>
        <v>0</v>
      </c>
      <c r="BI6">
        <f t="shared" si="22"/>
        <v>0</v>
      </c>
      <c r="BJ6">
        <f t="shared" si="23"/>
        <v>0</v>
      </c>
      <c r="BK6">
        <f t="shared" si="24"/>
        <v>0</v>
      </c>
      <c r="BL6">
        <f t="shared" si="25"/>
        <v>0</v>
      </c>
      <c r="BM6">
        <f t="shared" si="26"/>
        <v>0</v>
      </c>
      <c r="BN6">
        <f t="shared" si="27"/>
        <v>0</v>
      </c>
      <c r="BO6">
        <f t="shared" si="28"/>
        <v>0</v>
      </c>
      <c r="BP6">
        <f t="shared" si="29"/>
        <v>0</v>
      </c>
      <c r="BQ6">
        <f t="shared" si="30"/>
        <v>0</v>
      </c>
      <c r="BR6">
        <f t="shared" si="31"/>
        <v>0</v>
      </c>
      <c r="BS6">
        <f t="shared" si="32"/>
        <v>0</v>
      </c>
      <c r="BT6">
        <f t="shared" si="33"/>
        <v>0</v>
      </c>
      <c r="BU6">
        <f t="shared" si="34"/>
        <v>0</v>
      </c>
      <c r="BV6">
        <f t="shared" si="35"/>
        <v>0</v>
      </c>
      <c r="BW6">
        <f t="shared" si="36"/>
        <v>0</v>
      </c>
      <c r="BX6">
        <f t="shared" si="37"/>
        <v>0</v>
      </c>
      <c r="BY6">
        <f t="shared" si="38"/>
        <v>0</v>
      </c>
      <c r="BZ6">
        <f t="shared" si="39"/>
        <v>0</v>
      </c>
      <c r="CA6">
        <f t="shared" si="40"/>
        <v>0</v>
      </c>
      <c r="CB6">
        <f t="shared" si="41"/>
        <v>0</v>
      </c>
      <c r="CC6">
        <f t="shared" ca="1" si="42"/>
        <v>0</v>
      </c>
    </row>
    <row r="7" spans="1:81" ht="18.75" x14ac:dyDescent="0.2">
      <c r="A7" t="e">
        <f t="shared" si="0"/>
        <v>#REF!</v>
      </c>
      <c r="B7" t="str">
        <f t="shared" si="1"/>
        <v/>
      </c>
      <c r="C7" t="str">
        <f t="shared" si="1"/>
        <v/>
      </c>
      <c r="D7" t="str">
        <f t="shared" si="1"/>
        <v/>
      </c>
      <c r="E7" t="str">
        <f t="shared" si="1"/>
        <v/>
      </c>
      <c r="F7" t="str">
        <f t="shared" si="1"/>
        <v/>
      </c>
      <c r="G7" t="str">
        <f t="shared" si="1"/>
        <v/>
      </c>
      <c r="H7" t="str">
        <f t="shared" si="1"/>
        <v/>
      </c>
      <c r="I7" t="str">
        <f t="shared" si="1"/>
        <v/>
      </c>
      <c r="J7" t="str">
        <f t="shared" si="1"/>
        <v/>
      </c>
      <c r="K7" t="str">
        <f t="shared" si="1"/>
        <v/>
      </c>
      <c r="L7" t="str">
        <f t="shared" si="2"/>
        <v/>
      </c>
      <c r="M7" t="str">
        <f t="shared" si="2"/>
        <v/>
      </c>
      <c r="N7" t="str">
        <f t="shared" si="2"/>
        <v/>
      </c>
      <c r="O7" t="str">
        <f t="shared" si="2"/>
        <v/>
      </c>
      <c r="P7" t="str">
        <f t="shared" si="2"/>
        <v/>
      </c>
      <c r="Q7" t="str">
        <f t="shared" si="2"/>
        <v/>
      </c>
      <c r="R7" t="str">
        <f t="shared" si="2"/>
        <v/>
      </c>
      <c r="S7" t="str">
        <f t="shared" si="2"/>
        <v/>
      </c>
      <c r="T7" t="str">
        <f t="shared" si="2"/>
        <v/>
      </c>
      <c r="U7" t="str">
        <f t="shared" si="2"/>
        <v/>
      </c>
      <c r="V7" t="str">
        <f t="shared" si="3"/>
        <v/>
      </c>
      <c r="W7" t="str">
        <f t="shared" si="3"/>
        <v/>
      </c>
      <c r="X7" t="str">
        <f t="shared" si="3"/>
        <v/>
      </c>
      <c r="Y7" t="str">
        <f t="shared" si="3"/>
        <v/>
      </c>
      <c r="Z7" t="str">
        <f t="shared" si="3"/>
        <v/>
      </c>
      <c r="AA7" t="str">
        <f t="shared" si="3"/>
        <v/>
      </c>
      <c r="AB7" t="str">
        <f t="shared" si="3"/>
        <v/>
      </c>
      <c r="AC7" t="str">
        <f t="shared" si="3"/>
        <v/>
      </c>
      <c r="AD7" t="str">
        <f t="shared" si="3"/>
        <v/>
      </c>
      <c r="AE7" t="str">
        <f t="shared" si="3"/>
        <v/>
      </c>
      <c r="AF7" t="str">
        <f t="shared" si="4"/>
        <v/>
      </c>
      <c r="AG7" t="str">
        <f t="shared" si="4"/>
        <v/>
      </c>
      <c r="AH7" t="str">
        <f t="shared" si="4"/>
        <v/>
      </c>
      <c r="AI7" t="str">
        <f t="shared" si="4"/>
        <v/>
      </c>
      <c r="AJ7" t="str">
        <f t="shared" si="4"/>
        <v/>
      </c>
      <c r="AK7" t="str">
        <f t="shared" si="4"/>
        <v/>
      </c>
      <c r="AM7" s="22">
        <f t="shared" si="43"/>
        <v>0</v>
      </c>
      <c r="AP7">
        <v>5</v>
      </c>
      <c r="AQ7" s="33" t="str">
        <f>IFERROR(LOOKUP(2,1/(COUNTIF($AQ$1:AQ6,CountDSDs)=0),CountDSDs),"")</f>
        <v/>
      </c>
      <c r="AR7">
        <f t="shared" si="5"/>
        <v>0</v>
      </c>
      <c r="AS7">
        <f t="shared" si="6"/>
        <v>0</v>
      </c>
      <c r="AT7">
        <f t="shared" si="7"/>
        <v>0</v>
      </c>
      <c r="AU7">
        <f t="shared" si="8"/>
        <v>0</v>
      </c>
      <c r="AV7">
        <f t="shared" si="9"/>
        <v>0</v>
      </c>
      <c r="AW7">
        <f t="shared" si="10"/>
        <v>0</v>
      </c>
      <c r="AX7">
        <f t="shared" si="11"/>
        <v>0</v>
      </c>
      <c r="AY7">
        <f t="shared" si="12"/>
        <v>0</v>
      </c>
      <c r="AZ7">
        <f t="shared" si="13"/>
        <v>0</v>
      </c>
      <c r="BA7">
        <f t="shared" si="14"/>
        <v>0</v>
      </c>
      <c r="BB7">
        <f t="shared" si="15"/>
        <v>0</v>
      </c>
      <c r="BC7">
        <f t="shared" si="16"/>
        <v>0</v>
      </c>
      <c r="BD7">
        <f t="shared" si="17"/>
        <v>0</v>
      </c>
      <c r="BE7">
        <f t="shared" si="18"/>
        <v>0</v>
      </c>
      <c r="BF7">
        <f t="shared" si="19"/>
        <v>0</v>
      </c>
      <c r="BG7">
        <f t="shared" si="20"/>
        <v>0</v>
      </c>
      <c r="BH7">
        <f t="shared" si="21"/>
        <v>0</v>
      </c>
      <c r="BI7">
        <f t="shared" si="22"/>
        <v>0</v>
      </c>
      <c r="BJ7">
        <f t="shared" si="23"/>
        <v>0</v>
      </c>
      <c r="BK7">
        <f t="shared" si="24"/>
        <v>0</v>
      </c>
      <c r="BL7">
        <f t="shared" si="25"/>
        <v>0</v>
      </c>
      <c r="BM7">
        <f t="shared" si="26"/>
        <v>0</v>
      </c>
      <c r="BN7">
        <f t="shared" si="27"/>
        <v>0</v>
      </c>
      <c r="BO7">
        <f t="shared" si="28"/>
        <v>0</v>
      </c>
      <c r="BP7">
        <f t="shared" si="29"/>
        <v>0</v>
      </c>
      <c r="BQ7">
        <f t="shared" si="30"/>
        <v>0</v>
      </c>
      <c r="BR7">
        <f t="shared" si="31"/>
        <v>0</v>
      </c>
      <c r="BS7">
        <f t="shared" si="32"/>
        <v>0</v>
      </c>
      <c r="BT7">
        <f t="shared" si="33"/>
        <v>0</v>
      </c>
      <c r="BU7">
        <f t="shared" si="34"/>
        <v>0</v>
      </c>
      <c r="BV7">
        <f t="shared" si="35"/>
        <v>0</v>
      </c>
      <c r="BW7">
        <f t="shared" si="36"/>
        <v>0</v>
      </c>
      <c r="BX7">
        <f t="shared" si="37"/>
        <v>0</v>
      </c>
      <c r="BY7">
        <f t="shared" si="38"/>
        <v>0</v>
      </c>
      <c r="BZ7">
        <f t="shared" si="39"/>
        <v>0</v>
      </c>
      <c r="CA7">
        <f t="shared" si="40"/>
        <v>0</v>
      </c>
      <c r="CB7">
        <f t="shared" si="41"/>
        <v>0</v>
      </c>
      <c r="CC7">
        <f t="shared" ca="1" si="42"/>
        <v>0</v>
      </c>
    </row>
    <row r="8" spans="1:81" ht="18.75" x14ac:dyDescent="0.2">
      <c r="A8" t="e">
        <f t="shared" si="0"/>
        <v>#REF!</v>
      </c>
      <c r="B8" t="str">
        <f t="shared" si="1"/>
        <v/>
      </c>
      <c r="C8" t="str">
        <f t="shared" si="1"/>
        <v/>
      </c>
      <c r="D8" t="str">
        <f t="shared" si="1"/>
        <v/>
      </c>
      <c r="E8" t="str">
        <f t="shared" si="1"/>
        <v/>
      </c>
      <c r="F8" t="str">
        <f t="shared" si="1"/>
        <v/>
      </c>
      <c r="G8" t="str">
        <f t="shared" si="1"/>
        <v/>
      </c>
      <c r="H8" t="str">
        <f t="shared" si="1"/>
        <v/>
      </c>
      <c r="I8" t="str">
        <f t="shared" si="1"/>
        <v/>
      </c>
      <c r="J8" t="str">
        <f t="shared" si="1"/>
        <v/>
      </c>
      <c r="K8" t="str">
        <f t="shared" si="1"/>
        <v/>
      </c>
      <c r="L8" t="str">
        <f t="shared" si="2"/>
        <v/>
      </c>
      <c r="M8" t="str">
        <f t="shared" si="2"/>
        <v/>
      </c>
      <c r="N8" t="str">
        <f t="shared" si="2"/>
        <v/>
      </c>
      <c r="O8" t="str">
        <f t="shared" si="2"/>
        <v/>
      </c>
      <c r="P8" t="str">
        <f t="shared" si="2"/>
        <v/>
      </c>
      <c r="Q8" t="str">
        <f t="shared" si="2"/>
        <v/>
      </c>
      <c r="R8" t="str">
        <f t="shared" si="2"/>
        <v/>
      </c>
      <c r="S8" t="str">
        <f t="shared" si="2"/>
        <v/>
      </c>
      <c r="T8" t="str">
        <f t="shared" si="2"/>
        <v/>
      </c>
      <c r="U8" t="str">
        <f t="shared" si="2"/>
        <v/>
      </c>
      <c r="V8" t="str">
        <f t="shared" si="3"/>
        <v/>
      </c>
      <c r="W8" t="str">
        <f t="shared" si="3"/>
        <v/>
      </c>
      <c r="X8" t="str">
        <f t="shared" si="3"/>
        <v/>
      </c>
      <c r="Y8" t="str">
        <f t="shared" si="3"/>
        <v/>
      </c>
      <c r="Z8" t="str">
        <f t="shared" si="3"/>
        <v/>
      </c>
      <c r="AA8" t="str">
        <f t="shared" si="3"/>
        <v/>
      </c>
      <c r="AB8" t="str">
        <f t="shared" si="3"/>
        <v/>
      </c>
      <c r="AC8" t="str">
        <f t="shared" si="3"/>
        <v/>
      </c>
      <c r="AD8" t="str">
        <f t="shared" si="3"/>
        <v/>
      </c>
      <c r="AE8" t="str">
        <f t="shared" si="3"/>
        <v/>
      </c>
      <c r="AF8" t="str">
        <f t="shared" si="4"/>
        <v/>
      </c>
      <c r="AG8" t="str">
        <f t="shared" si="4"/>
        <v/>
      </c>
      <c r="AH8" t="str">
        <f t="shared" si="4"/>
        <v/>
      </c>
      <c r="AI8" t="str">
        <f t="shared" si="4"/>
        <v/>
      </c>
      <c r="AJ8" t="str">
        <f t="shared" si="4"/>
        <v/>
      </c>
      <c r="AK8" t="str">
        <f t="shared" si="4"/>
        <v/>
      </c>
      <c r="AM8" s="22">
        <f t="shared" si="43"/>
        <v>0</v>
      </c>
      <c r="AP8">
        <v>6</v>
      </c>
      <c r="AQ8" s="33" t="str">
        <f>IFERROR(LOOKUP(2,1/(COUNTIF($AQ$1:AQ7,CountDSDs)=0),CountDSDs),"")</f>
        <v/>
      </c>
      <c r="AR8">
        <f t="shared" si="5"/>
        <v>0</v>
      </c>
      <c r="AS8">
        <f t="shared" si="6"/>
        <v>0</v>
      </c>
      <c r="AT8">
        <f t="shared" si="7"/>
        <v>0</v>
      </c>
      <c r="AU8">
        <f t="shared" si="8"/>
        <v>0</v>
      </c>
      <c r="AV8">
        <f t="shared" si="9"/>
        <v>0</v>
      </c>
      <c r="AW8">
        <f t="shared" si="10"/>
        <v>0</v>
      </c>
      <c r="AX8">
        <f t="shared" si="11"/>
        <v>0</v>
      </c>
      <c r="AY8">
        <f t="shared" si="12"/>
        <v>0</v>
      </c>
      <c r="AZ8">
        <f t="shared" si="13"/>
        <v>0</v>
      </c>
      <c r="BA8">
        <f t="shared" si="14"/>
        <v>0</v>
      </c>
      <c r="BB8">
        <f t="shared" si="15"/>
        <v>0</v>
      </c>
      <c r="BC8">
        <f t="shared" si="16"/>
        <v>0</v>
      </c>
      <c r="BD8">
        <f t="shared" si="17"/>
        <v>0</v>
      </c>
      <c r="BE8">
        <f t="shared" si="18"/>
        <v>0</v>
      </c>
      <c r="BF8">
        <f t="shared" si="19"/>
        <v>0</v>
      </c>
      <c r="BG8">
        <f t="shared" si="20"/>
        <v>0</v>
      </c>
      <c r="BH8">
        <f t="shared" si="21"/>
        <v>0</v>
      </c>
      <c r="BI8">
        <f t="shared" si="22"/>
        <v>0</v>
      </c>
      <c r="BJ8">
        <f t="shared" si="23"/>
        <v>0</v>
      </c>
      <c r="BK8">
        <f t="shared" si="24"/>
        <v>0</v>
      </c>
      <c r="BL8">
        <f t="shared" si="25"/>
        <v>0</v>
      </c>
      <c r="BM8">
        <f t="shared" si="26"/>
        <v>0</v>
      </c>
      <c r="BN8">
        <f t="shared" si="27"/>
        <v>0</v>
      </c>
      <c r="BO8">
        <f t="shared" si="28"/>
        <v>0</v>
      </c>
      <c r="BP8">
        <f t="shared" si="29"/>
        <v>0</v>
      </c>
      <c r="BQ8">
        <f t="shared" si="30"/>
        <v>0</v>
      </c>
      <c r="BR8">
        <f t="shared" si="31"/>
        <v>0</v>
      </c>
      <c r="BS8">
        <f t="shared" si="32"/>
        <v>0</v>
      </c>
      <c r="BT8">
        <f t="shared" si="33"/>
        <v>0</v>
      </c>
      <c r="BU8">
        <f t="shared" si="34"/>
        <v>0</v>
      </c>
      <c r="BV8">
        <f t="shared" si="35"/>
        <v>0</v>
      </c>
      <c r="BW8">
        <f t="shared" si="36"/>
        <v>0</v>
      </c>
      <c r="BX8">
        <f t="shared" si="37"/>
        <v>0</v>
      </c>
      <c r="BY8">
        <f t="shared" si="38"/>
        <v>0</v>
      </c>
      <c r="BZ8">
        <f t="shared" si="39"/>
        <v>0</v>
      </c>
      <c r="CA8">
        <f t="shared" si="40"/>
        <v>0</v>
      </c>
      <c r="CB8">
        <f t="shared" si="41"/>
        <v>0</v>
      </c>
      <c r="CC8">
        <f t="shared" ca="1" si="42"/>
        <v>0</v>
      </c>
    </row>
    <row r="9" spans="1:81" ht="18.75" x14ac:dyDescent="0.2">
      <c r="A9" t="e">
        <f t="shared" si="0"/>
        <v>#REF!</v>
      </c>
      <c r="B9" t="str">
        <f t="shared" si="1"/>
        <v/>
      </c>
      <c r="C9" t="str">
        <f t="shared" si="1"/>
        <v/>
      </c>
      <c r="D9" t="str">
        <f t="shared" si="1"/>
        <v/>
      </c>
      <c r="E9" t="str">
        <f t="shared" si="1"/>
        <v/>
      </c>
      <c r="F9" t="str">
        <f t="shared" si="1"/>
        <v/>
      </c>
      <c r="G9" t="str">
        <f t="shared" si="1"/>
        <v/>
      </c>
      <c r="H9" t="str">
        <f t="shared" si="1"/>
        <v/>
      </c>
      <c r="I9" t="str">
        <f t="shared" si="1"/>
        <v/>
      </c>
      <c r="J9" t="str">
        <f t="shared" si="1"/>
        <v/>
      </c>
      <c r="K9" t="str">
        <f t="shared" si="1"/>
        <v/>
      </c>
      <c r="L9" t="str">
        <f t="shared" si="2"/>
        <v/>
      </c>
      <c r="M9" t="str">
        <f t="shared" si="2"/>
        <v/>
      </c>
      <c r="N9" t="str">
        <f t="shared" si="2"/>
        <v/>
      </c>
      <c r="O9" t="str">
        <f t="shared" si="2"/>
        <v/>
      </c>
      <c r="P9" t="str">
        <f t="shared" si="2"/>
        <v/>
      </c>
      <c r="Q9" t="str">
        <f t="shared" si="2"/>
        <v/>
      </c>
      <c r="R9" t="str">
        <f t="shared" si="2"/>
        <v/>
      </c>
      <c r="S9" t="str">
        <f t="shared" si="2"/>
        <v/>
      </c>
      <c r="T9" t="str">
        <f t="shared" si="2"/>
        <v/>
      </c>
      <c r="U9" t="str">
        <f t="shared" si="2"/>
        <v/>
      </c>
      <c r="V9" t="str">
        <f t="shared" si="3"/>
        <v/>
      </c>
      <c r="W9" t="str">
        <f t="shared" si="3"/>
        <v/>
      </c>
      <c r="X9" t="str">
        <f t="shared" si="3"/>
        <v/>
      </c>
      <c r="Y9" t="str">
        <f t="shared" si="3"/>
        <v/>
      </c>
      <c r="Z9" t="str">
        <f t="shared" si="3"/>
        <v/>
      </c>
      <c r="AA9" t="str">
        <f t="shared" si="3"/>
        <v/>
      </c>
      <c r="AB9" t="str">
        <f t="shared" si="3"/>
        <v/>
      </c>
      <c r="AC9" t="str">
        <f t="shared" si="3"/>
        <v/>
      </c>
      <c r="AD9" t="str">
        <f t="shared" si="3"/>
        <v/>
      </c>
      <c r="AE9" t="str">
        <f t="shared" si="3"/>
        <v/>
      </c>
      <c r="AF9" t="str">
        <f t="shared" si="4"/>
        <v/>
      </c>
      <c r="AG9" t="str">
        <f t="shared" si="4"/>
        <v/>
      </c>
      <c r="AH9" t="str">
        <f t="shared" si="4"/>
        <v/>
      </c>
      <c r="AI9" t="str">
        <f t="shared" si="4"/>
        <v/>
      </c>
      <c r="AJ9" t="str">
        <f t="shared" si="4"/>
        <v/>
      </c>
      <c r="AK9" t="str">
        <f t="shared" si="4"/>
        <v/>
      </c>
      <c r="AM9" s="22">
        <f t="shared" si="43"/>
        <v>0</v>
      </c>
      <c r="AP9">
        <v>7</v>
      </c>
      <c r="AQ9" s="33" t="str">
        <f>IFERROR(LOOKUP(2,1/(COUNTIF($AQ$1:AQ8,CountDSDs)=0),CountDSDs),"")</f>
        <v/>
      </c>
      <c r="AR9">
        <f t="shared" si="5"/>
        <v>0</v>
      </c>
      <c r="AS9">
        <f t="shared" si="6"/>
        <v>0</v>
      </c>
      <c r="AT9">
        <f t="shared" si="7"/>
        <v>0</v>
      </c>
      <c r="AU9">
        <f t="shared" si="8"/>
        <v>0</v>
      </c>
      <c r="AV9">
        <f t="shared" si="9"/>
        <v>0</v>
      </c>
      <c r="AW9">
        <f t="shared" si="10"/>
        <v>0</v>
      </c>
      <c r="AX9">
        <f t="shared" si="11"/>
        <v>0</v>
      </c>
      <c r="AY9">
        <f t="shared" si="12"/>
        <v>0</v>
      </c>
      <c r="AZ9">
        <f t="shared" si="13"/>
        <v>0</v>
      </c>
      <c r="BA9">
        <f t="shared" si="14"/>
        <v>0</v>
      </c>
      <c r="BB9">
        <f t="shared" si="15"/>
        <v>0</v>
      </c>
      <c r="BC9">
        <f t="shared" si="16"/>
        <v>0</v>
      </c>
      <c r="BD9">
        <f t="shared" si="17"/>
        <v>0</v>
      </c>
      <c r="BE9">
        <f t="shared" si="18"/>
        <v>0</v>
      </c>
      <c r="BF9">
        <f t="shared" si="19"/>
        <v>0</v>
      </c>
      <c r="BG9">
        <f t="shared" si="20"/>
        <v>0</v>
      </c>
      <c r="BH9">
        <f t="shared" si="21"/>
        <v>0</v>
      </c>
      <c r="BI9">
        <f t="shared" si="22"/>
        <v>0</v>
      </c>
      <c r="BJ9">
        <f t="shared" si="23"/>
        <v>0</v>
      </c>
      <c r="BK9">
        <f t="shared" si="24"/>
        <v>0</v>
      </c>
      <c r="BL9">
        <f t="shared" si="25"/>
        <v>0</v>
      </c>
      <c r="BM9">
        <f t="shared" si="26"/>
        <v>0</v>
      </c>
      <c r="BN9">
        <f t="shared" si="27"/>
        <v>0</v>
      </c>
      <c r="BO9">
        <f t="shared" si="28"/>
        <v>0</v>
      </c>
      <c r="BP9">
        <f t="shared" si="29"/>
        <v>0</v>
      </c>
      <c r="BQ9">
        <f t="shared" si="30"/>
        <v>0</v>
      </c>
      <c r="BR9">
        <f t="shared" si="31"/>
        <v>0</v>
      </c>
      <c r="BS9">
        <f t="shared" si="32"/>
        <v>0</v>
      </c>
      <c r="BT9">
        <f t="shared" si="33"/>
        <v>0</v>
      </c>
      <c r="BU9">
        <f t="shared" si="34"/>
        <v>0</v>
      </c>
      <c r="BV9">
        <f t="shared" si="35"/>
        <v>0</v>
      </c>
      <c r="BW9">
        <f t="shared" si="36"/>
        <v>0</v>
      </c>
      <c r="BX9">
        <f t="shared" si="37"/>
        <v>0</v>
      </c>
      <c r="BY9">
        <f t="shared" si="38"/>
        <v>0</v>
      </c>
      <c r="BZ9">
        <f t="shared" si="39"/>
        <v>0</v>
      </c>
      <c r="CA9">
        <f t="shared" si="40"/>
        <v>0</v>
      </c>
      <c r="CB9">
        <f t="shared" si="41"/>
        <v>0</v>
      </c>
      <c r="CC9">
        <f t="shared" ca="1" si="42"/>
        <v>0</v>
      </c>
    </row>
    <row r="10" spans="1:81" ht="18.75" x14ac:dyDescent="0.2">
      <c r="A10" t="e">
        <f t="shared" si="0"/>
        <v>#REF!</v>
      </c>
      <c r="B10" t="str">
        <f t="shared" si="1"/>
        <v/>
      </c>
      <c r="C10" t="str">
        <f t="shared" si="1"/>
        <v/>
      </c>
      <c r="D10" t="str">
        <f t="shared" si="1"/>
        <v/>
      </c>
      <c r="E10" t="str">
        <f t="shared" si="1"/>
        <v/>
      </c>
      <c r="F10" t="str">
        <f t="shared" si="1"/>
        <v/>
      </c>
      <c r="G10" t="str">
        <f t="shared" si="1"/>
        <v/>
      </c>
      <c r="H10" t="str">
        <f t="shared" si="1"/>
        <v/>
      </c>
      <c r="I10" t="str">
        <f t="shared" si="1"/>
        <v/>
      </c>
      <c r="J10" t="str">
        <f t="shared" si="1"/>
        <v/>
      </c>
      <c r="K10" t="str">
        <f t="shared" si="1"/>
        <v/>
      </c>
      <c r="L10" t="str">
        <f t="shared" si="2"/>
        <v/>
      </c>
      <c r="M10" t="str">
        <f t="shared" si="2"/>
        <v/>
      </c>
      <c r="N10" t="str">
        <f t="shared" si="2"/>
        <v/>
      </c>
      <c r="O10" t="str">
        <f t="shared" si="2"/>
        <v/>
      </c>
      <c r="P10" t="str">
        <f t="shared" si="2"/>
        <v/>
      </c>
      <c r="Q10" t="str">
        <f t="shared" si="2"/>
        <v/>
      </c>
      <c r="R10" t="str">
        <f t="shared" si="2"/>
        <v/>
      </c>
      <c r="S10" t="str">
        <f t="shared" si="2"/>
        <v/>
      </c>
      <c r="T10" t="str">
        <f t="shared" si="2"/>
        <v/>
      </c>
      <c r="U10" t="str">
        <f t="shared" si="2"/>
        <v/>
      </c>
      <c r="V10" t="str">
        <f t="shared" si="3"/>
        <v/>
      </c>
      <c r="W10" t="str">
        <f t="shared" si="3"/>
        <v/>
      </c>
      <c r="X10" t="str">
        <f t="shared" si="3"/>
        <v/>
      </c>
      <c r="Y10" t="str">
        <f t="shared" si="3"/>
        <v/>
      </c>
      <c r="Z10" t="str">
        <f t="shared" si="3"/>
        <v/>
      </c>
      <c r="AA10" t="str">
        <f t="shared" si="3"/>
        <v/>
      </c>
      <c r="AB10" t="str">
        <f t="shared" si="3"/>
        <v/>
      </c>
      <c r="AC10" t="str">
        <f t="shared" si="3"/>
        <v/>
      </c>
      <c r="AD10" t="str">
        <f t="shared" si="3"/>
        <v/>
      </c>
      <c r="AE10" t="str">
        <f t="shared" si="3"/>
        <v/>
      </c>
      <c r="AF10" t="str">
        <f t="shared" si="4"/>
        <v/>
      </c>
      <c r="AG10" t="str">
        <f t="shared" si="4"/>
        <v/>
      </c>
      <c r="AH10" t="str">
        <f t="shared" si="4"/>
        <v/>
      </c>
      <c r="AI10" t="str">
        <f t="shared" si="4"/>
        <v/>
      </c>
      <c r="AJ10" t="str">
        <f t="shared" si="4"/>
        <v/>
      </c>
      <c r="AK10" t="str">
        <f t="shared" si="4"/>
        <v/>
      </c>
      <c r="AM10" s="22">
        <f t="shared" si="43"/>
        <v>0</v>
      </c>
      <c r="AP10">
        <v>8</v>
      </c>
      <c r="AQ10" s="33" t="str">
        <f>IFERROR(LOOKUP(2,1/(COUNTIF($AQ$1:AQ9,CountDSDs)=0),CountDSDs),"")</f>
        <v/>
      </c>
      <c r="AR10">
        <f t="shared" si="5"/>
        <v>0</v>
      </c>
      <c r="AS10">
        <f t="shared" si="6"/>
        <v>0</v>
      </c>
      <c r="AT10">
        <f t="shared" si="7"/>
        <v>0</v>
      </c>
      <c r="AU10">
        <f t="shared" si="8"/>
        <v>0</v>
      </c>
      <c r="AV10">
        <f t="shared" si="9"/>
        <v>0</v>
      </c>
      <c r="AW10">
        <f t="shared" si="10"/>
        <v>0</v>
      </c>
      <c r="AX10">
        <f t="shared" si="11"/>
        <v>0</v>
      </c>
      <c r="AY10">
        <f t="shared" si="12"/>
        <v>0</v>
      </c>
      <c r="AZ10">
        <f t="shared" si="13"/>
        <v>0</v>
      </c>
      <c r="BA10">
        <f t="shared" si="14"/>
        <v>0</v>
      </c>
      <c r="BB10">
        <f t="shared" si="15"/>
        <v>0</v>
      </c>
      <c r="BC10">
        <f t="shared" si="16"/>
        <v>0</v>
      </c>
      <c r="BD10">
        <f t="shared" si="17"/>
        <v>0</v>
      </c>
      <c r="BE10">
        <f t="shared" si="18"/>
        <v>0</v>
      </c>
      <c r="BF10">
        <f t="shared" si="19"/>
        <v>0</v>
      </c>
      <c r="BG10">
        <f t="shared" si="20"/>
        <v>0</v>
      </c>
      <c r="BH10">
        <f t="shared" si="21"/>
        <v>0</v>
      </c>
      <c r="BI10">
        <f t="shared" si="22"/>
        <v>0</v>
      </c>
      <c r="BJ10">
        <f t="shared" si="23"/>
        <v>0</v>
      </c>
      <c r="BK10">
        <f t="shared" si="24"/>
        <v>0</v>
      </c>
      <c r="BL10">
        <f t="shared" si="25"/>
        <v>0</v>
      </c>
      <c r="BM10">
        <f t="shared" si="26"/>
        <v>0</v>
      </c>
      <c r="BN10">
        <f t="shared" si="27"/>
        <v>0</v>
      </c>
      <c r="BO10">
        <f t="shared" si="28"/>
        <v>0</v>
      </c>
      <c r="BP10">
        <f t="shared" si="29"/>
        <v>0</v>
      </c>
      <c r="BQ10">
        <f t="shared" si="30"/>
        <v>0</v>
      </c>
      <c r="BR10">
        <f t="shared" si="31"/>
        <v>0</v>
      </c>
      <c r="BS10">
        <f t="shared" si="32"/>
        <v>0</v>
      </c>
      <c r="BT10">
        <f t="shared" si="33"/>
        <v>0</v>
      </c>
      <c r="BU10">
        <f t="shared" si="34"/>
        <v>0</v>
      </c>
      <c r="BV10">
        <f t="shared" si="35"/>
        <v>0</v>
      </c>
      <c r="BW10">
        <f t="shared" si="36"/>
        <v>0</v>
      </c>
      <c r="BX10">
        <f t="shared" si="37"/>
        <v>0</v>
      </c>
      <c r="BY10">
        <f t="shared" si="38"/>
        <v>0</v>
      </c>
      <c r="BZ10">
        <f t="shared" si="39"/>
        <v>0</v>
      </c>
      <c r="CA10">
        <f t="shared" si="40"/>
        <v>0</v>
      </c>
      <c r="CB10">
        <f t="shared" si="41"/>
        <v>0</v>
      </c>
      <c r="CC10">
        <f t="shared" ca="1" si="42"/>
        <v>0</v>
      </c>
    </row>
    <row r="11" spans="1:81" ht="18.75" x14ac:dyDescent="0.2">
      <c r="A11" t="e">
        <f t="shared" si="0"/>
        <v>#REF!</v>
      </c>
      <c r="B11" t="str">
        <f t="shared" si="1"/>
        <v/>
      </c>
      <c r="C11" t="str">
        <f t="shared" si="1"/>
        <v/>
      </c>
      <c r="D11" t="str">
        <f t="shared" si="1"/>
        <v/>
      </c>
      <c r="E11" t="str">
        <f t="shared" si="1"/>
        <v/>
      </c>
      <c r="F11" t="str">
        <f t="shared" si="1"/>
        <v/>
      </c>
      <c r="G11" t="str">
        <f t="shared" si="1"/>
        <v/>
      </c>
      <c r="H11" t="str">
        <f t="shared" si="1"/>
        <v/>
      </c>
      <c r="I11" t="str">
        <f t="shared" si="1"/>
        <v/>
      </c>
      <c r="J11" t="str">
        <f t="shared" si="1"/>
        <v/>
      </c>
      <c r="K11" t="str">
        <f t="shared" si="1"/>
        <v/>
      </c>
      <c r="L11" t="str">
        <f t="shared" si="2"/>
        <v/>
      </c>
      <c r="M11" t="str">
        <f t="shared" si="2"/>
        <v/>
      </c>
      <c r="N11" t="str">
        <f t="shared" si="2"/>
        <v/>
      </c>
      <c r="O11" t="str">
        <f t="shared" si="2"/>
        <v/>
      </c>
      <c r="P11" t="str">
        <f t="shared" si="2"/>
        <v/>
      </c>
      <c r="Q11" t="str">
        <f t="shared" si="2"/>
        <v/>
      </c>
      <c r="R11" t="str">
        <f t="shared" si="2"/>
        <v/>
      </c>
      <c r="S11" t="str">
        <f t="shared" si="2"/>
        <v/>
      </c>
      <c r="T11" t="str">
        <f t="shared" si="2"/>
        <v/>
      </c>
      <c r="U11" t="str">
        <f t="shared" si="2"/>
        <v/>
      </c>
      <c r="V11" t="str">
        <f t="shared" si="3"/>
        <v/>
      </c>
      <c r="W11" t="str">
        <f t="shared" si="3"/>
        <v/>
      </c>
      <c r="X11" t="str">
        <f t="shared" si="3"/>
        <v/>
      </c>
      <c r="Y11" t="str">
        <f t="shared" si="3"/>
        <v/>
      </c>
      <c r="Z11" t="str">
        <f t="shared" si="3"/>
        <v/>
      </c>
      <c r="AA11" t="str">
        <f t="shared" si="3"/>
        <v/>
      </c>
      <c r="AB11" t="str">
        <f t="shared" si="3"/>
        <v/>
      </c>
      <c r="AC11" t="str">
        <f t="shared" si="3"/>
        <v/>
      </c>
      <c r="AD11" t="str">
        <f t="shared" si="3"/>
        <v/>
      </c>
      <c r="AE11" t="str">
        <f t="shared" si="3"/>
        <v/>
      </c>
      <c r="AF11" t="str">
        <f t="shared" si="4"/>
        <v/>
      </c>
      <c r="AG11" t="str">
        <f t="shared" si="4"/>
        <v/>
      </c>
      <c r="AH11" t="str">
        <f t="shared" si="4"/>
        <v/>
      </c>
      <c r="AI11" t="str">
        <f t="shared" si="4"/>
        <v/>
      </c>
      <c r="AJ11" t="str">
        <f t="shared" si="4"/>
        <v/>
      </c>
      <c r="AK11" t="str">
        <f t="shared" si="4"/>
        <v/>
      </c>
      <c r="AM11" s="22">
        <f t="shared" si="43"/>
        <v>0</v>
      </c>
      <c r="AP11">
        <v>9</v>
      </c>
      <c r="AQ11" s="33" t="str">
        <f>IFERROR(LOOKUP(2,1/(COUNTIF($AQ$1:AQ10,CountDSDs)=0),CountDSDs),"")</f>
        <v/>
      </c>
      <c r="AR11">
        <f t="shared" si="5"/>
        <v>0</v>
      </c>
      <c r="AS11">
        <f t="shared" si="6"/>
        <v>0</v>
      </c>
      <c r="AT11">
        <f t="shared" si="7"/>
        <v>0</v>
      </c>
      <c r="AU11">
        <f t="shared" si="8"/>
        <v>0</v>
      </c>
      <c r="AV11">
        <f t="shared" si="9"/>
        <v>0</v>
      </c>
      <c r="AW11">
        <f t="shared" si="10"/>
        <v>0</v>
      </c>
      <c r="AX11">
        <f t="shared" si="11"/>
        <v>0</v>
      </c>
      <c r="AY11">
        <f t="shared" si="12"/>
        <v>0</v>
      </c>
      <c r="AZ11">
        <f t="shared" si="13"/>
        <v>0</v>
      </c>
      <c r="BA11">
        <f t="shared" si="14"/>
        <v>0</v>
      </c>
      <c r="BB11">
        <f t="shared" si="15"/>
        <v>0</v>
      </c>
      <c r="BC11">
        <f t="shared" si="16"/>
        <v>0</v>
      </c>
      <c r="BD11">
        <f t="shared" si="17"/>
        <v>0</v>
      </c>
      <c r="BE11">
        <f t="shared" si="18"/>
        <v>0</v>
      </c>
      <c r="BF11">
        <f t="shared" si="19"/>
        <v>0</v>
      </c>
      <c r="BG11">
        <f t="shared" si="20"/>
        <v>0</v>
      </c>
      <c r="BH11">
        <f t="shared" si="21"/>
        <v>0</v>
      </c>
      <c r="BI11">
        <f t="shared" si="22"/>
        <v>0</v>
      </c>
      <c r="BJ11">
        <f t="shared" si="23"/>
        <v>0</v>
      </c>
      <c r="BK11">
        <f t="shared" si="24"/>
        <v>0</v>
      </c>
      <c r="BL11">
        <f t="shared" si="25"/>
        <v>0</v>
      </c>
      <c r="BM11">
        <f t="shared" si="26"/>
        <v>0</v>
      </c>
      <c r="BN11">
        <f t="shared" si="27"/>
        <v>0</v>
      </c>
      <c r="BO11">
        <f t="shared" si="28"/>
        <v>0</v>
      </c>
      <c r="BP11">
        <f t="shared" si="29"/>
        <v>0</v>
      </c>
      <c r="BQ11">
        <f t="shared" si="30"/>
        <v>0</v>
      </c>
      <c r="BR11">
        <f t="shared" si="31"/>
        <v>0</v>
      </c>
      <c r="BS11">
        <f t="shared" si="32"/>
        <v>0</v>
      </c>
      <c r="BT11">
        <f t="shared" si="33"/>
        <v>0</v>
      </c>
      <c r="BU11">
        <f t="shared" si="34"/>
        <v>0</v>
      </c>
      <c r="BV11">
        <f t="shared" si="35"/>
        <v>0</v>
      </c>
      <c r="BW11">
        <f t="shared" si="36"/>
        <v>0</v>
      </c>
      <c r="BX11">
        <f t="shared" si="37"/>
        <v>0</v>
      </c>
      <c r="BY11">
        <f t="shared" si="38"/>
        <v>0</v>
      </c>
      <c r="BZ11">
        <f t="shared" si="39"/>
        <v>0</v>
      </c>
      <c r="CA11">
        <f t="shared" si="40"/>
        <v>0</v>
      </c>
      <c r="CB11">
        <f t="shared" si="41"/>
        <v>0</v>
      </c>
      <c r="CC11">
        <f t="shared" ca="1" si="42"/>
        <v>0</v>
      </c>
    </row>
    <row r="12" spans="1:81" ht="18.75" x14ac:dyDescent="0.2">
      <c r="A12" t="e">
        <f t="shared" si="0"/>
        <v>#REF!</v>
      </c>
      <c r="B12" t="str">
        <f t="shared" ref="B12:K21" si="44">IFERROR(IF(INDEX(ConDimVals,ROW(A11),COLUMN(A11))="",0,1),"")</f>
        <v/>
      </c>
      <c r="C12" t="str">
        <f t="shared" si="44"/>
        <v/>
      </c>
      <c r="D12" t="str">
        <f t="shared" si="44"/>
        <v/>
      </c>
      <c r="E12" t="str">
        <f t="shared" si="44"/>
        <v/>
      </c>
      <c r="F12" t="str">
        <f t="shared" si="44"/>
        <v/>
      </c>
      <c r="G12" t="str">
        <f t="shared" si="44"/>
        <v/>
      </c>
      <c r="H12" t="str">
        <f t="shared" si="44"/>
        <v/>
      </c>
      <c r="I12" t="str">
        <f t="shared" si="44"/>
        <v/>
      </c>
      <c r="J12" t="str">
        <f t="shared" si="44"/>
        <v/>
      </c>
      <c r="K12" t="str">
        <f t="shared" si="44"/>
        <v/>
      </c>
      <c r="L12" t="str">
        <f t="shared" ref="L12:U21" si="45">IFERROR(IF(INDEX(ConDimVals,ROW(K11),COLUMN(K11))="",0,1),"")</f>
        <v/>
      </c>
      <c r="M12" t="str">
        <f t="shared" si="45"/>
        <v/>
      </c>
      <c r="N12" t="str">
        <f t="shared" si="45"/>
        <v/>
      </c>
      <c r="O12" t="str">
        <f t="shared" si="45"/>
        <v/>
      </c>
      <c r="P12" t="str">
        <f t="shared" si="45"/>
        <v/>
      </c>
      <c r="Q12" t="str">
        <f t="shared" si="45"/>
        <v/>
      </c>
      <c r="R12" t="str">
        <f t="shared" si="45"/>
        <v/>
      </c>
      <c r="S12" t="str">
        <f t="shared" si="45"/>
        <v/>
      </c>
      <c r="T12" t="str">
        <f t="shared" si="45"/>
        <v/>
      </c>
      <c r="U12" t="str">
        <f t="shared" si="45"/>
        <v/>
      </c>
      <c r="V12" t="str">
        <f t="shared" ref="V12:AE21" si="46">IFERROR(IF(INDEX(ConDimVals,ROW(U11),COLUMN(U11))="",0,1),"")</f>
        <v/>
      </c>
      <c r="W12" t="str">
        <f t="shared" si="46"/>
        <v/>
      </c>
      <c r="X12" t="str">
        <f t="shared" si="46"/>
        <v/>
      </c>
      <c r="Y12" t="str">
        <f t="shared" si="46"/>
        <v/>
      </c>
      <c r="Z12" t="str">
        <f t="shared" si="46"/>
        <v/>
      </c>
      <c r="AA12" t="str">
        <f t="shared" si="46"/>
        <v/>
      </c>
      <c r="AB12" t="str">
        <f t="shared" si="46"/>
        <v/>
      </c>
      <c r="AC12" t="str">
        <f t="shared" si="46"/>
        <v/>
      </c>
      <c r="AD12" t="str">
        <f t="shared" si="46"/>
        <v/>
      </c>
      <c r="AE12" t="str">
        <f t="shared" si="46"/>
        <v/>
      </c>
      <c r="AF12" t="str">
        <f t="shared" ref="AF12:AK21" si="47">IFERROR(IF(INDEX(ConDimVals,ROW(AE11),COLUMN(AE11))="",0,1),"")</f>
        <v/>
      </c>
      <c r="AG12" t="str">
        <f t="shared" si="47"/>
        <v/>
      </c>
      <c r="AH12" t="str">
        <f t="shared" si="47"/>
        <v/>
      </c>
      <c r="AI12" t="str">
        <f t="shared" si="47"/>
        <v/>
      </c>
      <c r="AJ12" t="str">
        <f t="shared" si="47"/>
        <v/>
      </c>
      <c r="AK12" t="str">
        <f t="shared" si="47"/>
        <v/>
      </c>
      <c r="AM12" s="22">
        <f t="shared" si="43"/>
        <v>0</v>
      </c>
      <c r="AP12">
        <v>10</v>
      </c>
      <c r="AQ12" s="33" t="str">
        <f>IFERROR(LOOKUP(2,1/(COUNTIF($AQ$1:AQ11,CountDSDs)=0),CountDSDs),"")</f>
        <v/>
      </c>
      <c r="AR12">
        <f t="shared" si="5"/>
        <v>0</v>
      </c>
      <c r="AS12">
        <f t="shared" si="6"/>
        <v>0</v>
      </c>
      <c r="AT12">
        <f t="shared" si="7"/>
        <v>0</v>
      </c>
      <c r="AU12">
        <f t="shared" si="8"/>
        <v>0</v>
      </c>
      <c r="AV12">
        <f t="shared" si="9"/>
        <v>0</v>
      </c>
      <c r="AW12">
        <f t="shared" si="10"/>
        <v>0</v>
      </c>
      <c r="AX12">
        <f t="shared" si="11"/>
        <v>0</v>
      </c>
      <c r="AY12">
        <f t="shared" si="12"/>
        <v>0</v>
      </c>
      <c r="AZ12">
        <f t="shared" si="13"/>
        <v>0</v>
      </c>
      <c r="BA12">
        <f t="shared" si="14"/>
        <v>0</v>
      </c>
      <c r="BB12">
        <f t="shared" si="15"/>
        <v>0</v>
      </c>
      <c r="BC12">
        <f t="shared" si="16"/>
        <v>0</v>
      </c>
      <c r="BD12">
        <f t="shared" si="17"/>
        <v>0</v>
      </c>
      <c r="BE12">
        <f t="shared" si="18"/>
        <v>0</v>
      </c>
      <c r="BF12">
        <f t="shared" si="19"/>
        <v>0</v>
      </c>
      <c r="BG12">
        <f t="shared" si="20"/>
        <v>0</v>
      </c>
      <c r="BH12">
        <f t="shared" si="21"/>
        <v>0</v>
      </c>
      <c r="BI12">
        <f t="shared" si="22"/>
        <v>0</v>
      </c>
      <c r="BJ12">
        <f t="shared" si="23"/>
        <v>0</v>
      </c>
      <c r="BK12">
        <f t="shared" si="24"/>
        <v>0</v>
      </c>
      <c r="BL12">
        <f t="shared" si="25"/>
        <v>0</v>
      </c>
      <c r="BM12">
        <f t="shared" si="26"/>
        <v>0</v>
      </c>
      <c r="BN12">
        <f t="shared" si="27"/>
        <v>0</v>
      </c>
      <c r="BO12">
        <f t="shared" si="28"/>
        <v>0</v>
      </c>
      <c r="BP12">
        <f t="shared" si="29"/>
        <v>0</v>
      </c>
      <c r="BQ12">
        <f t="shared" si="30"/>
        <v>0</v>
      </c>
      <c r="BR12">
        <f t="shared" si="31"/>
        <v>0</v>
      </c>
      <c r="BS12">
        <f t="shared" si="32"/>
        <v>0</v>
      </c>
      <c r="BT12">
        <f t="shared" si="33"/>
        <v>0</v>
      </c>
      <c r="BU12">
        <f t="shared" si="34"/>
        <v>0</v>
      </c>
      <c r="BV12">
        <f t="shared" si="35"/>
        <v>0</v>
      </c>
      <c r="BW12">
        <f t="shared" si="36"/>
        <v>0</v>
      </c>
      <c r="BX12">
        <f t="shared" si="37"/>
        <v>0</v>
      </c>
      <c r="BY12">
        <f t="shared" si="38"/>
        <v>0</v>
      </c>
      <c r="BZ12">
        <f t="shared" si="39"/>
        <v>0</v>
      </c>
      <c r="CA12">
        <f t="shared" si="40"/>
        <v>0</v>
      </c>
      <c r="CB12">
        <f t="shared" si="41"/>
        <v>0</v>
      </c>
      <c r="CC12">
        <f t="shared" ca="1" si="42"/>
        <v>0</v>
      </c>
    </row>
    <row r="13" spans="1:81" ht="18.75" x14ac:dyDescent="0.2">
      <c r="A13" t="e">
        <f t="shared" si="0"/>
        <v>#REF!</v>
      </c>
      <c r="B13" t="str">
        <f t="shared" si="44"/>
        <v/>
      </c>
      <c r="C13" t="str">
        <f t="shared" si="44"/>
        <v/>
      </c>
      <c r="D13" t="str">
        <f t="shared" si="44"/>
        <v/>
      </c>
      <c r="E13" t="str">
        <f t="shared" si="44"/>
        <v/>
      </c>
      <c r="F13" t="str">
        <f t="shared" si="44"/>
        <v/>
      </c>
      <c r="G13" t="str">
        <f t="shared" si="44"/>
        <v/>
      </c>
      <c r="H13" t="str">
        <f t="shared" si="44"/>
        <v/>
      </c>
      <c r="I13" t="str">
        <f t="shared" si="44"/>
        <v/>
      </c>
      <c r="J13" t="str">
        <f t="shared" si="44"/>
        <v/>
      </c>
      <c r="K13" t="str">
        <f t="shared" si="44"/>
        <v/>
      </c>
      <c r="L13" t="str">
        <f t="shared" si="45"/>
        <v/>
      </c>
      <c r="M13" t="str">
        <f t="shared" si="45"/>
        <v/>
      </c>
      <c r="N13" t="str">
        <f t="shared" si="45"/>
        <v/>
      </c>
      <c r="O13" t="str">
        <f t="shared" si="45"/>
        <v/>
      </c>
      <c r="P13" t="str">
        <f t="shared" si="45"/>
        <v/>
      </c>
      <c r="Q13" t="str">
        <f t="shared" si="45"/>
        <v/>
      </c>
      <c r="R13" t="str">
        <f t="shared" si="45"/>
        <v/>
      </c>
      <c r="S13" t="str">
        <f t="shared" si="45"/>
        <v/>
      </c>
      <c r="T13" t="str">
        <f t="shared" si="45"/>
        <v/>
      </c>
      <c r="U13" t="str">
        <f t="shared" si="45"/>
        <v/>
      </c>
      <c r="V13" t="str">
        <f t="shared" si="46"/>
        <v/>
      </c>
      <c r="W13" t="str">
        <f t="shared" si="46"/>
        <v/>
      </c>
      <c r="X13" t="str">
        <f t="shared" si="46"/>
        <v/>
      </c>
      <c r="Y13" t="str">
        <f t="shared" si="46"/>
        <v/>
      </c>
      <c r="Z13" t="str">
        <f t="shared" si="46"/>
        <v/>
      </c>
      <c r="AA13" t="str">
        <f t="shared" si="46"/>
        <v/>
      </c>
      <c r="AB13" t="str">
        <f t="shared" si="46"/>
        <v/>
      </c>
      <c r="AC13" t="str">
        <f t="shared" si="46"/>
        <v/>
      </c>
      <c r="AD13" t="str">
        <f t="shared" si="46"/>
        <v/>
      </c>
      <c r="AE13" t="str">
        <f t="shared" si="46"/>
        <v/>
      </c>
      <c r="AF13" t="str">
        <f t="shared" si="47"/>
        <v/>
      </c>
      <c r="AG13" t="str">
        <f t="shared" si="47"/>
        <v/>
      </c>
      <c r="AH13" t="str">
        <f t="shared" si="47"/>
        <v/>
      </c>
      <c r="AI13" t="str">
        <f t="shared" si="47"/>
        <v/>
      </c>
      <c r="AJ13" t="str">
        <f t="shared" si="47"/>
        <v/>
      </c>
      <c r="AK13" t="str">
        <f t="shared" si="47"/>
        <v/>
      </c>
      <c r="AM13" s="22">
        <f t="shared" si="43"/>
        <v>0</v>
      </c>
      <c r="AP13">
        <v>11</v>
      </c>
      <c r="AQ13" s="33" t="str">
        <f>IFERROR(LOOKUP(2,1/(COUNTIF($AQ$1:AQ12,CountDSDs)=0),CountDSDs),"")</f>
        <v/>
      </c>
      <c r="AR13">
        <f t="shared" si="5"/>
        <v>0</v>
      </c>
      <c r="AS13">
        <f t="shared" si="6"/>
        <v>0</v>
      </c>
      <c r="AT13">
        <f t="shared" si="7"/>
        <v>0</v>
      </c>
      <c r="AU13">
        <f t="shared" si="8"/>
        <v>0</v>
      </c>
      <c r="AV13">
        <f t="shared" si="9"/>
        <v>0</v>
      </c>
      <c r="AW13">
        <f t="shared" si="10"/>
        <v>0</v>
      </c>
      <c r="AX13">
        <f t="shared" si="11"/>
        <v>0</v>
      </c>
      <c r="AY13">
        <f t="shared" si="12"/>
        <v>0</v>
      </c>
      <c r="AZ13">
        <f t="shared" si="13"/>
        <v>0</v>
      </c>
      <c r="BA13">
        <f t="shared" si="14"/>
        <v>0</v>
      </c>
      <c r="BB13">
        <f t="shared" si="15"/>
        <v>0</v>
      </c>
      <c r="BC13">
        <f t="shared" si="16"/>
        <v>0</v>
      </c>
      <c r="BD13">
        <f t="shared" si="17"/>
        <v>0</v>
      </c>
      <c r="BE13">
        <f t="shared" si="18"/>
        <v>0</v>
      </c>
      <c r="BF13">
        <f t="shared" si="19"/>
        <v>0</v>
      </c>
      <c r="BG13">
        <f t="shared" si="20"/>
        <v>0</v>
      </c>
      <c r="BH13">
        <f t="shared" si="21"/>
        <v>0</v>
      </c>
      <c r="BI13">
        <f t="shared" si="22"/>
        <v>0</v>
      </c>
      <c r="BJ13">
        <f t="shared" si="23"/>
        <v>0</v>
      </c>
      <c r="BK13">
        <f t="shared" si="24"/>
        <v>0</v>
      </c>
      <c r="BL13">
        <f t="shared" si="25"/>
        <v>0</v>
      </c>
      <c r="BM13">
        <f t="shared" si="26"/>
        <v>0</v>
      </c>
      <c r="BN13">
        <f t="shared" si="27"/>
        <v>0</v>
      </c>
      <c r="BO13">
        <f t="shared" si="28"/>
        <v>0</v>
      </c>
      <c r="BP13">
        <f t="shared" si="29"/>
        <v>0</v>
      </c>
      <c r="BQ13">
        <f t="shared" si="30"/>
        <v>0</v>
      </c>
      <c r="BR13">
        <f t="shared" si="31"/>
        <v>0</v>
      </c>
      <c r="BS13">
        <f t="shared" si="32"/>
        <v>0</v>
      </c>
      <c r="BT13">
        <f t="shared" si="33"/>
        <v>0</v>
      </c>
      <c r="BU13">
        <f t="shared" si="34"/>
        <v>0</v>
      </c>
      <c r="BV13">
        <f t="shared" si="35"/>
        <v>0</v>
      </c>
      <c r="BW13">
        <f t="shared" si="36"/>
        <v>0</v>
      </c>
      <c r="BX13">
        <f t="shared" si="37"/>
        <v>0</v>
      </c>
      <c r="BY13">
        <f t="shared" si="38"/>
        <v>0</v>
      </c>
      <c r="BZ13">
        <f t="shared" si="39"/>
        <v>0</v>
      </c>
      <c r="CA13">
        <f t="shared" si="40"/>
        <v>0</v>
      </c>
      <c r="CB13">
        <f t="shared" si="41"/>
        <v>0</v>
      </c>
      <c r="CC13">
        <f t="shared" ca="1" si="42"/>
        <v>0</v>
      </c>
    </row>
    <row r="14" spans="1:81" ht="18.75" x14ac:dyDescent="0.2">
      <c r="A14" t="e">
        <f t="shared" si="0"/>
        <v>#REF!</v>
      </c>
      <c r="B14" t="str">
        <f t="shared" si="44"/>
        <v/>
      </c>
      <c r="C14" t="str">
        <f t="shared" si="44"/>
        <v/>
      </c>
      <c r="D14" t="str">
        <f t="shared" si="44"/>
        <v/>
      </c>
      <c r="E14" t="str">
        <f t="shared" si="44"/>
        <v/>
      </c>
      <c r="F14" t="str">
        <f t="shared" si="44"/>
        <v/>
      </c>
      <c r="G14" t="str">
        <f t="shared" si="44"/>
        <v/>
      </c>
      <c r="H14" t="str">
        <f t="shared" si="44"/>
        <v/>
      </c>
      <c r="I14" t="str">
        <f t="shared" si="44"/>
        <v/>
      </c>
      <c r="J14" t="str">
        <f t="shared" si="44"/>
        <v/>
      </c>
      <c r="K14" t="str">
        <f t="shared" si="44"/>
        <v/>
      </c>
      <c r="L14" t="str">
        <f t="shared" si="45"/>
        <v/>
      </c>
      <c r="M14" t="str">
        <f t="shared" si="45"/>
        <v/>
      </c>
      <c r="N14" t="str">
        <f t="shared" si="45"/>
        <v/>
      </c>
      <c r="O14" t="str">
        <f t="shared" si="45"/>
        <v/>
      </c>
      <c r="P14" t="str">
        <f t="shared" si="45"/>
        <v/>
      </c>
      <c r="Q14" t="str">
        <f t="shared" si="45"/>
        <v/>
      </c>
      <c r="R14" t="str">
        <f t="shared" si="45"/>
        <v/>
      </c>
      <c r="S14" t="str">
        <f t="shared" si="45"/>
        <v/>
      </c>
      <c r="T14" t="str">
        <f t="shared" si="45"/>
        <v/>
      </c>
      <c r="U14" t="str">
        <f t="shared" si="45"/>
        <v/>
      </c>
      <c r="V14" t="str">
        <f t="shared" si="46"/>
        <v/>
      </c>
      <c r="W14" t="str">
        <f t="shared" si="46"/>
        <v/>
      </c>
      <c r="X14" t="str">
        <f t="shared" si="46"/>
        <v/>
      </c>
      <c r="Y14" t="str">
        <f t="shared" si="46"/>
        <v/>
      </c>
      <c r="Z14" t="str">
        <f t="shared" si="46"/>
        <v/>
      </c>
      <c r="AA14" t="str">
        <f t="shared" si="46"/>
        <v/>
      </c>
      <c r="AB14" t="str">
        <f t="shared" si="46"/>
        <v/>
      </c>
      <c r="AC14" t="str">
        <f t="shared" si="46"/>
        <v/>
      </c>
      <c r="AD14" t="str">
        <f t="shared" si="46"/>
        <v/>
      </c>
      <c r="AE14" t="str">
        <f t="shared" si="46"/>
        <v/>
      </c>
      <c r="AF14" t="str">
        <f t="shared" si="47"/>
        <v/>
      </c>
      <c r="AG14" t="str">
        <f t="shared" si="47"/>
        <v/>
      </c>
      <c r="AH14" t="str">
        <f t="shared" si="47"/>
        <v/>
      </c>
      <c r="AI14" t="str">
        <f t="shared" si="47"/>
        <v/>
      </c>
      <c r="AJ14" t="str">
        <f t="shared" si="47"/>
        <v/>
      </c>
      <c r="AK14" t="str">
        <f t="shared" si="47"/>
        <v/>
      </c>
      <c r="AM14" s="22">
        <f t="shared" si="43"/>
        <v>0</v>
      </c>
      <c r="AP14">
        <v>12</v>
      </c>
      <c r="AQ14" s="33" t="str">
        <f>IFERROR(LOOKUP(2,1/(COUNTIF($AQ$1:AQ13,CountDSDs)=0),CountDSDs),"")</f>
        <v/>
      </c>
      <c r="AR14">
        <f t="shared" si="5"/>
        <v>0</v>
      </c>
      <c r="AS14">
        <f t="shared" si="6"/>
        <v>0</v>
      </c>
      <c r="AT14">
        <f t="shared" si="7"/>
        <v>0</v>
      </c>
      <c r="AU14">
        <f t="shared" si="8"/>
        <v>0</v>
      </c>
      <c r="AV14">
        <f t="shared" si="9"/>
        <v>0</v>
      </c>
      <c r="AW14">
        <f t="shared" si="10"/>
        <v>0</v>
      </c>
      <c r="AX14">
        <f t="shared" si="11"/>
        <v>0</v>
      </c>
      <c r="AY14">
        <f t="shared" si="12"/>
        <v>0</v>
      </c>
      <c r="AZ14">
        <f t="shared" si="13"/>
        <v>0</v>
      </c>
      <c r="BA14">
        <f t="shared" si="14"/>
        <v>0</v>
      </c>
      <c r="BB14">
        <f t="shared" si="15"/>
        <v>0</v>
      </c>
      <c r="BC14">
        <f t="shared" si="16"/>
        <v>0</v>
      </c>
      <c r="BD14">
        <f t="shared" si="17"/>
        <v>0</v>
      </c>
      <c r="BE14">
        <f t="shared" si="18"/>
        <v>0</v>
      </c>
      <c r="BF14">
        <f t="shared" si="19"/>
        <v>0</v>
      </c>
      <c r="BG14">
        <f t="shared" si="20"/>
        <v>0</v>
      </c>
      <c r="BH14">
        <f t="shared" si="21"/>
        <v>0</v>
      </c>
      <c r="BI14">
        <f t="shared" si="22"/>
        <v>0</v>
      </c>
      <c r="BJ14">
        <f t="shared" si="23"/>
        <v>0</v>
      </c>
      <c r="BK14">
        <f t="shared" si="24"/>
        <v>0</v>
      </c>
      <c r="BL14">
        <f t="shared" si="25"/>
        <v>0</v>
      </c>
      <c r="BM14">
        <f t="shared" si="26"/>
        <v>0</v>
      </c>
      <c r="BN14">
        <f t="shared" si="27"/>
        <v>0</v>
      </c>
      <c r="BO14">
        <f t="shared" si="28"/>
        <v>0</v>
      </c>
      <c r="BP14">
        <f t="shared" si="29"/>
        <v>0</v>
      </c>
      <c r="BQ14">
        <f t="shared" si="30"/>
        <v>0</v>
      </c>
      <c r="BR14">
        <f t="shared" si="31"/>
        <v>0</v>
      </c>
      <c r="BS14">
        <f t="shared" si="32"/>
        <v>0</v>
      </c>
      <c r="BT14">
        <f t="shared" si="33"/>
        <v>0</v>
      </c>
      <c r="BU14">
        <f t="shared" si="34"/>
        <v>0</v>
      </c>
      <c r="BV14">
        <f t="shared" si="35"/>
        <v>0</v>
      </c>
      <c r="BW14">
        <f t="shared" si="36"/>
        <v>0</v>
      </c>
      <c r="BX14">
        <f t="shared" si="37"/>
        <v>0</v>
      </c>
      <c r="BY14">
        <f t="shared" si="38"/>
        <v>0</v>
      </c>
      <c r="BZ14">
        <f t="shared" si="39"/>
        <v>0</v>
      </c>
      <c r="CA14">
        <f t="shared" si="40"/>
        <v>0</v>
      </c>
      <c r="CB14">
        <f t="shared" si="41"/>
        <v>0</v>
      </c>
      <c r="CC14">
        <f t="shared" ca="1" si="42"/>
        <v>0</v>
      </c>
    </row>
    <row r="15" spans="1:81" ht="18.75" x14ac:dyDescent="0.2">
      <c r="A15" t="e">
        <f t="shared" si="0"/>
        <v>#REF!</v>
      </c>
      <c r="B15" t="str">
        <f t="shared" si="44"/>
        <v/>
      </c>
      <c r="C15" t="str">
        <f t="shared" si="44"/>
        <v/>
      </c>
      <c r="D15" t="str">
        <f t="shared" si="44"/>
        <v/>
      </c>
      <c r="E15" t="str">
        <f t="shared" si="44"/>
        <v/>
      </c>
      <c r="F15" t="str">
        <f t="shared" si="44"/>
        <v/>
      </c>
      <c r="G15" t="str">
        <f t="shared" si="44"/>
        <v/>
      </c>
      <c r="H15" t="str">
        <f t="shared" si="44"/>
        <v/>
      </c>
      <c r="I15" t="str">
        <f t="shared" si="44"/>
        <v/>
      </c>
      <c r="J15" t="str">
        <f t="shared" si="44"/>
        <v/>
      </c>
      <c r="K15" t="str">
        <f t="shared" si="44"/>
        <v/>
      </c>
      <c r="L15" t="str">
        <f t="shared" si="45"/>
        <v/>
      </c>
      <c r="M15" t="str">
        <f t="shared" si="45"/>
        <v/>
      </c>
      <c r="N15" t="str">
        <f t="shared" si="45"/>
        <v/>
      </c>
      <c r="O15" t="str">
        <f t="shared" si="45"/>
        <v/>
      </c>
      <c r="P15" t="str">
        <f t="shared" si="45"/>
        <v/>
      </c>
      <c r="Q15" t="str">
        <f t="shared" si="45"/>
        <v/>
      </c>
      <c r="R15" t="str">
        <f t="shared" si="45"/>
        <v/>
      </c>
      <c r="S15" t="str">
        <f t="shared" si="45"/>
        <v/>
      </c>
      <c r="T15" t="str">
        <f t="shared" si="45"/>
        <v/>
      </c>
      <c r="U15" t="str">
        <f t="shared" si="45"/>
        <v/>
      </c>
      <c r="V15" t="str">
        <f t="shared" si="46"/>
        <v/>
      </c>
      <c r="W15" t="str">
        <f t="shared" si="46"/>
        <v/>
      </c>
      <c r="X15" t="str">
        <f t="shared" si="46"/>
        <v/>
      </c>
      <c r="Y15" t="str">
        <f t="shared" si="46"/>
        <v/>
      </c>
      <c r="Z15" t="str">
        <f t="shared" si="46"/>
        <v/>
      </c>
      <c r="AA15" t="str">
        <f t="shared" si="46"/>
        <v/>
      </c>
      <c r="AB15" t="str">
        <f t="shared" si="46"/>
        <v/>
      </c>
      <c r="AC15" t="str">
        <f t="shared" si="46"/>
        <v/>
      </c>
      <c r="AD15" t="str">
        <f t="shared" si="46"/>
        <v/>
      </c>
      <c r="AE15" t="str">
        <f t="shared" si="46"/>
        <v/>
      </c>
      <c r="AF15" t="str">
        <f t="shared" si="47"/>
        <v/>
      </c>
      <c r="AG15" t="str">
        <f t="shared" si="47"/>
        <v/>
      </c>
      <c r="AH15" t="str">
        <f t="shared" si="47"/>
        <v/>
      </c>
      <c r="AI15" t="str">
        <f t="shared" si="47"/>
        <v/>
      </c>
      <c r="AJ15" t="str">
        <f t="shared" si="47"/>
        <v/>
      </c>
      <c r="AK15" t="str">
        <f t="shared" si="47"/>
        <v/>
      </c>
      <c r="AM15" s="22">
        <f t="shared" si="43"/>
        <v>0</v>
      </c>
      <c r="AP15">
        <v>13</v>
      </c>
      <c r="AQ15" s="33" t="str">
        <f>IFERROR(LOOKUP(2,1/(COUNTIF($AQ$1:AQ14,CountDSDs)=0),CountDSDs),"")</f>
        <v/>
      </c>
      <c r="AR15">
        <f t="shared" si="5"/>
        <v>0</v>
      </c>
      <c r="AS15">
        <f t="shared" si="6"/>
        <v>0</v>
      </c>
      <c r="AT15">
        <f t="shared" si="7"/>
        <v>0</v>
      </c>
      <c r="AU15">
        <f t="shared" si="8"/>
        <v>0</v>
      </c>
      <c r="AV15">
        <f t="shared" si="9"/>
        <v>0</v>
      </c>
      <c r="AW15">
        <f t="shared" si="10"/>
        <v>0</v>
      </c>
      <c r="AX15">
        <f t="shared" si="11"/>
        <v>0</v>
      </c>
      <c r="AY15">
        <f t="shared" si="12"/>
        <v>0</v>
      </c>
      <c r="AZ15">
        <f t="shared" si="13"/>
        <v>0</v>
      </c>
      <c r="BA15">
        <f t="shared" si="14"/>
        <v>0</v>
      </c>
      <c r="BB15">
        <f t="shared" si="15"/>
        <v>0</v>
      </c>
      <c r="BC15">
        <f t="shared" si="16"/>
        <v>0</v>
      </c>
      <c r="BD15">
        <f t="shared" si="17"/>
        <v>0</v>
      </c>
      <c r="BE15">
        <f t="shared" si="18"/>
        <v>0</v>
      </c>
      <c r="BF15">
        <f t="shared" si="19"/>
        <v>0</v>
      </c>
      <c r="BG15">
        <f t="shared" si="20"/>
        <v>0</v>
      </c>
      <c r="BH15">
        <f t="shared" si="21"/>
        <v>0</v>
      </c>
      <c r="BI15">
        <f t="shared" si="22"/>
        <v>0</v>
      </c>
      <c r="BJ15">
        <f t="shared" si="23"/>
        <v>0</v>
      </c>
      <c r="BK15">
        <f t="shared" si="24"/>
        <v>0</v>
      </c>
      <c r="BL15">
        <f t="shared" si="25"/>
        <v>0</v>
      </c>
      <c r="BM15">
        <f t="shared" si="26"/>
        <v>0</v>
      </c>
      <c r="BN15">
        <f t="shared" si="27"/>
        <v>0</v>
      </c>
      <c r="BO15">
        <f t="shared" si="28"/>
        <v>0</v>
      </c>
      <c r="BP15">
        <f t="shared" si="29"/>
        <v>0</v>
      </c>
      <c r="BQ15">
        <f t="shared" si="30"/>
        <v>0</v>
      </c>
      <c r="BR15">
        <f t="shared" si="31"/>
        <v>0</v>
      </c>
      <c r="BS15">
        <f t="shared" si="32"/>
        <v>0</v>
      </c>
      <c r="BT15">
        <f t="shared" si="33"/>
        <v>0</v>
      </c>
      <c r="BU15">
        <f t="shared" si="34"/>
        <v>0</v>
      </c>
      <c r="BV15">
        <f t="shared" si="35"/>
        <v>0</v>
      </c>
      <c r="BW15">
        <f t="shared" si="36"/>
        <v>0</v>
      </c>
      <c r="BX15">
        <f t="shared" si="37"/>
        <v>0</v>
      </c>
      <c r="BY15">
        <f t="shared" si="38"/>
        <v>0</v>
      </c>
      <c r="BZ15">
        <f t="shared" si="39"/>
        <v>0</v>
      </c>
      <c r="CA15">
        <f t="shared" si="40"/>
        <v>0</v>
      </c>
      <c r="CB15">
        <f t="shared" si="41"/>
        <v>0</v>
      </c>
      <c r="CC15">
        <f t="shared" ca="1" si="42"/>
        <v>0</v>
      </c>
    </row>
    <row r="16" spans="1:81" ht="18.75" x14ac:dyDescent="0.2">
      <c r="A16" t="e">
        <f t="shared" si="0"/>
        <v>#REF!</v>
      </c>
      <c r="B16" t="str">
        <f t="shared" si="44"/>
        <v/>
      </c>
      <c r="C16" t="str">
        <f t="shared" si="44"/>
        <v/>
      </c>
      <c r="D16" t="str">
        <f t="shared" si="44"/>
        <v/>
      </c>
      <c r="E16" t="str">
        <f t="shared" si="44"/>
        <v/>
      </c>
      <c r="F16" t="str">
        <f t="shared" si="44"/>
        <v/>
      </c>
      <c r="G16" t="str">
        <f t="shared" si="44"/>
        <v/>
      </c>
      <c r="H16" t="str">
        <f t="shared" si="44"/>
        <v/>
      </c>
      <c r="I16" t="str">
        <f t="shared" si="44"/>
        <v/>
      </c>
      <c r="J16" t="str">
        <f t="shared" si="44"/>
        <v/>
      </c>
      <c r="K16" t="str">
        <f t="shared" si="44"/>
        <v/>
      </c>
      <c r="L16" t="str">
        <f t="shared" si="45"/>
        <v/>
      </c>
      <c r="M16" t="str">
        <f t="shared" si="45"/>
        <v/>
      </c>
      <c r="N16" t="str">
        <f t="shared" si="45"/>
        <v/>
      </c>
      <c r="O16" t="str">
        <f t="shared" si="45"/>
        <v/>
      </c>
      <c r="P16" t="str">
        <f t="shared" si="45"/>
        <v/>
      </c>
      <c r="Q16" t="str">
        <f t="shared" si="45"/>
        <v/>
      </c>
      <c r="R16" t="str">
        <f t="shared" si="45"/>
        <v/>
      </c>
      <c r="S16" t="str">
        <f t="shared" si="45"/>
        <v/>
      </c>
      <c r="T16" t="str">
        <f t="shared" si="45"/>
        <v/>
      </c>
      <c r="U16" t="str">
        <f t="shared" si="45"/>
        <v/>
      </c>
      <c r="V16" t="str">
        <f t="shared" si="46"/>
        <v/>
      </c>
      <c r="W16" t="str">
        <f t="shared" si="46"/>
        <v/>
      </c>
      <c r="X16" t="str">
        <f t="shared" si="46"/>
        <v/>
      </c>
      <c r="Y16" t="str">
        <f t="shared" si="46"/>
        <v/>
      </c>
      <c r="Z16" t="str">
        <f t="shared" si="46"/>
        <v/>
      </c>
      <c r="AA16" t="str">
        <f t="shared" si="46"/>
        <v/>
      </c>
      <c r="AB16" t="str">
        <f t="shared" si="46"/>
        <v/>
      </c>
      <c r="AC16" t="str">
        <f t="shared" si="46"/>
        <v/>
      </c>
      <c r="AD16" t="str">
        <f t="shared" si="46"/>
        <v/>
      </c>
      <c r="AE16" t="str">
        <f t="shared" si="46"/>
        <v/>
      </c>
      <c r="AF16" t="str">
        <f t="shared" si="47"/>
        <v/>
      </c>
      <c r="AG16" t="str">
        <f t="shared" si="47"/>
        <v/>
      </c>
      <c r="AH16" t="str">
        <f t="shared" si="47"/>
        <v/>
      </c>
      <c r="AI16" t="str">
        <f t="shared" si="47"/>
        <v/>
      </c>
      <c r="AJ16" t="str">
        <f t="shared" si="47"/>
        <v/>
      </c>
      <c r="AK16" t="str">
        <f t="shared" si="47"/>
        <v/>
      </c>
      <c r="AM16" s="22">
        <f t="shared" si="43"/>
        <v>0</v>
      </c>
      <c r="AP16">
        <v>14</v>
      </c>
      <c r="AQ16" s="33" t="str">
        <f>IFERROR(LOOKUP(2,1/(COUNTIF($AQ$1:AQ15,CountDSDs)=0),CountDSDs),"")</f>
        <v/>
      </c>
      <c r="AR16">
        <f t="shared" si="5"/>
        <v>0</v>
      </c>
      <c r="AS16">
        <f t="shared" si="6"/>
        <v>0</v>
      </c>
      <c r="AT16">
        <f t="shared" si="7"/>
        <v>0</v>
      </c>
      <c r="AU16">
        <f t="shared" si="8"/>
        <v>0</v>
      </c>
      <c r="AV16">
        <f t="shared" si="9"/>
        <v>0</v>
      </c>
      <c r="AW16">
        <f t="shared" si="10"/>
        <v>0</v>
      </c>
      <c r="AX16">
        <f t="shared" si="11"/>
        <v>0</v>
      </c>
      <c r="AY16">
        <f t="shared" si="12"/>
        <v>0</v>
      </c>
      <c r="AZ16">
        <f t="shared" si="13"/>
        <v>0</v>
      </c>
      <c r="BA16">
        <f t="shared" si="14"/>
        <v>0</v>
      </c>
      <c r="BB16">
        <f t="shared" si="15"/>
        <v>0</v>
      </c>
      <c r="BC16">
        <f t="shared" si="16"/>
        <v>0</v>
      </c>
      <c r="BD16">
        <f t="shared" si="17"/>
        <v>0</v>
      </c>
      <c r="BE16">
        <f t="shared" si="18"/>
        <v>0</v>
      </c>
      <c r="BF16">
        <f t="shared" si="19"/>
        <v>0</v>
      </c>
      <c r="BG16">
        <f t="shared" si="20"/>
        <v>0</v>
      </c>
      <c r="BH16">
        <f t="shared" si="21"/>
        <v>0</v>
      </c>
      <c r="BI16">
        <f t="shared" si="22"/>
        <v>0</v>
      </c>
      <c r="BJ16">
        <f t="shared" si="23"/>
        <v>0</v>
      </c>
      <c r="BK16">
        <f t="shared" si="24"/>
        <v>0</v>
      </c>
      <c r="BL16">
        <f t="shared" si="25"/>
        <v>0</v>
      </c>
      <c r="BM16">
        <f t="shared" si="26"/>
        <v>0</v>
      </c>
      <c r="BN16">
        <f t="shared" si="27"/>
        <v>0</v>
      </c>
      <c r="BO16">
        <f t="shared" si="28"/>
        <v>0</v>
      </c>
      <c r="BP16">
        <f t="shared" si="29"/>
        <v>0</v>
      </c>
      <c r="BQ16">
        <f t="shared" si="30"/>
        <v>0</v>
      </c>
      <c r="BR16">
        <f t="shared" si="31"/>
        <v>0</v>
      </c>
      <c r="BS16">
        <f t="shared" si="32"/>
        <v>0</v>
      </c>
      <c r="BT16">
        <f t="shared" si="33"/>
        <v>0</v>
      </c>
      <c r="BU16">
        <f t="shared" si="34"/>
        <v>0</v>
      </c>
      <c r="BV16">
        <f t="shared" si="35"/>
        <v>0</v>
      </c>
      <c r="BW16">
        <f t="shared" si="36"/>
        <v>0</v>
      </c>
      <c r="BX16">
        <f t="shared" si="37"/>
        <v>0</v>
      </c>
      <c r="BY16">
        <f t="shared" si="38"/>
        <v>0</v>
      </c>
      <c r="BZ16">
        <f t="shared" si="39"/>
        <v>0</v>
      </c>
      <c r="CA16">
        <f t="shared" si="40"/>
        <v>0</v>
      </c>
      <c r="CB16">
        <f t="shared" si="41"/>
        <v>0</v>
      </c>
      <c r="CC16">
        <f t="shared" ca="1" si="42"/>
        <v>0</v>
      </c>
    </row>
    <row r="17" spans="1:81" ht="18.75" x14ac:dyDescent="0.2">
      <c r="A17" t="e">
        <f t="shared" si="0"/>
        <v>#REF!</v>
      </c>
      <c r="B17" t="str">
        <f t="shared" si="44"/>
        <v/>
      </c>
      <c r="C17" t="str">
        <f t="shared" si="44"/>
        <v/>
      </c>
      <c r="D17" t="str">
        <f t="shared" si="44"/>
        <v/>
      </c>
      <c r="E17" t="str">
        <f t="shared" si="44"/>
        <v/>
      </c>
      <c r="F17" t="str">
        <f t="shared" si="44"/>
        <v/>
      </c>
      <c r="G17" t="str">
        <f t="shared" si="44"/>
        <v/>
      </c>
      <c r="H17" t="str">
        <f t="shared" si="44"/>
        <v/>
      </c>
      <c r="I17" t="str">
        <f t="shared" si="44"/>
        <v/>
      </c>
      <c r="J17" t="str">
        <f t="shared" si="44"/>
        <v/>
      </c>
      <c r="K17" t="str">
        <f t="shared" si="44"/>
        <v/>
      </c>
      <c r="L17" t="str">
        <f t="shared" si="45"/>
        <v/>
      </c>
      <c r="M17" t="str">
        <f t="shared" si="45"/>
        <v/>
      </c>
      <c r="N17" t="str">
        <f t="shared" si="45"/>
        <v/>
      </c>
      <c r="O17" t="str">
        <f t="shared" si="45"/>
        <v/>
      </c>
      <c r="P17" t="str">
        <f t="shared" si="45"/>
        <v/>
      </c>
      <c r="Q17" t="str">
        <f t="shared" si="45"/>
        <v/>
      </c>
      <c r="R17" t="str">
        <f t="shared" si="45"/>
        <v/>
      </c>
      <c r="S17" t="str">
        <f t="shared" si="45"/>
        <v/>
      </c>
      <c r="T17" t="str">
        <f t="shared" si="45"/>
        <v/>
      </c>
      <c r="U17" t="str">
        <f t="shared" si="45"/>
        <v/>
      </c>
      <c r="V17" t="str">
        <f t="shared" si="46"/>
        <v/>
      </c>
      <c r="W17" t="str">
        <f t="shared" si="46"/>
        <v/>
      </c>
      <c r="X17" t="str">
        <f t="shared" si="46"/>
        <v/>
      </c>
      <c r="Y17" t="str">
        <f t="shared" si="46"/>
        <v/>
      </c>
      <c r="Z17" t="str">
        <f t="shared" si="46"/>
        <v/>
      </c>
      <c r="AA17" t="str">
        <f t="shared" si="46"/>
        <v/>
      </c>
      <c r="AB17" t="str">
        <f t="shared" si="46"/>
        <v/>
      </c>
      <c r="AC17" t="str">
        <f t="shared" si="46"/>
        <v/>
      </c>
      <c r="AD17" t="str">
        <f t="shared" si="46"/>
        <v/>
      </c>
      <c r="AE17" t="str">
        <f t="shared" si="46"/>
        <v/>
      </c>
      <c r="AF17" t="str">
        <f t="shared" si="47"/>
        <v/>
      </c>
      <c r="AG17" t="str">
        <f t="shared" si="47"/>
        <v/>
      </c>
      <c r="AH17" t="str">
        <f t="shared" si="47"/>
        <v/>
      </c>
      <c r="AI17" t="str">
        <f t="shared" si="47"/>
        <v/>
      </c>
      <c r="AJ17" t="str">
        <f t="shared" si="47"/>
        <v/>
      </c>
      <c r="AK17" t="str">
        <f t="shared" si="47"/>
        <v/>
      </c>
      <c r="AM17" s="22">
        <f t="shared" si="43"/>
        <v>0</v>
      </c>
      <c r="AP17">
        <v>15</v>
      </c>
      <c r="AQ17" s="33" t="str">
        <f>IFERROR(LOOKUP(2,1/(COUNTIF($AQ$1:AQ16,CountDSDs)=0),CountDSDs),"")</f>
        <v/>
      </c>
      <c r="AR17">
        <f t="shared" si="5"/>
        <v>0</v>
      </c>
      <c r="AS17">
        <f t="shared" si="6"/>
        <v>0</v>
      </c>
      <c r="AT17">
        <f t="shared" si="7"/>
        <v>0</v>
      </c>
      <c r="AU17">
        <f t="shared" si="8"/>
        <v>0</v>
      </c>
      <c r="AV17">
        <f t="shared" si="9"/>
        <v>0</v>
      </c>
      <c r="AW17">
        <f t="shared" si="10"/>
        <v>0</v>
      </c>
      <c r="AX17">
        <f t="shared" si="11"/>
        <v>0</v>
      </c>
      <c r="AY17">
        <f t="shared" si="12"/>
        <v>0</v>
      </c>
      <c r="AZ17">
        <f t="shared" si="13"/>
        <v>0</v>
      </c>
      <c r="BA17">
        <f t="shared" si="14"/>
        <v>0</v>
      </c>
      <c r="BB17">
        <f t="shared" si="15"/>
        <v>0</v>
      </c>
      <c r="BC17">
        <f t="shared" si="16"/>
        <v>0</v>
      </c>
      <c r="BD17">
        <f t="shared" si="17"/>
        <v>0</v>
      </c>
      <c r="BE17">
        <f t="shared" si="18"/>
        <v>0</v>
      </c>
      <c r="BF17">
        <f t="shared" si="19"/>
        <v>0</v>
      </c>
      <c r="BG17">
        <f t="shared" si="20"/>
        <v>0</v>
      </c>
      <c r="BH17">
        <f t="shared" si="21"/>
        <v>0</v>
      </c>
      <c r="BI17">
        <f t="shared" si="22"/>
        <v>0</v>
      </c>
      <c r="BJ17">
        <f t="shared" si="23"/>
        <v>0</v>
      </c>
      <c r="BK17">
        <f t="shared" si="24"/>
        <v>0</v>
      </c>
      <c r="BL17">
        <f t="shared" si="25"/>
        <v>0</v>
      </c>
      <c r="BM17">
        <f t="shared" si="26"/>
        <v>0</v>
      </c>
      <c r="BN17">
        <f t="shared" si="27"/>
        <v>0</v>
      </c>
      <c r="BO17">
        <f t="shared" si="28"/>
        <v>0</v>
      </c>
      <c r="BP17">
        <f t="shared" si="29"/>
        <v>0</v>
      </c>
      <c r="BQ17">
        <f t="shared" si="30"/>
        <v>0</v>
      </c>
      <c r="BR17">
        <f t="shared" si="31"/>
        <v>0</v>
      </c>
      <c r="BS17">
        <f t="shared" si="32"/>
        <v>0</v>
      </c>
      <c r="BT17">
        <f t="shared" si="33"/>
        <v>0</v>
      </c>
      <c r="BU17">
        <f t="shared" si="34"/>
        <v>0</v>
      </c>
      <c r="BV17">
        <f t="shared" si="35"/>
        <v>0</v>
      </c>
      <c r="BW17">
        <f t="shared" si="36"/>
        <v>0</v>
      </c>
      <c r="BX17">
        <f t="shared" si="37"/>
        <v>0</v>
      </c>
      <c r="BY17">
        <f t="shared" si="38"/>
        <v>0</v>
      </c>
      <c r="BZ17">
        <f t="shared" si="39"/>
        <v>0</v>
      </c>
      <c r="CA17">
        <f t="shared" si="40"/>
        <v>0</v>
      </c>
      <c r="CB17">
        <f t="shared" si="41"/>
        <v>0</v>
      </c>
      <c r="CC17">
        <f t="shared" ca="1" si="42"/>
        <v>0</v>
      </c>
    </row>
    <row r="18" spans="1:81" ht="18.75" x14ac:dyDescent="0.2">
      <c r="A18" t="e">
        <f t="shared" si="0"/>
        <v>#REF!</v>
      </c>
      <c r="B18" t="str">
        <f t="shared" si="44"/>
        <v/>
      </c>
      <c r="C18" t="str">
        <f t="shared" si="44"/>
        <v/>
      </c>
      <c r="D18" t="str">
        <f t="shared" si="44"/>
        <v/>
      </c>
      <c r="E18" t="str">
        <f t="shared" si="44"/>
        <v/>
      </c>
      <c r="F18" t="str">
        <f t="shared" si="44"/>
        <v/>
      </c>
      <c r="G18" t="str">
        <f t="shared" si="44"/>
        <v/>
      </c>
      <c r="H18" t="str">
        <f t="shared" si="44"/>
        <v/>
      </c>
      <c r="I18" t="str">
        <f t="shared" si="44"/>
        <v/>
      </c>
      <c r="J18" t="str">
        <f t="shared" si="44"/>
        <v/>
      </c>
      <c r="K18" t="str">
        <f t="shared" si="44"/>
        <v/>
      </c>
      <c r="L18" t="str">
        <f t="shared" si="45"/>
        <v/>
      </c>
      <c r="M18" t="str">
        <f t="shared" si="45"/>
        <v/>
      </c>
      <c r="N18" t="str">
        <f t="shared" si="45"/>
        <v/>
      </c>
      <c r="O18" t="str">
        <f t="shared" si="45"/>
        <v/>
      </c>
      <c r="P18" t="str">
        <f t="shared" si="45"/>
        <v/>
      </c>
      <c r="Q18" t="str">
        <f t="shared" si="45"/>
        <v/>
      </c>
      <c r="R18" t="str">
        <f t="shared" si="45"/>
        <v/>
      </c>
      <c r="S18" t="str">
        <f t="shared" si="45"/>
        <v/>
      </c>
      <c r="T18" t="str">
        <f t="shared" si="45"/>
        <v/>
      </c>
      <c r="U18" t="str">
        <f t="shared" si="45"/>
        <v/>
      </c>
      <c r="V18" t="str">
        <f t="shared" si="46"/>
        <v/>
      </c>
      <c r="W18" t="str">
        <f t="shared" si="46"/>
        <v/>
      </c>
      <c r="X18" t="str">
        <f t="shared" si="46"/>
        <v/>
      </c>
      <c r="Y18" t="str">
        <f t="shared" si="46"/>
        <v/>
      </c>
      <c r="Z18" t="str">
        <f t="shared" si="46"/>
        <v/>
      </c>
      <c r="AA18" t="str">
        <f t="shared" si="46"/>
        <v/>
      </c>
      <c r="AB18" t="str">
        <f t="shared" si="46"/>
        <v/>
      </c>
      <c r="AC18" t="str">
        <f t="shared" si="46"/>
        <v/>
      </c>
      <c r="AD18" t="str">
        <f t="shared" si="46"/>
        <v/>
      </c>
      <c r="AE18" t="str">
        <f t="shared" si="46"/>
        <v/>
      </c>
      <c r="AF18" t="str">
        <f t="shared" si="47"/>
        <v/>
      </c>
      <c r="AG18" t="str">
        <f t="shared" si="47"/>
        <v/>
      </c>
      <c r="AH18" t="str">
        <f t="shared" si="47"/>
        <v/>
      </c>
      <c r="AI18" t="str">
        <f t="shared" si="47"/>
        <v/>
      </c>
      <c r="AJ18" t="str">
        <f t="shared" si="47"/>
        <v/>
      </c>
      <c r="AK18" t="str">
        <f t="shared" si="47"/>
        <v/>
      </c>
      <c r="AM18" s="22">
        <f t="shared" si="43"/>
        <v>0</v>
      </c>
      <c r="AP18">
        <v>16</v>
      </c>
      <c r="AQ18" s="33" t="str">
        <f>IFERROR(LOOKUP(2,1/(COUNTIF($AQ$1:AQ17,CountDSDs)=0),CountDSDs),"")</f>
        <v/>
      </c>
      <c r="AR18">
        <f t="shared" si="5"/>
        <v>0</v>
      </c>
      <c r="AS18">
        <f t="shared" si="6"/>
        <v>0</v>
      </c>
      <c r="AT18">
        <f t="shared" si="7"/>
        <v>0</v>
      </c>
      <c r="AU18">
        <f t="shared" si="8"/>
        <v>0</v>
      </c>
      <c r="AV18">
        <f t="shared" si="9"/>
        <v>0</v>
      </c>
      <c r="AW18">
        <f t="shared" si="10"/>
        <v>0</v>
      </c>
      <c r="AX18">
        <f t="shared" si="11"/>
        <v>0</v>
      </c>
      <c r="AY18">
        <f t="shared" si="12"/>
        <v>0</v>
      </c>
      <c r="AZ18">
        <f t="shared" si="13"/>
        <v>0</v>
      </c>
      <c r="BA18">
        <f t="shared" si="14"/>
        <v>0</v>
      </c>
      <c r="BB18">
        <f t="shared" si="15"/>
        <v>0</v>
      </c>
      <c r="BC18">
        <f t="shared" si="16"/>
        <v>0</v>
      </c>
      <c r="BD18">
        <f t="shared" si="17"/>
        <v>0</v>
      </c>
      <c r="BE18">
        <f t="shared" si="18"/>
        <v>0</v>
      </c>
      <c r="BF18">
        <f t="shared" si="19"/>
        <v>0</v>
      </c>
      <c r="BG18">
        <f t="shared" si="20"/>
        <v>0</v>
      </c>
      <c r="BH18">
        <f t="shared" si="21"/>
        <v>0</v>
      </c>
      <c r="BI18">
        <f t="shared" si="22"/>
        <v>0</v>
      </c>
      <c r="BJ18">
        <f t="shared" si="23"/>
        <v>0</v>
      </c>
      <c r="BK18">
        <f t="shared" si="24"/>
        <v>0</v>
      </c>
      <c r="BL18">
        <f t="shared" si="25"/>
        <v>0</v>
      </c>
      <c r="BM18">
        <f t="shared" si="26"/>
        <v>0</v>
      </c>
      <c r="BN18">
        <f t="shared" si="27"/>
        <v>0</v>
      </c>
      <c r="BO18">
        <f t="shared" si="28"/>
        <v>0</v>
      </c>
      <c r="BP18">
        <f t="shared" si="29"/>
        <v>0</v>
      </c>
      <c r="BQ18">
        <f t="shared" si="30"/>
        <v>0</v>
      </c>
      <c r="BR18">
        <f t="shared" si="31"/>
        <v>0</v>
      </c>
      <c r="BS18">
        <f t="shared" si="32"/>
        <v>0</v>
      </c>
      <c r="BT18">
        <f t="shared" si="33"/>
        <v>0</v>
      </c>
      <c r="BU18">
        <f t="shared" si="34"/>
        <v>0</v>
      </c>
      <c r="BV18">
        <f t="shared" si="35"/>
        <v>0</v>
      </c>
      <c r="BW18">
        <f t="shared" si="36"/>
        <v>0</v>
      </c>
      <c r="BX18">
        <f t="shared" si="37"/>
        <v>0</v>
      </c>
      <c r="BY18">
        <f t="shared" si="38"/>
        <v>0</v>
      </c>
      <c r="BZ18">
        <f t="shared" si="39"/>
        <v>0</v>
      </c>
      <c r="CA18">
        <f t="shared" si="40"/>
        <v>0</v>
      </c>
      <c r="CB18">
        <f t="shared" si="41"/>
        <v>0</v>
      </c>
      <c r="CC18">
        <f t="shared" ca="1" si="42"/>
        <v>0</v>
      </c>
    </row>
    <row r="19" spans="1:81" ht="18.75" x14ac:dyDescent="0.2">
      <c r="A19" t="e">
        <f t="shared" si="0"/>
        <v>#REF!</v>
      </c>
      <c r="B19" t="str">
        <f t="shared" si="44"/>
        <v/>
      </c>
      <c r="C19" t="str">
        <f t="shared" si="44"/>
        <v/>
      </c>
      <c r="D19" t="str">
        <f t="shared" si="44"/>
        <v/>
      </c>
      <c r="E19" t="str">
        <f t="shared" si="44"/>
        <v/>
      </c>
      <c r="F19" t="str">
        <f t="shared" si="44"/>
        <v/>
      </c>
      <c r="G19" t="str">
        <f t="shared" si="44"/>
        <v/>
      </c>
      <c r="H19" t="str">
        <f t="shared" si="44"/>
        <v/>
      </c>
      <c r="I19" t="str">
        <f t="shared" si="44"/>
        <v/>
      </c>
      <c r="J19" t="str">
        <f t="shared" si="44"/>
        <v/>
      </c>
      <c r="K19" t="str">
        <f t="shared" si="44"/>
        <v/>
      </c>
      <c r="L19" t="str">
        <f t="shared" si="45"/>
        <v/>
      </c>
      <c r="M19" t="str">
        <f t="shared" si="45"/>
        <v/>
      </c>
      <c r="N19" t="str">
        <f t="shared" si="45"/>
        <v/>
      </c>
      <c r="O19" t="str">
        <f t="shared" si="45"/>
        <v/>
      </c>
      <c r="P19" t="str">
        <f t="shared" si="45"/>
        <v/>
      </c>
      <c r="Q19" t="str">
        <f t="shared" si="45"/>
        <v/>
      </c>
      <c r="R19" t="str">
        <f t="shared" si="45"/>
        <v/>
      </c>
      <c r="S19" t="str">
        <f t="shared" si="45"/>
        <v/>
      </c>
      <c r="T19" t="str">
        <f t="shared" si="45"/>
        <v/>
      </c>
      <c r="U19" t="str">
        <f t="shared" si="45"/>
        <v/>
      </c>
      <c r="V19" t="str">
        <f t="shared" si="46"/>
        <v/>
      </c>
      <c r="W19" t="str">
        <f t="shared" si="46"/>
        <v/>
      </c>
      <c r="X19" t="str">
        <f t="shared" si="46"/>
        <v/>
      </c>
      <c r="Y19" t="str">
        <f t="shared" si="46"/>
        <v/>
      </c>
      <c r="Z19" t="str">
        <f t="shared" si="46"/>
        <v/>
      </c>
      <c r="AA19" t="str">
        <f t="shared" si="46"/>
        <v/>
      </c>
      <c r="AB19" t="str">
        <f t="shared" si="46"/>
        <v/>
      </c>
      <c r="AC19" t="str">
        <f t="shared" si="46"/>
        <v/>
      </c>
      <c r="AD19" t="str">
        <f t="shared" si="46"/>
        <v/>
      </c>
      <c r="AE19" t="str">
        <f t="shared" si="46"/>
        <v/>
      </c>
      <c r="AF19" t="str">
        <f t="shared" si="47"/>
        <v/>
      </c>
      <c r="AG19" t="str">
        <f t="shared" si="47"/>
        <v/>
      </c>
      <c r="AH19" t="str">
        <f t="shared" si="47"/>
        <v/>
      </c>
      <c r="AI19" t="str">
        <f t="shared" si="47"/>
        <v/>
      </c>
      <c r="AJ19" t="str">
        <f t="shared" si="47"/>
        <v/>
      </c>
      <c r="AK19" t="str">
        <f t="shared" si="47"/>
        <v/>
      </c>
      <c r="AM19" s="22">
        <f t="shared" si="43"/>
        <v>0</v>
      </c>
      <c r="AP19">
        <v>17</v>
      </c>
      <c r="AQ19" s="33" t="str">
        <f>IFERROR(LOOKUP(2,1/(COUNTIF($AQ$1:AQ18,CountDSDs)=0),CountDSDs),"")</f>
        <v/>
      </c>
      <c r="AR19">
        <f t="shared" si="5"/>
        <v>0</v>
      </c>
      <c r="AS19">
        <f t="shared" si="6"/>
        <v>0</v>
      </c>
      <c r="AT19">
        <f t="shared" si="7"/>
        <v>0</v>
      </c>
      <c r="AU19">
        <f t="shared" si="8"/>
        <v>0</v>
      </c>
      <c r="AV19">
        <f t="shared" si="9"/>
        <v>0</v>
      </c>
      <c r="AW19">
        <f t="shared" si="10"/>
        <v>0</v>
      </c>
      <c r="AX19">
        <f t="shared" si="11"/>
        <v>0</v>
      </c>
      <c r="AY19">
        <f t="shared" si="12"/>
        <v>0</v>
      </c>
      <c r="AZ19">
        <f t="shared" si="13"/>
        <v>0</v>
      </c>
      <c r="BA19">
        <f t="shared" si="14"/>
        <v>0</v>
      </c>
      <c r="BB19">
        <f t="shared" si="15"/>
        <v>0</v>
      </c>
      <c r="BC19">
        <f t="shared" si="16"/>
        <v>0</v>
      </c>
      <c r="BD19">
        <f t="shared" si="17"/>
        <v>0</v>
      </c>
      <c r="BE19">
        <f t="shared" si="18"/>
        <v>0</v>
      </c>
      <c r="BF19">
        <f t="shared" si="19"/>
        <v>0</v>
      </c>
      <c r="BG19">
        <f t="shared" si="20"/>
        <v>0</v>
      </c>
      <c r="BH19">
        <f t="shared" si="21"/>
        <v>0</v>
      </c>
      <c r="BI19">
        <f t="shared" si="22"/>
        <v>0</v>
      </c>
      <c r="BJ19">
        <f t="shared" si="23"/>
        <v>0</v>
      </c>
      <c r="BK19">
        <f t="shared" si="24"/>
        <v>0</v>
      </c>
      <c r="BL19">
        <f t="shared" si="25"/>
        <v>0</v>
      </c>
      <c r="BM19">
        <f t="shared" si="26"/>
        <v>0</v>
      </c>
      <c r="BN19">
        <f t="shared" si="27"/>
        <v>0</v>
      </c>
      <c r="BO19">
        <f t="shared" si="28"/>
        <v>0</v>
      </c>
      <c r="BP19">
        <f t="shared" si="29"/>
        <v>0</v>
      </c>
      <c r="BQ19">
        <f t="shared" si="30"/>
        <v>0</v>
      </c>
      <c r="BR19">
        <f t="shared" si="31"/>
        <v>0</v>
      </c>
      <c r="BS19">
        <f t="shared" si="32"/>
        <v>0</v>
      </c>
      <c r="BT19">
        <f t="shared" si="33"/>
        <v>0</v>
      </c>
      <c r="BU19">
        <f t="shared" si="34"/>
        <v>0</v>
      </c>
      <c r="BV19">
        <f t="shared" si="35"/>
        <v>0</v>
      </c>
      <c r="BW19">
        <f t="shared" si="36"/>
        <v>0</v>
      </c>
      <c r="BX19">
        <f t="shared" si="37"/>
        <v>0</v>
      </c>
      <c r="BY19">
        <f t="shared" si="38"/>
        <v>0</v>
      </c>
      <c r="BZ19">
        <f t="shared" si="39"/>
        <v>0</v>
      </c>
      <c r="CA19">
        <f t="shared" si="40"/>
        <v>0</v>
      </c>
      <c r="CB19">
        <f t="shared" si="41"/>
        <v>0</v>
      </c>
      <c r="CC19">
        <f t="shared" ca="1" si="42"/>
        <v>0</v>
      </c>
    </row>
    <row r="20" spans="1:81" ht="18.75" x14ac:dyDescent="0.2">
      <c r="A20" t="e">
        <f t="shared" si="0"/>
        <v>#REF!</v>
      </c>
      <c r="B20" t="str">
        <f t="shared" si="44"/>
        <v/>
      </c>
      <c r="C20" t="str">
        <f t="shared" si="44"/>
        <v/>
      </c>
      <c r="D20" t="str">
        <f t="shared" si="44"/>
        <v/>
      </c>
      <c r="E20" t="str">
        <f t="shared" si="44"/>
        <v/>
      </c>
      <c r="F20" t="str">
        <f t="shared" si="44"/>
        <v/>
      </c>
      <c r="G20" t="str">
        <f t="shared" si="44"/>
        <v/>
      </c>
      <c r="H20" t="str">
        <f t="shared" si="44"/>
        <v/>
      </c>
      <c r="I20" t="str">
        <f t="shared" si="44"/>
        <v/>
      </c>
      <c r="J20" t="str">
        <f t="shared" si="44"/>
        <v/>
      </c>
      <c r="K20" t="str">
        <f t="shared" si="44"/>
        <v/>
      </c>
      <c r="L20" t="str">
        <f t="shared" si="45"/>
        <v/>
      </c>
      <c r="M20" t="str">
        <f t="shared" si="45"/>
        <v/>
      </c>
      <c r="N20" t="str">
        <f t="shared" si="45"/>
        <v/>
      </c>
      <c r="O20" t="str">
        <f t="shared" si="45"/>
        <v/>
      </c>
      <c r="P20" t="str">
        <f t="shared" si="45"/>
        <v/>
      </c>
      <c r="Q20" t="str">
        <f t="shared" si="45"/>
        <v/>
      </c>
      <c r="R20" t="str">
        <f t="shared" si="45"/>
        <v/>
      </c>
      <c r="S20" t="str">
        <f t="shared" si="45"/>
        <v/>
      </c>
      <c r="T20" t="str">
        <f t="shared" si="45"/>
        <v/>
      </c>
      <c r="U20" t="str">
        <f t="shared" si="45"/>
        <v/>
      </c>
      <c r="V20" t="str">
        <f t="shared" si="46"/>
        <v/>
      </c>
      <c r="W20" t="str">
        <f t="shared" si="46"/>
        <v/>
      </c>
      <c r="X20" t="str">
        <f t="shared" si="46"/>
        <v/>
      </c>
      <c r="Y20" t="str">
        <f t="shared" si="46"/>
        <v/>
      </c>
      <c r="Z20" t="str">
        <f t="shared" si="46"/>
        <v/>
      </c>
      <c r="AA20" t="str">
        <f t="shared" si="46"/>
        <v/>
      </c>
      <c r="AB20" t="str">
        <f t="shared" si="46"/>
        <v/>
      </c>
      <c r="AC20" t="str">
        <f t="shared" si="46"/>
        <v/>
      </c>
      <c r="AD20" t="str">
        <f t="shared" si="46"/>
        <v/>
      </c>
      <c r="AE20" t="str">
        <f t="shared" si="46"/>
        <v/>
      </c>
      <c r="AF20" t="str">
        <f t="shared" si="47"/>
        <v/>
      </c>
      <c r="AG20" t="str">
        <f t="shared" si="47"/>
        <v/>
      </c>
      <c r="AH20" t="str">
        <f t="shared" si="47"/>
        <v/>
      </c>
      <c r="AI20" t="str">
        <f t="shared" si="47"/>
        <v/>
      </c>
      <c r="AJ20" t="str">
        <f t="shared" si="47"/>
        <v/>
      </c>
      <c r="AK20" t="str">
        <f t="shared" si="47"/>
        <v/>
      </c>
      <c r="AM20" s="22">
        <f t="shared" si="43"/>
        <v>0</v>
      </c>
      <c r="AP20">
        <v>18</v>
      </c>
      <c r="AQ20" s="33" t="str">
        <f>IFERROR(LOOKUP(2,1/(COUNTIF($AQ$1:AQ19,CountDSDs)=0),CountDSDs),"")</f>
        <v/>
      </c>
      <c r="AR20">
        <f t="shared" si="5"/>
        <v>0</v>
      </c>
      <c r="AS20">
        <f t="shared" si="6"/>
        <v>0</v>
      </c>
      <c r="AT20">
        <f t="shared" si="7"/>
        <v>0</v>
      </c>
      <c r="AU20">
        <f t="shared" si="8"/>
        <v>0</v>
      </c>
      <c r="AV20">
        <f t="shared" si="9"/>
        <v>0</v>
      </c>
      <c r="AW20">
        <f t="shared" si="10"/>
        <v>0</v>
      </c>
      <c r="AX20">
        <f t="shared" si="11"/>
        <v>0</v>
      </c>
      <c r="AY20">
        <f t="shared" si="12"/>
        <v>0</v>
      </c>
      <c r="AZ20">
        <f t="shared" si="13"/>
        <v>0</v>
      </c>
      <c r="BA20">
        <f t="shared" si="14"/>
        <v>0</v>
      </c>
      <c r="BB20">
        <f t="shared" si="15"/>
        <v>0</v>
      </c>
      <c r="BC20">
        <f t="shared" si="16"/>
        <v>0</v>
      </c>
      <c r="BD20">
        <f t="shared" si="17"/>
        <v>0</v>
      </c>
      <c r="BE20">
        <f t="shared" si="18"/>
        <v>0</v>
      </c>
      <c r="BF20">
        <f t="shared" si="19"/>
        <v>0</v>
      </c>
      <c r="BG20">
        <f t="shared" si="20"/>
        <v>0</v>
      </c>
      <c r="BH20">
        <f t="shared" si="21"/>
        <v>0</v>
      </c>
      <c r="BI20">
        <f t="shared" si="22"/>
        <v>0</v>
      </c>
      <c r="BJ20">
        <f t="shared" si="23"/>
        <v>0</v>
      </c>
      <c r="BK20">
        <f t="shared" si="24"/>
        <v>0</v>
      </c>
      <c r="BL20">
        <f t="shared" si="25"/>
        <v>0</v>
      </c>
      <c r="BM20">
        <f t="shared" si="26"/>
        <v>0</v>
      </c>
      <c r="BN20">
        <f t="shared" si="27"/>
        <v>0</v>
      </c>
      <c r="BO20">
        <f t="shared" si="28"/>
        <v>0</v>
      </c>
      <c r="BP20">
        <f t="shared" si="29"/>
        <v>0</v>
      </c>
      <c r="BQ20">
        <f t="shared" si="30"/>
        <v>0</v>
      </c>
      <c r="BR20">
        <f t="shared" si="31"/>
        <v>0</v>
      </c>
      <c r="BS20">
        <f t="shared" si="32"/>
        <v>0</v>
      </c>
      <c r="BT20">
        <f t="shared" si="33"/>
        <v>0</v>
      </c>
      <c r="BU20">
        <f t="shared" si="34"/>
        <v>0</v>
      </c>
      <c r="BV20">
        <f t="shared" si="35"/>
        <v>0</v>
      </c>
      <c r="BW20">
        <f t="shared" si="36"/>
        <v>0</v>
      </c>
      <c r="BX20">
        <f t="shared" si="37"/>
        <v>0</v>
      </c>
      <c r="BY20">
        <f t="shared" si="38"/>
        <v>0</v>
      </c>
      <c r="BZ20">
        <f t="shared" si="39"/>
        <v>0</v>
      </c>
      <c r="CA20">
        <f t="shared" si="40"/>
        <v>0</v>
      </c>
      <c r="CB20">
        <f t="shared" si="41"/>
        <v>0</v>
      </c>
      <c r="CC20">
        <f t="shared" ca="1" si="42"/>
        <v>0</v>
      </c>
    </row>
    <row r="21" spans="1:81" ht="18.75" x14ac:dyDescent="0.2">
      <c r="A21" t="e">
        <f t="shared" si="0"/>
        <v>#REF!</v>
      </c>
      <c r="B21" t="str">
        <f t="shared" si="44"/>
        <v/>
      </c>
      <c r="C21" t="str">
        <f t="shared" si="44"/>
        <v/>
      </c>
      <c r="D21" t="str">
        <f t="shared" si="44"/>
        <v/>
      </c>
      <c r="E21" t="str">
        <f t="shared" si="44"/>
        <v/>
      </c>
      <c r="F21" t="str">
        <f t="shared" si="44"/>
        <v/>
      </c>
      <c r="G21" t="str">
        <f t="shared" si="44"/>
        <v/>
      </c>
      <c r="H21" t="str">
        <f t="shared" si="44"/>
        <v/>
      </c>
      <c r="I21" t="str">
        <f t="shared" si="44"/>
        <v/>
      </c>
      <c r="J21" t="str">
        <f t="shared" si="44"/>
        <v/>
      </c>
      <c r="K21" t="str">
        <f t="shared" si="44"/>
        <v/>
      </c>
      <c r="L21" t="str">
        <f t="shared" si="45"/>
        <v/>
      </c>
      <c r="M21" t="str">
        <f t="shared" si="45"/>
        <v/>
      </c>
      <c r="N21" t="str">
        <f t="shared" si="45"/>
        <v/>
      </c>
      <c r="O21" t="str">
        <f t="shared" si="45"/>
        <v/>
      </c>
      <c r="P21" t="str">
        <f t="shared" si="45"/>
        <v/>
      </c>
      <c r="Q21" t="str">
        <f t="shared" si="45"/>
        <v/>
      </c>
      <c r="R21" t="str">
        <f t="shared" si="45"/>
        <v/>
      </c>
      <c r="S21" t="str">
        <f t="shared" si="45"/>
        <v/>
      </c>
      <c r="T21" t="str">
        <f t="shared" si="45"/>
        <v/>
      </c>
      <c r="U21" t="str">
        <f t="shared" si="45"/>
        <v/>
      </c>
      <c r="V21" t="str">
        <f t="shared" si="46"/>
        <v/>
      </c>
      <c r="W21" t="str">
        <f t="shared" si="46"/>
        <v/>
      </c>
      <c r="X21" t="str">
        <f t="shared" si="46"/>
        <v/>
      </c>
      <c r="Y21" t="str">
        <f t="shared" si="46"/>
        <v/>
      </c>
      <c r="Z21" t="str">
        <f t="shared" si="46"/>
        <v/>
      </c>
      <c r="AA21" t="str">
        <f t="shared" si="46"/>
        <v/>
      </c>
      <c r="AB21" t="str">
        <f t="shared" si="46"/>
        <v/>
      </c>
      <c r="AC21" t="str">
        <f t="shared" si="46"/>
        <v/>
      </c>
      <c r="AD21" t="str">
        <f t="shared" si="46"/>
        <v/>
      </c>
      <c r="AE21" t="str">
        <f t="shared" si="46"/>
        <v/>
      </c>
      <c r="AF21" t="str">
        <f t="shared" si="47"/>
        <v/>
      </c>
      <c r="AG21" t="str">
        <f t="shared" si="47"/>
        <v/>
      </c>
      <c r="AH21" t="str">
        <f t="shared" si="47"/>
        <v/>
      </c>
      <c r="AI21" t="str">
        <f t="shared" si="47"/>
        <v/>
      </c>
      <c r="AJ21" t="str">
        <f t="shared" si="47"/>
        <v/>
      </c>
      <c r="AK21" t="str">
        <f t="shared" si="47"/>
        <v/>
      </c>
      <c r="AM21" s="22">
        <f t="shared" si="43"/>
        <v>0</v>
      </c>
      <c r="AP21">
        <v>19</v>
      </c>
      <c r="AQ21" s="33" t="str">
        <f>IFERROR(LOOKUP(2,1/(COUNTIF($AQ$1:AQ20,CountDSDs)=0),CountDSDs),"")</f>
        <v/>
      </c>
      <c r="AR21">
        <f t="shared" si="5"/>
        <v>0</v>
      </c>
      <c r="AS21">
        <f t="shared" si="6"/>
        <v>0</v>
      </c>
      <c r="AT21">
        <f t="shared" si="7"/>
        <v>0</v>
      </c>
      <c r="AU21">
        <f t="shared" si="8"/>
        <v>0</v>
      </c>
      <c r="AV21">
        <f t="shared" si="9"/>
        <v>0</v>
      </c>
      <c r="AW21">
        <f t="shared" si="10"/>
        <v>0</v>
      </c>
      <c r="AX21">
        <f t="shared" si="11"/>
        <v>0</v>
      </c>
      <c r="AY21">
        <f t="shared" si="12"/>
        <v>0</v>
      </c>
      <c r="AZ21">
        <f t="shared" si="13"/>
        <v>0</v>
      </c>
      <c r="BA21">
        <f t="shared" si="14"/>
        <v>0</v>
      </c>
      <c r="BB21">
        <f t="shared" si="15"/>
        <v>0</v>
      </c>
      <c r="BC21">
        <f t="shared" si="16"/>
        <v>0</v>
      </c>
      <c r="BD21">
        <f t="shared" si="17"/>
        <v>0</v>
      </c>
      <c r="BE21">
        <f t="shared" si="18"/>
        <v>0</v>
      </c>
      <c r="BF21">
        <f t="shared" si="19"/>
        <v>0</v>
      </c>
      <c r="BG21">
        <f t="shared" si="20"/>
        <v>0</v>
      </c>
      <c r="BH21">
        <f t="shared" si="21"/>
        <v>0</v>
      </c>
      <c r="BI21">
        <f t="shared" si="22"/>
        <v>0</v>
      </c>
      <c r="BJ21">
        <f t="shared" si="23"/>
        <v>0</v>
      </c>
      <c r="BK21">
        <f t="shared" si="24"/>
        <v>0</v>
      </c>
      <c r="BL21">
        <f t="shared" si="25"/>
        <v>0</v>
      </c>
      <c r="BM21">
        <f t="shared" si="26"/>
        <v>0</v>
      </c>
      <c r="BN21">
        <f t="shared" si="27"/>
        <v>0</v>
      </c>
      <c r="BO21">
        <f t="shared" si="28"/>
        <v>0</v>
      </c>
      <c r="BP21">
        <f t="shared" si="29"/>
        <v>0</v>
      </c>
      <c r="BQ21">
        <f t="shared" si="30"/>
        <v>0</v>
      </c>
      <c r="BR21">
        <f t="shared" si="31"/>
        <v>0</v>
      </c>
      <c r="BS21">
        <f t="shared" si="32"/>
        <v>0</v>
      </c>
      <c r="BT21">
        <f t="shared" si="33"/>
        <v>0</v>
      </c>
      <c r="BU21">
        <f t="shared" si="34"/>
        <v>0</v>
      </c>
      <c r="BV21">
        <f t="shared" si="35"/>
        <v>0</v>
      </c>
      <c r="BW21">
        <f t="shared" si="36"/>
        <v>0</v>
      </c>
      <c r="BX21">
        <f t="shared" si="37"/>
        <v>0</v>
      </c>
      <c r="BY21">
        <f t="shared" si="38"/>
        <v>0</v>
      </c>
      <c r="BZ21">
        <f t="shared" si="39"/>
        <v>0</v>
      </c>
      <c r="CA21">
        <f t="shared" si="40"/>
        <v>0</v>
      </c>
      <c r="CB21">
        <f t="shared" si="41"/>
        <v>0</v>
      </c>
      <c r="CC21">
        <f t="shared" ca="1" si="42"/>
        <v>0</v>
      </c>
    </row>
    <row r="22" spans="1:81" ht="18.75" x14ac:dyDescent="0.2">
      <c r="A22" t="e">
        <f t="shared" si="0"/>
        <v>#REF!</v>
      </c>
      <c r="B22" t="str">
        <f t="shared" ref="B22:K31" si="48">IFERROR(IF(INDEX(ConDimVals,ROW(A21),COLUMN(A21))="",0,1),"")</f>
        <v/>
      </c>
      <c r="C22" t="str">
        <f t="shared" si="48"/>
        <v/>
      </c>
      <c r="D22" t="str">
        <f t="shared" si="48"/>
        <v/>
      </c>
      <c r="E22" t="str">
        <f t="shared" si="48"/>
        <v/>
      </c>
      <c r="F22" t="str">
        <f t="shared" si="48"/>
        <v/>
      </c>
      <c r="G22" t="str">
        <f t="shared" si="48"/>
        <v/>
      </c>
      <c r="H22" t="str">
        <f t="shared" si="48"/>
        <v/>
      </c>
      <c r="I22" t="str">
        <f t="shared" si="48"/>
        <v/>
      </c>
      <c r="J22" t="str">
        <f t="shared" si="48"/>
        <v/>
      </c>
      <c r="K22" t="str">
        <f t="shared" si="48"/>
        <v/>
      </c>
      <c r="L22" t="str">
        <f t="shared" ref="L22:U31" si="49">IFERROR(IF(INDEX(ConDimVals,ROW(K21),COLUMN(K21))="",0,1),"")</f>
        <v/>
      </c>
      <c r="M22" t="str">
        <f t="shared" si="49"/>
        <v/>
      </c>
      <c r="N22" t="str">
        <f t="shared" si="49"/>
        <v/>
      </c>
      <c r="O22" t="str">
        <f t="shared" si="49"/>
        <v/>
      </c>
      <c r="P22" t="str">
        <f t="shared" si="49"/>
        <v/>
      </c>
      <c r="Q22" t="str">
        <f t="shared" si="49"/>
        <v/>
      </c>
      <c r="R22" t="str">
        <f t="shared" si="49"/>
        <v/>
      </c>
      <c r="S22" t="str">
        <f t="shared" si="49"/>
        <v/>
      </c>
      <c r="T22" t="str">
        <f t="shared" si="49"/>
        <v/>
      </c>
      <c r="U22" t="str">
        <f t="shared" si="49"/>
        <v/>
      </c>
      <c r="V22" t="str">
        <f t="shared" ref="V22:AE31" si="50">IFERROR(IF(INDEX(ConDimVals,ROW(U21),COLUMN(U21))="",0,1),"")</f>
        <v/>
      </c>
      <c r="W22" t="str">
        <f t="shared" si="50"/>
        <v/>
      </c>
      <c r="X22" t="str">
        <f t="shared" si="50"/>
        <v/>
      </c>
      <c r="Y22" t="str">
        <f t="shared" si="50"/>
        <v/>
      </c>
      <c r="Z22" t="str">
        <f t="shared" si="50"/>
        <v/>
      </c>
      <c r="AA22" t="str">
        <f t="shared" si="50"/>
        <v/>
      </c>
      <c r="AB22" t="str">
        <f t="shared" si="50"/>
        <v/>
      </c>
      <c r="AC22" t="str">
        <f t="shared" si="50"/>
        <v/>
      </c>
      <c r="AD22" t="str">
        <f t="shared" si="50"/>
        <v/>
      </c>
      <c r="AE22" t="str">
        <f t="shared" si="50"/>
        <v/>
      </c>
      <c r="AF22" t="str">
        <f t="shared" ref="AF22:AK31" si="51">IFERROR(IF(INDEX(ConDimVals,ROW(AE21),COLUMN(AE21))="",0,1),"")</f>
        <v/>
      </c>
      <c r="AG22" t="str">
        <f t="shared" si="51"/>
        <v/>
      </c>
      <c r="AH22" t="str">
        <f t="shared" si="51"/>
        <v/>
      </c>
      <c r="AI22" t="str">
        <f t="shared" si="51"/>
        <v/>
      </c>
      <c r="AJ22" t="str">
        <f t="shared" si="51"/>
        <v/>
      </c>
      <c r="AK22" t="str">
        <f t="shared" si="51"/>
        <v/>
      </c>
      <c r="AM22" s="22">
        <f t="shared" si="43"/>
        <v>0</v>
      </c>
      <c r="AP22">
        <v>20</v>
      </c>
      <c r="AQ22" s="33" t="str">
        <f>IFERROR(LOOKUP(2,1/(COUNTIF($AQ$1:AQ21,CountDSDs)=0),CountDSDs),"")</f>
        <v/>
      </c>
      <c r="AR22">
        <f t="shared" si="5"/>
        <v>0</v>
      </c>
      <c r="AS22">
        <f t="shared" si="6"/>
        <v>0</v>
      </c>
      <c r="AT22">
        <f t="shared" si="7"/>
        <v>0</v>
      </c>
      <c r="AU22">
        <f t="shared" si="8"/>
        <v>0</v>
      </c>
      <c r="AV22">
        <f t="shared" si="9"/>
        <v>0</v>
      </c>
      <c r="AW22">
        <f t="shared" si="10"/>
        <v>0</v>
      </c>
      <c r="AX22">
        <f t="shared" si="11"/>
        <v>0</v>
      </c>
      <c r="AY22">
        <f t="shared" si="12"/>
        <v>0</v>
      </c>
      <c r="AZ22">
        <f t="shared" si="13"/>
        <v>0</v>
      </c>
      <c r="BA22">
        <f t="shared" si="14"/>
        <v>0</v>
      </c>
      <c r="BB22">
        <f t="shared" si="15"/>
        <v>0</v>
      </c>
      <c r="BC22">
        <f t="shared" si="16"/>
        <v>0</v>
      </c>
      <c r="BD22">
        <f t="shared" si="17"/>
        <v>0</v>
      </c>
      <c r="BE22">
        <f t="shared" si="18"/>
        <v>0</v>
      </c>
      <c r="BF22">
        <f t="shared" si="19"/>
        <v>0</v>
      </c>
      <c r="BG22">
        <f t="shared" si="20"/>
        <v>0</v>
      </c>
      <c r="BH22">
        <f t="shared" si="21"/>
        <v>0</v>
      </c>
      <c r="BI22">
        <f t="shared" si="22"/>
        <v>0</v>
      </c>
      <c r="BJ22">
        <f t="shared" si="23"/>
        <v>0</v>
      </c>
      <c r="BK22">
        <f t="shared" si="24"/>
        <v>0</v>
      </c>
      <c r="BL22">
        <f t="shared" si="25"/>
        <v>0</v>
      </c>
      <c r="BM22">
        <f t="shared" si="26"/>
        <v>0</v>
      </c>
      <c r="BN22">
        <f t="shared" si="27"/>
        <v>0</v>
      </c>
      <c r="BO22">
        <f t="shared" si="28"/>
        <v>0</v>
      </c>
      <c r="BP22">
        <f t="shared" si="29"/>
        <v>0</v>
      </c>
      <c r="BQ22">
        <f t="shared" si="30"/>
        <v>0</v>
      </c>
      <c r="BR22">
        <f t="shared" si="31"/>
        <v>0</v>
      </c>
      <c r="BS22">
        <f t="shared" si="32"/>
        <v>0</v>
      </c>
      <c r="BT22">
        <f t="shared" si="33"/>
        <v>0</v>
      </c>
      <c r="BU22">
        <f t="shared" si="34"/>
        <v>0</v>
      </c>
      <c r="BV22">
        <f t="shared" si="35"/>
        <v>0</v>
      </c>
      <c r="BW22">
        <f t="shared" si="36"/>
        <v>0</v>
      </c>
      <c r="BX22">
        <f t="shared" si="37"/>
        <v>0</v>
      </c>
      <c r="BY22">
        <f t="shared" si="38"/>
        <v>0</v>
      </c>
      <c r="BZ22">
        <f t="shared" si="39"/>
        <v>0</v>
      </c>
      <c r="CA22">
        <f t="shared" si="40"/>
        <v>0</v>
      </c>
      <c r="CB22">
        <f t="shared" si="41"/>
        <v>0</v>
      </c>
      <c r="CC22">
        <f t="shared" ca="1" si="42"/>
        <v>0</v>
      </c>
    </row>
    <row r="23" spans="1:81" ht="18.75" x14ac:dyDescent="0.2">
      <c r="A23" t="e">
        <f t="shared" si="0"/>
        <v>#REF!</v>
      </c>
      <c r="B23" t="str">
        <f t="shared" si="48"/>
        <v/>
      </c>
      <c r="C23" t="str">
        <f t="shared" si="48"/>
        <v/>
      </c>
      <c r="D23" t="str">
        <f t="shared" si="48"/>
        <v/>
      </c>
      <c r="E23" t="str">
        <f t="shared" si="48"/>
        <v/>
      </c>
      <c r="F23" t="str">
        <f t="shared" si="48"/>
        <v/>
      </c>
      <c r="G23" t="str">
        <f t="shared" si="48"/>
        <v/>
      </c>
      <c r="H23" t="str">
        <f t="shared" si="48"/>
        <v/>
      </c>
      <c r="I23" t="str">
        <f t="shared" si="48"/>
        <v/>
      </c>
      <c r="J23" t="str">
        <f t="shared" si="48"/>
        <v/>
      </c>
      <c r="K23" t="str">
        <f t="shared" si="48"/>
        <v/>
      </c>
      <c r="L23" t="str">
        <f t="shared" si="49"/>
        <v/>
      </c>
      <c r="M23" t="str">
        <f t="shared" si="49"/>
        <v/>
      </c>
      <c r="N23" t="str">
        <f t="shared" si="49"/>
        <v/>
      </c>
      <c r="O23" t="str">
        <f t="shared" si="49"/>
        <v/>
      </c>
      <c r="P23" t="str">
        <f t="shared" si="49"/>
        <v/>
      </c>
      <c r="Q23" t="str">
        <f t="shared" si="49"/>
        <v/>
      </c>
      <c r="R23" t="str">
        <f t="shared" si="49"/>
        <v/>
      </c>
      <c r="S23" t="str">
        <f t="shared" si="49"/>
        <v/>
      </c>
      <c r="T23" t="str">
        <f t="shared" si="49"/>
        <v/>
      </c>
      <c r="U23" t="str">
        <f t="shared" si="49"/>
        <v/>
      </c>
      <c r="V23" t="str">
        <f t="shared" si="50"/>
        <v/>
      </c>
      <c r="W23" t="str">
        <f t="shared" si="50"/>
        <v/>
      </c>
      <c r="X23" t="str">
        <f t="shared" si="50"/>
        <v/>
      </c>
      <c r="Y23" t="str">
        <f t="shared" si="50"/>
        <v/>
      </c>
      <c r="Z23" t="str">
        <f t="shared" si="50"/>
        <v/>
      </c>
      <c r="AA23" t="str">
        <f t="shared" si="50"/>
        <v/>
      </c>
      <c r="AB23" t="str">
        <f t="shared" si="50"/>
        <v/>
      </c>
      <c r="AC23" t="str">
        <f t="shared" si="50"/>
        <v/>
      </c>
      <c r="AD23" t="str">
        <f t="shared" si="50"/>
        <v/>
      </c>
      <c r="AE23" t="str">
        <f t="shared" si="50"/>
        <v/>
      </c>
      <c r="AF23" t="str">
        <f t="shared" si="51"/>
        <v/>
      </c>
      <c r="AG23" t="str">
        <f t="shared" si="51"/>
        <v/>
      </c>
      <c r="AH23" t="str">
        <f t="shared" si="51"/>
        <v/>
      </c>
      <c r="AI23" t="str">
        <f t="shared" si="51"/>
        <v/>
      </c>
      <c r="AJ23" t="str">
        <f t="shared" si="51"/>
        <v/>
      </c>
      <c r="AK23" t="str">
        <f t="shared" si="51"/>
        <v/>
      </c>
      <c r="AM23" s="22">
        <f t="shared" si="43"/>
        <v>0</v>
      </c>
      <c r="AP23">
        <v>21</v>
      </c>
      <c r="AQ23" s="33" t="str">
        <f>IFERROR(LOOKUP(2,1/(COUNTIF($AQ$1:AQ22,CountDSDs)=0),CountDSDs),"")</f>
        <v/>
      </c>
      <c r="AR23">
        <f t="shared" si="5"/>
        <v>0</v>
      </c>
      <c r="AS23">
        <f t="shared" si="6"/>
        <v>0</v>
      </c>
      <c r="AT23">
        <f t="shared" si="7"/>
        <v>0</v>
      </c>
      <c r="AU23">
        <f t="shared" si="8"/>
        <v>0</v>
      </c>
      <c r="AV23">
        <f t="shared" si="9"/>
        <v>0</v>
      </c>
      <c r="AW23">
        <f t="shared" si="10"/>
        <v>0</v>
      </c>
      <c r="AX23">
        <f t="shared" si="11"/>
        <v>0</v>
      </c>
      <c r="AY23">
        <f t="shared" si="12"/>
        <v>0</v>
      </c>
      <c r="AZ23">
        <f t="shared" si="13"/>
        <v>0</v>
      </c>
      <c r="BA23">
        <f t="shared" si="14"/>
        <v>0</v>
      </c>
      <c r="BB23">
        <f t="shared" si="15"/>
        <v>0</v>
      </c>
      <c r="BC23">
        <f t="shared" si="16"/>
        <v>0</v>
      </c>
      <c r="BD23">
        <f t="shared" si="17"/>
        <v>0</v>
      </c>
      <c r="BE23">
        <f t="shared" si="18"/>
        <v>0</v>
      </c>
      <c r="BF23">
        <f t="shared" si="19"/>
        <v>0</v>
      </c>
      <c r="BG23">
        <f t="shared" si="20"/>
        <v>0</v>
      </c>
      <c r="BH23">
        <f t="shared" si="21"/>
        <v>0</v>
      </c>
      <c r="BI23">
        <f t="shared" si="22"/>
        <v>0</v>
      </c>
      <c r="BJ23">
        <f t="shared" si="23"/>
        <v>0</v>
      </c>
      <c r="BK23">
        <f t="shared" si="24"/>
        <v>0</v>
      </c>
      <c r="BL23">
        <f t="shared" si="25"/>
        <v>0</v>
      </c>
      <c r="BM23">
        <f t="shared" si="26"/>
        <v>0</v>
      </c>
      <c r="BN23">
        <f t="shared" si="27"/>
        <v>0</v>
      </c>
      <c r="BO23">
        <f t="shared" si="28"/>
        <v>0</v>
      </c>
      <c r="BP23">
        <f t="shared" si="29"/>
        <v>0</v>
      </c>
      <c r="BQ23">
        <f t="shared" si="30"/>
        <v>0</v>
      </c>
      <c r="BR23">
        <f t="shared" si="31"/>
        <v>0</v>
      </c>
      <c r="BS23">
        <f t="shared" si="32"/>
        <v>0</v>
      </c>
      <c r="BT23">
        <f t="shared" si="33"/>
        <v>0</v>
      </c>
      <c r="BU23">
        <f t="shared" si="34"/>
        <v>0</v>
      </c>
      <c r="BV23">
        <f t="shared" si="35"/>
        <v>0</v>
      </c>
      <c r="BW23">
        <f t="shared" si="36"/>
        <v>0</v>
      </c>
      <c r="BX23">
        <f t="shared" si="37"/>
        <v>0</v>
      </c>
      <c r="BY23">
        <f t="shared" si="38"/>
        <v>0</v>
      </c>
      <c r="BZ23">
        <f t="shared" si="39"/>
        <v>0</v>
      </c>
      <c r="CA23">
        <f t="shared" si="40"/>
        <v>0</v>
      </c>
      <c r="CB23">
        <f t="shared" si="41"/>
        <v>0</v>
      </c>
      <c r="CC23">
        <f t="shared" ca="1" si="42"/>
        <v>0</v>
      </c>
    </row>
    <row r="24" spans="1:81" ht="18.75" x14ac:dyDescent="0.2">
      <c r="A24" t="e">
        <f t="shared" si="0"/>
        <v>#REF!</v>
      </c>
      <c r="B24" t="str">
        <f t="shared" si="48"/>
        <v/>
      </c>
      <c r="C24" t="str">
        <f t="shared" si="48"/>
        <v/>
      </c>
      <c r="D24" t="str">
        <f t="shared" si="48"/>
        <v/>
      </c>
      <c r="E24" t="str">
        <f t="shared" si="48"/>
        <v/>
      </c>
      <c r="F24" t="str">
        <f t="shared" si="48"/>
        <v/>
      </c>
      <c r="G24" t="str">
        <f t="shared" si="48"/>
        <v/>
      </c>
      <c r="H24" t="str">
        <f t="shared" si="48"/>
        <v/>
      </c>
      <c r="I24" t="str">
        <f t="shared" si="48"/>
        <v/>
      </c>
      <c r="J24" t="str">
        <f t="shared" si="48"/>
        <v/>
      </c>
      <c r="K24" t="str">
        <f t="shared" si="48"/>
        <v/>
      </c>
      <c r="L24" t="str">
        <f t="shared" si="49"/>
        <v/>
      </c>
      <c r="M24" t="str">
        <f t="shared" si="49"/>
        <v/>
      </c>
      <c r="N24" t="str">
        <f t="shared" si="49"/>
        <v/>
      </c>
      <c r="O24" t="str">
        <f t="shared" si="49"/>
        <v/>
      </c>
      <c r="P24" t="str">
        <f t="shared" si="49"/>
        <v/>
      </c>
      <c r="Q24" t="str">
        <f t="shared" si="49"/>
        <v/>
      </c>
      <c r="R24" t="str">
        <f t="shared" si="49"/>
        <v/>
      </c>
      <c r="S24" t="str">
        <f t="shared" si="49"/>
        <v/>
      </c>
      <c r="T24" t="str">
        <f t="shared" si="49"/>
        <v/>
      </c>
      <c r="U24" t="str">
        <f t="shared" si="49"/>
        <v/>
      </c>
      <c r="V24" t="str">
        <f t="shared" si="50"/>
        <v/>
      </c>
      <c r="W24" t="str">
        <f t="shared" si="50"/>
        <v/>
      </c>
      <c r="X24" t="str">
        <f t="shared" si="50"/>
        <v/>
      </c>
      <c r="Y24" t="str">
        <f t="shared" si="50"/>
        <v/>
      </c>
      <c r="Z24" t="str">
        <f t="shared" si="50"/>
        <v/>
      </c>
      <c r="AA24" t="str">
        <f t="shared" si="50"/>
        <v/>
      </c>
      <c r="AB24" t="str">
        <f t="shared" si="50"/>
        <v/>
      </c>
      <c r="AC24" t="str">
        <f t="shared" si="50"/>
        <v/>
      </c>
      <c r="AD24" t="str">
        <f t="shared" si="50"/>
        <v/>
      </c>
      <c r="AE24" t="str">
        <f t="shared" si="50"/>
        <v/>
      </c>
      <c r="AF24" t="str">
        <f t="shared" si="51"/>
        <v/>
      </c>
      <c r="AG24" t="str">
        <f t="shared" si="51"/>
        <v/>
      </c>
      <c r="AH24" t="str">
        <f t="shared" si="51"/>
        <v/>
      </c>
      <c r="AI24" t="str">
        <f t="shared" si="51"/>
        <v/>
      </c>
      <c r="AJ24" t="str">
        <f t="shared" si="51"/>
        <v/>
      </c>
      <c r="AK24" t="str">
        <f t="shared" si="51"/>
        <v/>
      </c>
      <c r="AM24" s="22">
        <f t="shared" si="43"/>
        <v>0</v>
      </c>
      <c r="AP24">
        <v>22</v>
      </c>
      <c r="AQ24" s="33" t="str">
        <f>IFERROR(LOOKUP(2,1/(COUNTIF($AQ$1:AQ23,CountDSDs)=0),CountDSDs),"")</f>
        <v/>
      </c>
      <c r="AR24">
        <f t="shared" si="5"/>
        <v>0</v>
      </c>
      <c r="AS24">
        <f t="shared" si="6"/>
        <v>0</v>
      </c>
      <c r="AT24">
        <f t="shared" si="7"/>
        <v>0</v>
      </c>
      <c r="AU24">
        <f t="shared" si="8"/>
        <v>0</v>
      </c>
      <c r="AV24">
        <f t="shared" si="9"/>
        <v>0</v>
      </c>
      <c r="AW24">
        <f t="shared" si="10"/>
        <v>0</v>
      </c>
      <c r="AX24">
        <f t="shared" si="11"/>
        <v>0</v>
      </c>
      <c r="AY24">
        <f t="shared" si="12"/>
        <v>0</v>
      </c>
      <c r="AZ24">
        <f t="shared" si="13"/>
        <v>0</v>
      </c>
      <c r="BA24">
        <f t="shared" si="14"/>
        <v>0</v>
      </c>
      <c r="BB24">
        <f t="shared" si="15"/>
        <v>0</v>
      </c>
      <c r="BC24">
        <f t="shared" si="16"/>
        <v>0</v>
      </c>
      <c r="BD24">
        <f t="shared" si="17"/>
        <v>0</v>
      </c>
      <c r="BE24">
        <f t="shared" si="18"/>
        <v>0</v>
      </c>
      <c r="BF24">
        <f t="shared" si="19"/>
        <v>0</v>
      </c>
      <c r="BG24">
        <f t="shared" si="20"/>
        <v>0</v>
      </c>
      <c r="BH24">
        <f t="shared" si="21"/>
        <v>0</v>
      </c>
      <c r="BI24">
        <f t="shared" si="22"/>
        <v>0</v>
      </c>
      <c r="BJ24">
        <f t="shared" si="23"/>
        <v>0</v>
      </c>
      <c r="BK24">
        <f t="shared" si="24"/>
        <v>0</v>
      </c>
      <c r="BL24">
        <f t="shared" si="25"/>
        <v>0</v>
      </c>
      <c r="BM24">
        <f t="shared" si="26"/>
        <v>0</v>
      </c>
      <c r="BN24">
        <f t="shared" si="27"/>
        <v>0</v>
      </c>
      <c r="BO24">
        <f t="shared" si="28"/>
        <v>0</v>
      </c>
      <c r="BP24">
        <f t="shared" si="29"/>
        <v>0</v>
      </c>
      <c r="BQ24">
        <f t="shared" si="30"/>
        <v>0</v>
      </c>
      <c r="BR24">
        <f t="shared" si="31"/>
        <v>0</v>
      </c>
      <c r="BS24">
        <f t="shared" si="32"/>
        <v>0</v>
      </c>
      <c r="BT24">
        <f t="shared" si="33"/>
        <v>0</v>
      </c>
      <c r="BU24">
        <f t="shared" si="34"/>
        <v>0</v>
      </c>
      <c r="BV24">
        <f t="shared" si="35"/>
        <v>0</v>
      </c>
      <c r="BW24">
        <f t="shared" si="36"/>
        <v>0</v>
      </c>
      <c r="BX24">
        <f t="shared" si="37"/>
        <v>0</v>
      </c>
      <c r="BY24">
        <f t="shared" si="38"/>
        <v>0</v>
      </c>
      <c r="BZ24">
        <f t="shared" si="39"/>
        <v>0</v>
      </c>
      <c r="CA24">
        <f t="shared" si="40"/>
        <v>0</v>
      </c>
      <c r="CB24">
        <f t="shared" si="41"/>
        <v>0</v>
      </c>
      <c r="CC24">
        <f t="shared" ca="1" si="42"/>
        <v>0</v>
      </c>
    </row>
    <row r="25" spans="1:81" ht="18.75" x14ac:dyDescent="0.2">
      <c r="A25" t="e">
        <f t="shared" si="0"/>
        <v>#REF!</v>
      </c>
      <c r="B25" t="str">
        <f t="shared" si="48"/>
        <v/>
      </c>
      <c r="C25" t="str">
        <f t="shared" si="48"/>
        <v/>
      </c>
      <c r="D25" t="str">
        <f t="shared" si="48"/>
        <v/>
      </c>
      <c r="E25" t="str">
        <f t="shared" si="48"/>
        <v/>
      </c>
      <c r="F25" t="str">
        <f t="shared" si="48"/>
        <v/>
      </c>
      <c r="G25" t="str">
        <f t="shared" si="48"/>
        <v/>
      </c>
      <c r="H25" t="str">
        <f t="shared" si="48"/>
        <v/>
      </c>
      <c r="I25" t="str">
        <f t="shared" si="48"/>
        <v/>
      </c>
      <c r="J25" t="str">
        <f t="shared" si="48"/>
        <v/>
      </c>
      <c r="K25" t="str">
        <f t="shared" si="48"/>
        <v/>
      </c>
      <c r="L25" t="str">
        <f t="shared" si="49"/>
        <v/>
      </c>
      <c r="M25" t="str">
        <f t="shared" si="49"/>
        <v/>
      </c>
      <c r="N25" t="str">
        <f t="shared" si="49"/>
        <v/>
      </c>
      <c r="O25" t="str">
        <f t="shared" si="49"/>
        <v/>
      </c>
      <c r="P25" t="str">
        <f t="shared" si="49"/>
        <v/>
      </c>
      <c r="Q25" t="str">
        <f t="shared" si="49"/>
        <v/>
      </c>
      <c r="R25" t="str">
        <f t="shared" si="49"/>
        <v/>
      </c>
      <c r="S25" t="str">
        <f t="shared" si="49"/>
        <v/>
      </c>
      <c r="T25" t="str">
        <f t="shared" si="49"/>
        <v/>
      </c>
      <c r="U25" t="str">
        <f t="shared" si="49"/>
        <v/>
      </c>
      <c r="V25" t="str">
        <f t="shared" si="50"/>
        <v/>
      </c>
      <c r="W25" t="str">
        <f t="shared" si="50"/>
        <v/>
      </c>
      <c r="X25" t="str">
        <f t="shared" si="50"/>
        <v/>
      </c>
      <c r="Y25" t="str">
        <f t="shared" si="50"/>
        <v/>
      </c>
      <c r="Z25" t="str">
        <f t="shared" si="50"/>
        <v/>
      </c>
      <c r="AA25" t="str">
        <f t="shared" si="50"/>
        <v/>
      </c>
      <c r="AB25" t="str">
        <f t="shared" si="50"/>
        <v/>
      </c>
      <c r="AC25" t="str">
        <f t="shared" si="50"/>
        <v/>
      </c>
      <c r="AD25" t="str">
        <f t="shared" si="50"/>
        <v/>
      </c>
      <c r="AE25" t="str">
        <f t="shared" si="50"/>
        <v/>
      </c>
      <c r="AF25" t="str">
        <f t="shared" si="51"/>
        <v/>
      </c>
      <c r="AG25" t="str">
        <f t="shared" si="51"/>
        <v/>
      </c>
      <c r="AH25" t="str">
        <f t="shared" si="51"/>
        <v/>
      </c>
      <c r="AI25" t="str">
        <f t="shared" si="51"/>
        <v/>
      </c>
      <c r="AJ25" t="str">
        <f t="shared" si="51"/>
        <v/>
      </c>
      <c r="AK25" t="str">
        <f t="shared" si="51"/>
        <v/>
      </c>
      <c r="AM25" s="22">
        <f t="shared" si="43"/>
        <v>0</v>
      </c>
      <c r="AP25">
        <v>23</v>
      </c>
      <c r="AQ25" s="33" t="str">
        <f>IFERROR(LOOKUP(2,1/(COUNTIF($AQ$1:AQ24,CountDSDs)=0),CountDSDs),"")</f>
        <v/>
      </c>
      <c r="AR25">
        <f t="shared" si="5"/>
        <v>0</v>
      </c>
      <c r="AS25">
        <f t="shared" si="6"/>
        <v>0</v>
      </c>
      <c r="AT25">
        <f t="shared" si="7"/>
        <v>0</v>
      </c>
      <c r="AU25">
        <f t="shared" si="8"/>
        <v>0</v>
      </c>
      <c r="AV25">
        <f t="shared" si="9"/>
        <v>0</v>
      </c>
      <c r="AW25">
        <f t="shared" si="10"/>
        <v>0</v>
      </c>
      <c r="AX25">
        <f t="shared" si="11"/>
        <v>0</v>
      </c>
      <c r="AY25">
        <f t="shared" si="12"/>
        <v>0</v>
      </c>
      <c r="AZ25">
        <f t="shared" si="13"/>
        <v>0</v>
      </c>
      <c r="BA25">
        <f t="shared" si="14"/>
        <v>0</v>
      </c>
      <c r="BB25">
        <f t="shared" si="15"/>
        <v>0</v>
      </c>
      <c r="BC25">
        <f t="shared" si="16"/>
        <v>0</v>
      </c>
      <c r="BD25">
        <f t="shared" si="17"/>
        <v>0</v>
      </c>
      <c r="BE25">
        <f t="shared" si="18"/>
        <v>0</v>
      </c>
      <c r="BF25">
        <f t="shared" si="19"/>
        <v>0</v>
      </c>
      <c r="BG25">
        <f t="shared" si="20"/>
        <v>0</v>
      </c>
      <c r="BH25">
        <f t="shared" si="21"/>
        <v>0</v>
      </c>
      <c r="BI25">
        <f t="shared" si="22"/>
        <v>0</v>
      </c>
      <c r="BJ25">
        <f t="shared" si="23"/>
        <v>0</v>
      </c>
      <c r="BK25">
        <f t="shared" si="24"/>
        <v>0</v>
      </c>
      <c r="BL25">
        <f t="shared" si="25"/>
        <v>0</v>
      </c>
      <c r="BM25">
        <f t="shared" si="26"/>
        <v>0</v>
      </c>
      <c r="BN25">
        <f t="shared" si="27"/>
        <v>0</v>
      </c>
      <c r="BO25">
        <f t="shared" si="28"/>
        <v>0</v>
      </c>
      <c r="BP25">
        <f t="shared" si="29"/>
        <v>0</v>
      </c>
      <c r="BQ25">
        <f t="shared" si="30"/>
        <v>0</v>
      </c>
      <c r="BR25">
        <f t="shared" si="31"/>
        <v>0</v>
      </c>
      <c r="BS25">
        <f t="shared" si="32"/>
        <v>0</v>
      </c>
      <c r="BT25">
        <f t="shared" si="33"/>
        <v>0</v>
      </c>
      <c r="BU25">
        <f t="shared" si="34"/>
        <v>0</v>
      </c>
      <c r="BV25">
        <f t="shared" si="35"/>
        <v>0</v>
      </c>
      <c r="BW25">
        <f t="shared" si="36"/>
        <v>0</v>
      </c>
      <c r="BX25">
        <f t="shared" si="37"/>
        <v>0</v>
      </c>
      <c r="BY25">
        <f t="shared" si="38"/>
        <v>0</v>
      </c>
      <c r="BZ25">
        <f t="shared" si="39"/>
        <v>0</v>
      </c>
      <c r="CA25">
        <f t="shared" si="40"/>
        <v>0</v>
      </c>
      <c r="CB25">
        <f t="shared" si="41"/>
        <v>0</v>
      </c>
      <c r="CC25">
        <f t="shared" ca="1" si="42"/>
        <v>0</v>
      </c>
    </row>
    <row r="26" spans="1:81" ht="18.75" x14ac:dyDescent="0.2">
      <c r="A26" t="e">
        <f t="shared" si="0"/>
        <v>#REF!</v>
      </c>
      <c r="B26" t="str">
        <f t="shared" si="48"/>
        <v/>
      </c>
      <c r="C26" t="str">
        <f t="shared" si="48"/>
        <v/>
      </c>
      <c r="D26" t="str">
        <f t="shared" si="48"/>
        <v/>
      </c>
      <c r="E26" t="str">
        <f t="shared" si="48"/>
        <v/>
      </c>
      <c r="F26" t="str">
        <f t="shared" si="48"/>
        <v/>
      </c>
      <c r="G26" t="str">
        <f t="shared" si="48"/>
        <v/>
      </c>
      <c r="H26" t="str">
        <f t="shared" si="48"/>
        <v/>
      </c>
      <c r="I26" t="str">
        <f t="shared" si="48"/>
        <v/>
      </c>
      <c r="J26" t="str">
        <f t="shared" si="48"/>
        <v/>
      </c>
      <c r="K26" t="str">
        <f t="shared" si="48"/>
        <v/>
      </c>
      <c r="L26" t="str">
        <f t="shared" si="49"/>
        <v/>
      </c>
      <c r="M26" t="str">
        <f t="shared" si="49"/>
        <v/>
      </c>
      <c r="N26" t="str">
        <f t="shared" si="49"/>
        <v/>
      </c>
      <c r="O26" t="str">
        <f t="shared" si="49"/>
        <v/>
      </c>
      <c r="P26" t="str">
        <f t="shared" si="49"/>
        <v/>
      </c>
      <c r="Q26" t="str">
        <f t="shared" si="49"/>
        <v/>
      </c>
      <c r="R26" t="str">
        <f t="shared" si="49"/>
        <v/>
      </c>
      <c r="S26" t="str">
        <f t="shared" si="49"/>
        <v/>
      </c>
      <c r="T26" t="str">
        <f t="shared" si="49"/>
        <v/>
      </c>
      <c r="U26" t="str">
        <f t="shared" si="49"/>
        <v/>
      </c>
      <c r="V26" t="str">
        <f t="shared" si="50"/>
        <v/>
      </c>
      <c r="W26" t="str">
        <f t="shared" si="50"/>
        <v/>
      </c>
      <c r="X26" t="str">
        <f t="shared" si="50"/>
        <v/>
      </c>
      <c r="Y26" t="str">
        <f t="shared" si="50"/>
        <v/>
      </c>
      <c r="Z26" t="str">
        <f t="shared" si="50"/>
        <v/>
      </c>
      <c r="AA26" t="str">
        <f t="shared" si="50"/>
        <v/>
      </c>
      <c r="AB26" t="str">
        <f t="shared" si="50"/>
        <v/>
      </c>
      <c r="AC26" t="str">
        <f t="shared" si="50"/>
        <v/>
      </c>
      <c r="AD26" t="str">
        <f t="shared" si="50"/>
        <v/>
      </c>
      <c r="AE26" t="str">
        <f t="shared" si="50"/>
        <v/>
      </c>
      <c r="AF26" t="str">
        <f t="shared" si="51"/>
        <v/>
      </c>
      <c r="AG26" t="str">
        <f t="shared" si="51"/>
        <v/>
      </c>
      <c r="AH26" t="str">
        <f t="shared" si="51"/>
        <v/>
      </c>
      <c r="AI26" t="str">
        <f t="shared" si="51"/>
        <v/>
      </c>
      <c r="AJ26" t="str">
        <f t="shared" si="51"/>
        <v/>
      </c>
      <c r="AK26" t="str">
        <f t="shared" si="51"/>
        <v/>
      </c>
      <c r="AM26" s="22">
        <f t="shared" si="43"/>
        <v>0</v>
      </c>
      <c r="AP26">
        <v>24</v>
      </c>
      <c r="AQ26" s="33" t="str">
        <f>IFERROR(LOOKUP(2,1/(COUNTIF($AQ$1:AQ25,CountDSDs)=0),CountDSDs),"")</f>
        <v/>
      </c>
      <c r="AR26">
        <f t="shared" si="5"/>
        <v>0</v>
      </c>
      <c r="AS26">
        <f t="shared" si="6"/>
        <v>0</v>
      </c>
      <c r="AT26">
        <f t="shared" si="7"/>
        <v>0</v>
      </c>
      <c r="AU26">
        <f t="shared" si="8"/>
        <v>0</v>
      </c>
      <c r="AV26">
        <f t="shared" si="9"/>
        <v>0</v>
      </c>
      <c r="AW26">
        <f t="shared" si="10"/>
        <v>0</v>
      </c>
      <c r="AX26">
        <f t="shared" si="11"/>
        <v>0</v>
      </c>
      <c r="AY26">
        <f t="shared" si="12"/>
        <v>0</v>
      </c>
      <c r="AZ26">
        <f t="shared" si="13"/>
        <v>0</v>
      </c>
      <c r="BA26">
        <f t="shared" si="14"/>
        <v>0</v>
      </c>
      <c r="BB26">
        <f t="shared" si="15"/>
        <v>0</v>
      </c>
      <c r="BC26">
        <f t="shared" si="16"/>
        <v>0</v>
      </c>
      <c r="BD26">
        <f t="shared" si="17"/>
        <v>0</v>
      </c>
      <c r="BE26">
        <f t="shared" si="18"/>
        <v>0</v>
      </c>
      <c r="BF26">
        <f t="shared" si="19"/>
        <v>0</v>
      </c>
      <c r="BG26">
        <f t="shared" si="20"/>
        <v>0</v>
      </c>
      <c r="BH26">
        <f t="shared" si="21"/>
        <v>0</v>
      </c>
      <c r="BI26">
        <f t="shared" si="22"/>
        <v>0</v>
      </c>
      <c r="BJ26">
        <f t="shared" si="23"/>
        <v>0</v>
      </c>
      <c r="BK26">
        <f t="shared" si="24"/>
        <v>0</v>
      </c>
      <c r="BL26">
        <f t="shared" si="25"/>
        <v>0</v>
      </c>
      <c r="BM26">
        <f t="shared" si="26"/>
        <v>0</v>
      </c>
      <c r="BN26">
        <f t="shared" si="27"/>
        <v>0</v>
      </c>
      <c r="BO26">
        <f t="shared" si="28"/>
        <v>0</v>
      </c>
      <c r="BP26">
        <f t="shared" si="29"/>
        <v>0</v>
      </c>
      <c r="BQ26">
        <f t="shared" si="30"/>
        <v>0</v>
      </c>
      <c r="BR26">
        <f t="shared" si="31"/>
        <v>0</v>
      </c>
      <c r="BS26">
        <f t="shared" si="32"/>
        <v>0</v>
      </c>
      <c r="BT26">
        <f t="shared" si="33"/>
        <v>0</v>
      </c>
      <c r="BU26">
        <f t="shared" si="34"/>
        <v>0</v>
      </c>
      <c r="BV26">
        <f t="shared" si="35"/>
        <v>0</v>
      </c>
      <c r="BW26">
        <f t="shared" si="36"/>
        <v>0</v>
      </c>
      <c r="BX26">
        <f t="shared" si="37"/>
        <v>0</v>
      </c>
      <c r="BY26">
        <f t="shared" si="38"/>
        <v>0</v>
      </c>
      <c r="BZ26">
        <f t="shared" si="39"/>
        <v>0</v>
      </c>
      <c r="CA26">
        <f t="shared" si="40"/>
        <v>0</v>
      </c>
      <c r="CB26">
        <f t="shared" si="41"/>
        <v>0</v>
      </c>
      <c r="CC26">
        <f t="shared" ca="1" si="42"/>
        <v>0</v>
      </c>
    </row>
    <row r="27" spans="1:81" ht="18.75" x14ac:dyDescent="0.2">
      <c r="A27" t="e">
        <f t="shared" si="0"/>
        <v>#REF!</v>
      </c>
      <c r="B27" t="str">
        <f t="shared" si="48"/>
        <v/>
      </c>
      <c r="C27" t="str">
        <f t="shared" si="48"/>
        <v/>
      </c>
      <c r="D27" t="str">
        <f t="shared" si="48"/>
        <v/>
      </c>
      <c r="E27" t="str">
        <f t="shared" si="48"/>
        <v/>
      </c>
      <c r="F27" t="str">
        <f t="shared" si="48"/>
        <v/>
      </c>
      <c r="G27" t="str">
        <f t="shared" si="48"/>
        <v/>
      </c>
      <c r="H27" t="str">
        <f t="shared" si="48"/>
        <v/>
      </c>
      <c r="I27" t="str">
        <f t="shared" si="48"/>
        <v/>
      </c>
      <c r="J27" t="str">
        <f t="shared" si="48"/>
        <v/>
      </c>
      <c r="K27" t="str">
        <f t="shared" si="48"/>
        <v/>
      </c>
      <c r="L27" t="str">
        <f t="shared" si="49"/>
        <v/>
      </c>
      <c r="M27" t="str">
        <f t="shared" si="49"/>
        <v/>
      </c>
      <c r="N27" t="str">
        <f t="shared" si="49"/>
        <v/>
      </c>
      <c r="O27" t="str">
        <f t="shared" si="49"/>
        <v/>
      </c>
      <c r="P27" t="str">
        <f t="shared" si="49"/>
        <v/>
      </c>
      <c r="Q27" t="str">
        <f t="shared" si="49"/>
        <v/>
      </c>
      <c r="R27" t="str">
        <f t="shared" si="49"/>
        <v/>
      </c>
      <c r="S27" t="str">
        <f t="shared" si="49"/>
        <v/>
      </c>
      <c r="T27" t="str">
        <f t="shared" si="49"/>
        <v/>
      </c>
      <c r="U27" t="str">
        <f t="shared" si="49"/>
        <v/>
      </c>
      <c r="V27" t="str">
        <f t="shared" si="50"/>
        <v/>
      </c>
      <c r="W27" t="str">
        <f t="shared" si="50"/>
        <v/>
      </c>
      <c r="X27" t="str">
        <f t="shared" si="50"/>
        <v/>
      </c>
      <c r="Y27" t="str">
        <f t="shared" si="50"/>
        <v/>
      </c>
      <c r="Z27" t="str">
        <f t="shared" si="50"/>
        <v/>
      </c>
      <c r="AA27" t="str">
        <f t="shared" si="50"/>
        <v/>
      </c>
      <c r="AB27" t="str">
        <f t="shared" si="50"/>
        <v/>
      </c>
      <c r="AC27" t="str">
        <f t="shared" si="50"/>
        <v/>
      </c>
      <c r="AD27" t="str">
        <f t="shared" si="50"/>
        <v/>
      </c>
      <c r="AE27" t="str">
        <f t="shared" si="50"/>
        <v/>
      </c>
      <c r="AF27" t="str">
        <f t="shared" si="51"/>
        <v/>
      </c>
      <c r="AG27" t="str">
        <f t="shared" si="51"/>
        <v/>
      </c>
      <c r="AH27" t="str">
        <f t="shared" si="51"/>
        <v/>
      </c>
      <c r="AI27" t="str">
        <f t="shared" si="51"/>
        <v/>
      </c>
      <c r="AJ27" t="str">
        <f t="shared" si="51"/>
        <v/>
      </c>
      <c r="AK27" t="str">
        <f t="shared" si="51"/>
        <v/>
      </c>
      <c r="AM27" s="22">
        <f t="shared" si="43"/>
        <v>0</v>
      </c>
      <c r="AP27">
        <v>25</v>
      </c>
      <c r="AQ27" s="33" t="str">
        <f>IFERROR(LOOKUP(2,1/(COUNTIF($AQ$1:AQ26,CountDSDs)=0),CountDSDs),"")</f>
        <v/>
      </c>
      <c r="AR27">
        <f t="shared" si="5"/>
        <v>0</v>
      </c>
      <c r="AS27">
        <f t="shared" si="6"/>
        <v>0</v>
      </c>
      <c r="AT27">
        <f t="shared" si="7"/>
        <v>0</v>
      </c>
      <c r="AU27">
        <f t="shared" si="8"/>
        <v>0</v>
      </c>
      <c r="AV27">
        <f t="shared" si="9"/>
        <v>0</v>
      </c>
      <c r="AW27">
        <f t="shared" si="10"/>
        <v>0</v>
      </c>
      <c r="AX27">
        <f t="shared" si="11"/>
        <v>0</v>
      </c>
      <c r="AY27">
        <f t="shared" si="12"/>
        <v>0</v>
      </c>
      <c r="AZ27">
        <f t="shared" si="13"/>
        <v>0</v>
      </c>
      <c r="BA27">
        <f t="shared" si="14"/>
        <v>0</v>
      </c>
      <c r="BB27">
        <f t="shared" si="15"/>
        <v>0</v>
      </c>
      <c r="BC27">
        <f t="shared" si="16"/>
        <v>0</v>
      </c>
      <c r="BD27">
        <f t="shared" si="17"/>
        <v>0</v>
      </c>
      <c r="BE27">
        <f t="shared" si="18"/>
        <v>0</v>
      </c>
      <c r="BF27">
        <f t="shared" si="19"/>
        <v>0</v>
      </c>
      <c r="BG27">
        <f t="shared" si="20"/>
        <v>0</v>
      </c>
      <c r="BH27">
        <f t="shared" si="21"/>
        <v>0</v>
      </c>
      <c r="BI27">
        <f t="shared" si="22"/>
        <v>0</v>
      </c>
      <c r="BJ27">
        <f t="shared" si="23"/>
        <v>0</v>
      </c>
      <c r="BK27">
        <f t="shared" si="24"/>
        <v>0</v>
      </c>
      <c r="BL27">
        <f t="shared" si="25"/>
        <v>0</v>
      </c>
      <c r="BM27">
        <f t="shared" si="26"/>
        <v>0</v>
      </c>
      <c r="BN27">
        <f t="shared" si="27"/>
        <v>0</v>
      </c>
      <c r="BO27">
        <f t="shared" si="28"/>
        <v>0</v>
      </c>
      <c r="BP27">
        <f t="shared" si="29"/>
        <v>0</v>
      </c>
      <c r="BQ27">
        <f t="shared" si="30"/>
        <v>0</v>
      </c>
      <c r="BR27">
        <f t="shared" si="31"/>
        <v>0</v>
      </c>
      <c r="BS27">
        <f t="shared" si="32"/>
        <v>0</v>
      </c>
      <c r="BT27">
        <f t="shared" si="33"/>
        <v>0</v>
      </c>
      <c r="BU27">
        <f t="shared" si="34"/>
        <v>0</v>
      </c>
      <c r="BV27">
        <f t="shared" si="35"/>
        <v>0</v>
      </c>
      <c r="BW27">
        <f t="shared" si="36"/>
        <v>0</v>
      </c>
      <c r="BX27">
        <f t="shared" si="37"/>
        <v>0</v>
      </c>
      <c r="BY27">
        <f t="shared" si="38"/>
        <v>0</v>
      </c>
      <c r="BZ27">
        <f t="shared" si="39"/>
        <v>0</v>
      </c>
      <c r="CA27">
        <f t="shared" si="40"/>
        <v>0</v>
      </c>
      <c r="CB27">
        <f t="shared" si="41"/>
        <v>0</v>
      </c>
      <c r="CC27">
        <f t="shared" ca="1" si="42"/>
        <v>0</v>
      </c>
    </row>
    <row r="28" spans="1:81" ht="18.75" x14ac:dyDescent="0.2">
      <c r="A28" t="e">
        <f t="shared" si="0"/>
        <v>#REF!</v>
      </c>
      <c r="B28" t="str">
        <f t="shared" si="48"/>
        <v/>
      </c>
      <c r="C28" t="str">
        <f t="shared" si="48"/>
        <v/>
      </c>
      <c r="D28" t="str">
        <f t="shared" si="48"/>
        <v/>
      </c>
      <c r="E28" t="str">
        <f t="shared" si="48"/>
        <v/>
      </c>
      <c r="F28" t="str">
        <f t="shared" si="48"/>
        <v/>
      </c>
      <c r="G28" t="str">
        <f t="shared" si="48"/>
        <v/>
      </c>
      <c r="H28" t="str">
        <f t="shared" si="48"/>
        <v/>
      </c>
      <c r="I28" t="str">
        <f t="shared" si="48"/>
        <v/>
      </c>
      <c r="J28" t="str">
        <f t="shared" si="48"/>
        <v/>
      </c>
      <c r="K28" t="str">
        <f t="shared" si="48"/>
        <v/>
      </c>
      <c r="L28" t="str">
        <f t="shared" si="49"/>
        <v/>
      </c>
      <c r="M28" t="str">
        <f t="shared" si="49"/>
        <v/>
      </c>
      <c r="N28" t="str">
        <f t="shared" si="49"/>
        <v/>
      </c>
      <c r="O28" t="str">
        <f t="shared" si="49"/>
        <v/>
      </c>
      <c r="P28" t="str">
        <f t="shared" si="49"/>
        <v/>
      </c>
      <c r="Q28" t="str">
        <f t="shared" si="49"/>
        <v/>
      </c>
      <c r="R28" t="str">
        <f t="shared" si="49"/>
        <v/>
      </c>
      <c r="S28" t="str">
        <f t="shared" si="49"/>
        <v/>
      </c>
      <c r="T28" t="str">
        <f t="shared" si="49"/>
        <v/>
      </c>
      <c r="U28" t="str">
        <f t="shared" si="49"/>
        <v/>
      </c>
      <c r="V28" t="str">
        <f t="shared" si="50"/>
        <v/>
      </c>
      <c r="W28" t="str">
        <f t="shared" si="50"/>
        <v/>
      </c>
      <c r="X28" t="str">
        <f t="shared" si="50"/>
        <v/>
      </c>
      <c r="Y28" t="str">
        <f t="shared" si="50"/>
        <v/>
      </c>
      <c r="Z28" t="str">
        <f t="shared" si="50"/>
        <v/>
      </c>
      <c r="AA28" t="str">
        <f t="shared" si="50"/>
        <v/>
      </c>
      <c r="AB28" t="str">
        <f t="shared" si="50"/>
        <v/>
      </c>
      <c r="AC28" t="str">
        <f t="shared" si="50"/>
        <v/>
      </c>
      <c r="AD28" t="str">
        <f t="shared" si="50"/>
        <v/>
      </c>
      <c r="AE28" t="str">
        <f t="shared" si="50"/>
        <v/>
      </c>
      <c r="AF28" t="str">
        <f t="shared" si="51"/>
        <v/>
      </c>
      <c r="AG28" t="str">
        <f t="shared" si="51"/>
        <v/>
      </c>
      <c r="AH28" t="str">
        <f t="shared" si="51"/>
        <v/>
      </c>
      <c r="AI28" t="str">
        <f t="shared" si="51"/>
        <v/>
      </c>
      <c r="AJ28" t="str">
        <f t="shared" si="51"/>
        <v/>
      </c>
      <c r="AK28" t="str">
        <f t="shared" si="51"/>
        <v/>
      </c>
      <c r="AM28" s="22">
        <f t="shared" si="43"/>
        <v>0</v>
      </c>
      <c r="AP28">
        <v>26</v>
      </c>
      <c r="AQ28" s="33" t="str">
        <f>IFERROR(LOOKUP(2,1/(COUNTIF($AQ$1:AQ27,CountDSDs)=0),CountDSDs),"")</f>
        <v/>
      </c>
      <c r="AR28">
        <f t="shared" si="5"/>
        <v>0</v>
      </c>
      <c r="AS28">
        <f t="shared" si="6"/>
        <v>0</v>
      </c>
      <c r="AT28">
        <f t="shared" si="7"/>
        <v>0</v>
      </c>
      <c r="AU28">
        <f t="shared" si="8"/>
        <v>0</v>
      </c>
      <c r="AV28">
        <f t="shared" si="9"/>
        <v>0</v>
      </c>
      <c r="AW28">
        <f t="shared" si="10"/>
        <v>0</v>
      </c>
      <c r="AX28">
        <f t="shared" si="11"/>
        <v>0</v>
      </c>
      <c r="AY28">
        <f t="shared" si="12"/>
        <v>0</v>
      </c>
      <c r="AZ28">
        <f t="shared" si="13"/>
        <v>0</v>
      </c>
      <c r="BA28">
        <f t="shared" si="14"/>
        <v>0</v>
      </c>
      <c r="BB28">
        <f t="shared" si="15"/>
        <v>0</v>
      </c>
      <c r="BC28">
        <f t="shared" si="16"/>
        <v>0</v>
      </c>
      <c r="BD28">
        <f t="shared" si="17"/>
        <v>0</v>
      </c>
      <c r="BE28">
        <f t="shared" si="18"/>
        <v>0</v>
      </c>
      <c r="BF28">
        <f t="shared" si="19"/>
        <v>0</v>
      </c>
      <c r="BG28">
        <f t="shared" si="20"/>
        <v>0</v>
      </c>
      <c r="BH28">
        <f t="shared" si="21"/>
        <v>0</v>
      </c>
      <c r="BI28">
        <f t="shared" si="22"/>
        <v>0</v>
      </c>
      <c r="BJ28">
        <f t="shared" si="23"/>
        <v>0</v>
      </c>
      <c r="BK28">
        <f t="shared" si="24"/>
        <v>0</v>
      </c>
      <c r="BL28">
        <f t="shared" si="25"/>
        <v>0</v>
      </c>
      <c r="BM28">
        <f t="shared" si="26"/>
        <v>0</v>
      </c>
      <c r="BN28">
        <f t="shared" si="27"/>
        <v>0</v>
      </c>
      <c r="BO28">
        <f t="shared" si="28"/>
        <v>0</v>
      </c>
      <c r="BP28">
        <f t="shared" si="29"/>
        <v>0</v>
      </c>
      <c r="BQ28">
        <f t="shared" si="30"/>
        <v>0</v>
      </c>
      <c r="BR28">
        <f t="shared" si="31"/>
        <v>0</v>
      </c>
      <c r="BS28">
        <f t="shared" si="32"/>
        <v>0</v>
      </c>
      <c r="BT28">
        <f t="shared" si="33"/>
        <v>0</v>
      </c>
      <c r="BU28">
        <f t="shared" si="34"/>
        <v>0</v>
      </c>
      <c r="BV28">
        <f t="shared" si="35"/>
        <v>0</v>
      </c>
      <c r="BW28">
        <f t="shared" si="36"/>
        <v>0</v>
      </c>
      <c r="BX28">
        <f t="shared" si="37"/>
        <v>0</v>
      </c>
      <c r="BY28">
        <f t="shared" si="38"/>
        <v>0</v>
      </c>
      <c r="BZ28">
        <f t="shared" si="39"/>
        <v>0</v>
      </c>
      <c r="CA28">
        <f t="shared" si="40"/>
        <v>0</v>
      </c>
      <c r="CB28">
        <f t="shared" si="41"/>
        <v>0</v>
      </c>
      <c r="CC28">
        <f t="shared" ca="1" si="42"/>
        <v>0</v>
      </c>
    </row>
    <row r="29" spans="1:81" ht="18.75" x14ac:dyDescent="0.2">
      <c r="A29" t="e">
        <f t="shared" si="0"/>
        <v>#REF!</v>
      </c>
      <c r="B29" t="str">
        <f t="shared" si="48"/>
        <v/>
      </c>
      <c r="C29" t="str">
        <f t="shared" si="48"/>
        <v/>
      </c>
      <c r="D29" t="str">
        <f t="shared" si="48"/>
        <v/>
      </c>
      <c r="E29" t="str">
        <f t="shared" si="48"/>
        <v/>
      </c>
      <c r="F29" t="str">
        <f t="shared" si="48"/>
        <v/>
      </c>
      <c r="G29" t="str">
        <f t="shared" si="48"/>
        <v/>
      </c>
      <c r="H29" t="str">
        <f t="shared" si="48"/>
        <v/>
      </c>
      <c r="I29" t="str">
        <f t="shared" si="48"/>
        <v/>
      </c>
      <c r="J29" t="str">
        <f t="shared" si="48"/>
        <v/>
      </c>
      <c r="K29" t="str">
        <f t="shared" si="48"/>
        <v/>
      </c>
      <c r="L29" t="str">
        <f t="shared" si="49"/>
        <v/>
      </c>
      <c r="M29" t="str">
        <f t="shared" si="49"/>
        <v/>
      </c>
      <c r="N29" t="str">
        <f t="shared" si="49"/>
        <v/>
      </c>
      <c r="O29" t="str">
        <f t="shared" si="49"/>
        <v/>
      </c>
      <c r="P29" t="str">
        <f t="shared" si="49"/>
        <v/>
      </c>
      <c r="Q29" t="str">
        <f t="shared" si="49"/>
        <v/>
      </c>
      <c r="R29" t="str">
        <f t="shared" si="49"/>
        <v/>
      </c>
      <c r="S29" t="str">
        <f t="shared" si="49"/>
        <v/>
      </c>
      <c r="T29" t="str">
        <f t="shared" si="49"/>
        <v/>
      </c>
      <c r="U29" t="str">
        <f t="shared" si="49"/>
        <v/>
      </c>
      <c r="V29" t="str">
        <f t="shared" si="50"/>
        <v/>
      </c>
      <c r="W29" t="str">
        <f t="shared" si="50"/>
        <v/>
      </c>
      <c r="X29" t="str">
        <f t="shared" si="50"/>
        <v/>
      </c>
      <c r="Y29" t="str">
        <f t="shared" si="50"/>
        <v/>
      </c>
      <c r="Z29" t="str">
        <f t="shared" si="50"/>
        <v/>
      </c>
      <c r="AA29" t="str">
        <f t="shared" si="50"/>
        <v/>
      </c>
      <c r="AB29" t="str">
        <f t="shared" si="50"/>
        <v/>
      </c>
      <c r="AC29" t="str">
        <f t="shared" si="50"/>
        <v/>
      </c>
      <c r="AD29" t="str">
        <f t="shared" si="50"/>
        <v/>
      </c>
      <c r="AE29" t="str">
        <f t="shared" si="50"/>
        <v/>
      </c>
      <c r="AF29" t="str">
        <f t="shared" si="51"/>
        <v/>
      </c>
      <c r="AG29" t="str">
        <f t="shared" si="51"/>
        <v/>
      </c>
      <c r="AH29" t="str">
        <f t="shared" si="51"/>
        <v/>
      </c>
      <c r="AI29" t="str">
        <f t="shared" si="51"/>
        <v/>
      </c>
      <c r="AJ29" t="str">
        <f t="shared" si="51"/>
        <v/>
      </c>
      <c r="AK29" t="str">
        <f t="shared" si="51"/>
        <v/>
      </c>
      <c r="AM29" s="22">
        <f t="shared" si="43"/>
        <v>0</v>
      </c>
      <c r="AP29">
        <v>27</v>
      </c>
      <c r="AQ29" s="33" t="str">
        <f>IFERROR(LOOKUP(2,1/(COUNTIF($AQ$1:AQ28,CountDSDs)=0),CountDSDs),"")</f>
        <v/>
      </c>
      <c r="AR29">
        <f t="shared" si="5"/>
        <v>0</v>
      </c>
      <c r="AS29">
        <f t="shared" si="6"/>
        <v>0</v>
      </c>
      <c r="AT29">
        <f t="shared" si="7"/>
        <v>0</v>
      </c>
      <c r="AU29">
        <f t="shared" si="8"/>
        <v>0</v>
      </c>
      <c r="AV29">
        <f t="shared" si="9"/>
        <v>0</v>
      </c>
      <c r="AW29">
        <f t="shared" si="10"/>
        <v>0</v>
      </c>
      <c r="AX29">
        <f t="shared" si="11"/>
        <v>0</v>
      </c>
      <c r="AY29">
        <f t="shared" si="12"/>
        <v>0</v>
      </c>
      <c r="AZ29">
        <f t="shared" si="13"/>
        <v>0</v>
      </c>
      <c r="BA29">
        <f t="shared" si="14"/>
        <v>0</v>
      </c>
      <c r="BB29">
        <f t="shared" si="15"/>
        <v>0</v>
      </c>
      <c r="BC29">
        <f t="shared" si="16"/>
        <v>0</v>
      </c>
      <c r="BD29">
        <f t="shared" si="17"/>
        <v>0</v>
      </c>
      <c r="BE29">
        <f t="shared" si="18"/>
        <v>0</v>
      </c>
      <c r="BF29">
        <f t="shared" si="19"/>
        <v>0</v>
      </c>
      <c r="BG29">
        <f t="shared" si="20"/>
        <v>0</v>
      </c>
      <c r="BH29">
        <f t="shared" si="21"/>
        <v>0</v>
      </c>
      <c r="BI29">
        <f t="shared" si="22"/>
        <v>0</v>
      </c>
      <c r="BJ29">
        <f t="shared" si="23"/>
        <v>0</v>
      </c>
      <c r="BK29">
        <f t="shared" si="24"/>
        <v>0</v>
      </c>
      <c r="BL29">
        <f t="shared" si="25"/>
        <v>0</v>
      </c>
      <c r="BM29">
        <f t="shared" si="26"/>
        <v>0</v>
      </c>
      <c r="BN29">
        <f t="shared" si="27"/>
        <v>0</v>
      </c>
      <c r="BO29">
        <f t="shared" si="28"/>
        <v>0</v>
      </c>
      <c r="BP29">
        <f t="shared" si="29"/>
        <v>0</v>
      </c>
      <c r="BQ29">
        <f t="shared" si="30"/>
        <v>0</v>
      </c>
      <c r="BR29">
        <f t="shared" si="31"/>
        <v>0</v>
      </c>
      <c r="BS29">
        <f t="shared" si="32"/>
        <v>0</v>
      </c>
      <c r="BT29">
        <f t="shared" si="33"/>
        <v>0</v>
      </c>
      <c r="BU29">
        <f t="shared" si="34"/>
        <v>0</v>
      </c>
      <c r="BV29">
        <f t="shared" si="35"/>
        <v>0</v>
      </c>
      <c r="BW29">
        <f t="shared" si="36"/>
        <v>0</v>
      </c>
      <c r="BX29">
        <f t="shared" si="37"/>
        <v>0</v>
      </c>
      <c r="BY29">
        <f t="shared" si="38"/>
        <v>0</v>
      </c>
      <c r="BZ29">
        <f t="shared" si="39"/>
        <v>0</v>
      </c>
      <c r="CA29">
        <f t="shared" si="40"/>
        <v>0</v>
      </c>
      <c r="CB29">
        <f t="shared" si="41"/>
        <v>0</v>
      </c>
      <c r="CC29">
        <f t="shared" ca="1" si="42"/>
        <v>0</v>
      </c>
    </row>
    <row r="30" spans="1:81" ht="18.75" x14ac:dyDescent="0.2">
      <c r="A30" t="e">
        <f t="shared" si="0"/>
        <v>#REF!</v>
      </c>
      <c r="B30" t="str">
        <f t="shared" si="48"/>
        <v/>
      </c>
      <c r="C30" t="str">
        <f t="shared" si="48"/>
        <v/>
      </c>
      <c r="D30" t="str">
        <f t="shared" si="48"/>
        <v/>
      </c>
      <c r="E30" t="str">
        <f t="shared" si="48"/>
        <v/>
      </c>
      <c r="F30" t="str">
        <f t="shared" si="48"/>
        <v/>
      </c>
      <c r="G30" t="str">
        <f t="shared" si="48"/>
        <v/>
      </c>
      <c r="H30" t="str">
        <f t="shared" si="48"/>
        <v/>
      </c>
      <c r="I30" t="str">
        <f t="shared" si="48"/>
        <v/>
      </c>
      <c r="J30" t="str">
        <f t="shared" si="48"/>
        <v/>
      </c>
      <c r="K30" t="str">
        <f t="shared" si="48"/>
        <v/>
      </c>
      <c r="L30" t="str">
        <f t="shared" si="49"/>
        <v/>
      </c>
      <c r="M30" t="str">
        <f t="shared" si="49"/>
        <v/>
      </c>
      <c r="N30" t="str">
        <f t="shared" si="49"/>
        <v/>
      </c>
      <c r="O30" t="str">
        <f t="shared" si="49"/>
        <v/>
      </c>
      <c r="P30" t="str">
        <f t="shared" si="49"/>
        <v/>
      </c>
      <c r="Q30" t="str">
        <f t="shared" si="49"/>
        <v/>
      </c>
      <c r="R30" t="str">
        <f t="shared" si="49"/>
        <v/>
      </c>
      <c r="S30" t="str">
        <f t="shared" si="49"/>
        <v/>
      </c>
      <c r="T30" t="str">
        <f t="shared" si="49"/>
        <v/>
      </c>
      <c r="U30" t="str">
        <f t="shared" si="49"/>
        <v/>
      </c>
      <c r="V30" t="str">
        <f t="shared" si="50"/>
        <v/>
      </c>
      <c r="W30" t="str">
        <f t="shared" si="50"/>
        <v/>
      </c>
      <c r="X30" t="str">
        <f t="shared" si="50"/>
        <v/>
      </c>
      <c r="Y30" t="str">
        <f t="shared" si="50"/>
        <v/>
      </c>
      <c r="Z30" t="str">
        <f t="shared" si="50"/>
        <v/>
      </c>
      <c r="AA30" t="str">
        <f t="shared" si="50"/>
        <v/>
      </c>
      <c r="AB30" t="str">
        <f t="shared" si="50"/>
        <v/>
      </c>
      <c r="AC30" t="str">
        <f t="shared" si="50"/>
        <v/>
      </c>
      <c r="AD30" t="str">
        <f t="shared" si="50"/>
        <v/>
      </c>
      <c r="AE30" t="str">
        <f t="shared" si="50"/>
        <v/>
      </c>
      <c r="AF30" t="str">
        <f t="shared" si="51"/>
        <v/>
      </c>
      <c r="AG30" t="str">
        <f t="shared" si="51"/>
        <v/>
      </c>
      <c r="AH30" t="str">
        <f t="shared" si="51"/>
        <v/>
      </c>
      <c r="AI30" t="str">
        <f t="shared" si="51"/>
        <v/>
      </c>
      <c r="AJ30" t="str">
        <f t="shared" si="51"/>
        <v/>
      </c>
      <c r="AK30" t="str">
        <f t="shared" si="51"/>
        <v/>
      </c>
      <c r="AM30" s="22">
        <f t="shared" si="43"/>
        <v>0</v>
      </c>
      <c r="AP30">
        <v>28</v>
      </c>
      <c r="AQ30" s="33" t="str">
        <f>IFERROR(LOOKUP(2,1/(COUNTIF($AQ$1:AQ29,CountDSDs)=0),CountDSDs),"")</f>
        <v/>
      </c>
      <c r="AR30">
        <f t="shared" si="5"/>
        <v>0</v>
      </c>
      <c r="AS30">
        <f t="shared" si="6"/>
        <v>0</v>
      </c>
      <c r="AT30">
        <f t="shared" si="7"/>
        <v>0</v>
      </c>
      <c r="AU30">
        <f t="shared" si="8"/>
        <v>0</v>
      </c>
      <c r="AV30">
        <f t="shared" si="9"/>
        <v>0</v>
      </c>
      <c r="AW30">
        <f t="shared" si="10"/>
        <v>0</v>
      </c>
      <c r="AX30">
        <f t="shared" si="11"/>
        <v>0</v>
      </c>
      <c r="AY30">
        <f t="shared" si="12"/>
        <v>0</v>
      </c>
      <c r="AZ30">
        <f t="shared" si="13"/>
        <v>0</v>
      </c>
      <c r="BA30">
        <f t="shared" si="14"/>
        <v>0</v>
      </c>
      <c r="BB30">
        <f t="shared" si="15"/>
        <v>0</v>
      </c>
      <c r="BC30">
        <f t="shared" si="16"/>
        <v>0</v>
      </c>
      <c r="BD30">
        <f t="shared" si="17"/>
        <v>0</v>
      </c>
      <c r="BE30">
        <f t="shared" si="18"/>
        <v>0</v>
      </c>
      <c r="BF30">
        <f t="shared" si="19"/>
        <v>0</v>
      </c>
      <c r="BG30">
        <f t="shared" si="20"/>
        <v>0</v>
      </c>
      <c r="BH30">
        <f t="shared" si="21"/>
        <v>0</v>
      </c>
      <c r="BI30">
        <f t="shared" si="22"/>
        <v>0</v>
      </c>
      <c r="BJ30">
        <f t="shared" si="23"/>
        <v>0</v>
      </c>
      <c r="BK30">
        <f t="shared" si="24"/>
        <v>0</v>
      </c>
      <c r="BL30">
        <f t="shared" si="25"/>
        <v>0</v>
      </c>
      <c r="BM30">
        <f t="shared" si="26"/>
        <v>0</v>
      </c>
      <c r="BN30">
        <f t="shared" si="27"/>
        <v>0</v>
      </c>
      <c r="BO30">
        <f t="shared" si="28"/>
        <v>0</v>
      </c>
      <c r="BP30">
        <f t="shared" si="29"/>
        <v>0</v>
      </c>
      <c r="BQ30">
        <f t="shared" si="30"/>
        <v>0</v>
      </c>
      <c r="BR30">
        <f t="shared" si="31"/>
        <v>0</v>
      </c>
      <c r="BS30">
        <f t="shared" si="32"/>
        <v>0</v>
      </c>
      <c r="BT30">
        <f t="shared" si="33"/>
        <v>0</v>
      </c>
      <c r="BU30">
        <f t="shared" si="34"/>
        <v>0</v>
      </c>
      <c r="BV30">
        <f t="shared" si="35"/>
        <v>0</v>
      </c>
      <c r="BW30">
        <f t="shared" si="36"/>
        <v>0</v>
      </c>
      <c r="BX30">
        <f t="shared" si="37"/>
        <v>0</v>
      </c>
      <c r="BY30">
        <f t="shared" si="38"/>
        <v>0</v>
      </c>
      <c r="BZ30">
        <f t="shared" si="39"/>
        <v>0</v>
      </c>
      <c r="CA30">
        <f t="shared" si="40"/>
        <v>0</v>
      </c>
      <c r="CB30">
        <f t="shared" si="41"/>
        <v>0</v>
      </c>
      <c r="CC30">
        <f t="shared" ca="1" si="42"/>
        <v>0</v>
      </c>
    </row>
    <row r="31" spans="1:81" ht="18.75" x14ac:dyDescent="0.2">
      <c r="A31" t="e">
        <f t="shared" si="0"/>
        <v>#REF!</v>
      </c>
      <c r="B31" t="str">
        <f t="shared" si="48"/>
        <v/>
      </c>
      <c r="C31" t="str">
        <f t="shared" si="48"/>
        <v/>
      </c>
      <c r="D31" t="str">
        <f t="shared" si="48"/>
        <v/>
      </c>
      <c r="E31" t="str">
        <f t="shared" si="48"/>
        <v/>
      </c>
      <c r="F31" t="str">
        <f t="shared" si="48"/>
        <v/>
      </c>
      <c r="G31" t="str">
        <f t="shared" si="48"/>
        <v/>
      </c>
      <c r="H31" t="str">
        <f t="shared" si="48"/>
        <v/>
      </c>
      <c r="I31" t="str">
        <f t="shared" si="48"/>
        <v/>
      </c>
      <c r="J31" t="str">
        <f t="shared" si="48"/>
        <v/>
      </c>
      <c r="K31" t="str">
        <f t="shared" si="48"/>
        <v/>
      </c>
      <c r="L31" t="str">
        <f t="shared" si="49"/>
        <v/>
      </c>
      <c r="M31" t="str">
        <f t="shared" si="49"/>
        <v/>
      </c>
      <c r="N31" t="str">
        <f t="shared" si="49"/>
        <v/>
      </c>
      <c r="O31" t="str">
        <f t="shared" si="49"/>
        <v/>
      </c>
      <c r="P31" t="str">
        <f t="shared" si="49"/>
        <v/>
      </c>
      <c r="Q31" t="str">
        <f t="shared" si="49"/>
        <v/>
      </c>
      <c r="R31" t="str">
        <f t="shared" si="49"/>
        <v/>
      </c>
      <c r="S31" t="str">
        <f t="shared" si="49"/>
        <v/>
      </c>
      <c r="T31" t="str">
        <f t="shared" si="49"/>
        <v/>
      </c>
      <c r="U31" t="str">
        <f t="shared" si="49"/>
        <v/>
      </c>
      <c r="V31" t="str">
        <f t="shared" si="50"/>
        <v/>
      </c>
      <c r="W31" t="str">
        <f t="shared" si="50"/>
        <v/>
      </c>
      <c r="X31" t="str">
        <f t="shared" si="50"/>
        <v/>
      </c>
      <c r="Y31" t="str">
        <f t="shared" si="50"/>
        <v/>
      </c>
      <c r="Z31" t="str">
        <f t="shared" si="50"/>
        <v/>
      </c>
      <c r="AA31" t="str">
        <f t="shared" si="50"/>
        <v/>
      </c>
      <c r="AB31" t="str">
        <f t="shared" si="50"/>
        <v/>
      </c>
      <c r="AC31" t="str">
        <f t="shared" si="50"/>
        <v/>
      </c>
      <c r="AD31" t="str">
        <f t="shared" si="50"/>
        <v/>
      </c>
      <c r="AE31" t="str">
        <f t="shared" si="50"/>
        <v/>
      </c>
      <c r="AF31" t="str">
        <f t="shared" si="51"/>
        <v/>
      </c>
      <c r="AG31" t="str">
        <f t="shared" si="51"/>
        <v/>
      </c>
      <c r="AH31" t="str">
        <f t="shared" si="51"/>
        <v/>
      </c>
      <c r="AI31" t="str">
        <f t="shared" si="51"/>
        <v/>
      </c>
      <c r="AJ31" t="str">
        <f t="shared" si="51"/>
        <v/>
      </c>
      <c r="AK31" t="str">
        <f t="shared" si="51"/>
        <v/>
      </c>
      <c r="AM31" s="22">
        <f t="shared" si="43"/>
        <v>0</v>
      </c>
      <c r="AP31">
        <v>29</v>
      </c>
      <c r="AQ31" s="33" t="str">
        <f>IFERROR(LOOKUP(2,1/(COUNTIF($AQ$1:AQ30,CountDSDs)=0),CountDSDs),"")</f>
        <v/>
      </c>
      <c r="AR31">
        <f t="shared" si="5"/>
        <v>0</v>
      </c>
      <c r="AS31">
        <f t="shared" si="6"/>
        <v>0</v>
      </c>
      <c r="AT31">
        <f t="shared" si="7"/>
        <v>0</v>
      </c>
      <c r="AU31">
        <f t="shared" si="8"/>
        <v>0</v>
      </c>
      <c r="AV31">
        <f t="shared" si="9"/>
        <v>0</v>
      </c>
      <c r="AW31">
        <f t="shared" si="10"/>
        <v>0</v>
      </c>
      <c r="AX31">
        <f t="shared" si="11"/>
        <v>0</v>
      </c>
      <c r="AY31">
        <f t="shared" si="12"/>
        <v>0</v>
      </c>
      <c r="AZ31">
        <f t="shared" si="13"/>
        <v>0</v>
      </c>
      <c r="BA31">
        <f t="shared" si="14"/>
        <v>0</v>
      </c>
      <c r="BB31">
        <f t="shared" si="15"/>
        <v>0</v>
      </c>
      <c r="BC31">
        <f t="shared" si="16"/>
        <v>0</v>
      </c>
      <c r="BD31">
        <f t="shared" si="17"/>
        <v>0</v>
      </c>
      <c r="BE31">
        <f t="shared" si="18"/>
        <v>0</v>
      </c>
      <c r="BF31">
        <f t="shared" si="19"/>
        <v>0</v>
      </c>
      <c r="BG31">
        <f t="shared" si="20"/>
        <v>0</v>
      </c>
      <c r="BH31">
        <f t="shared" si="21"/>
        <v>0</v>
      </c>
      <c r="BI31">
        <f t="shared" si="22"/>
        <v>0</v>
      </c>
      <c r="BJ31">
        <f t="shared" si="23"/>
        <v>0</v>
      </c>
      <c r="BK31">
        <f t="shared" si="24"/>
        <v>0</v>
      </c>
      <c r="BL31">
        <f t="shared" si="25"/>
        <v>0</v>
      </c>
      <c r="BM31">
        <f t="shared" si="26"/>
        <v>0</v>
      </c>
      <c r="BN31">
        <f t="shared" si="27"/>
        <v>0</v>
      </c>
      <c r="BO31">
        <f t="shared" si="28"/>
        <v>0</v>
      </c>
      <c r="BP31">
        <f t="shared" si="29"/>
        <v>0</v>
      </c>
      <c r="BQ31">
        <f t="shared" si="30"/>
        <v>0</v>
      </c>
      <c r="BR31">
        <f t="shared" si="31"/>
        <v>0</v>
      </c>
      <c r="BS31">
        <f t="shared" si="32"/>
        <v>0</v>
      </c>
      <c r="BT31">
        <f t="shared" si="33"/>
        <v>0</v>
      </c>
      <c r="BU31">
        <f t="shared" si="34"/>
        <v>0</v>
      </c>
      <c r="BV31">
        <f t="shared" si="35"/>
        <v>0</v>
      </c>
      <c r="BW31">
        <f t="shared" si="36"/>
        <v>0</v>
      </c>
      <c r="BX31">
        <f t="shared" si="37"/>
        <v>0</v>
      </c>
      <c r="BY31">
        <f t="shared" si="38"/>
        <v>0</v>
      </c>
      <c r="BZ31">
        <f t="shared" si="39"/>
        <v>0</v>
      </c>
      <c r="CA31">
        <f t="shared" si="40"/>
        <v>0</v>
      </c>
      <c r="CB31">
        <f t="shared" si="41"/>
        <v>0</v>
      </c>
      <c r="CC31">
        <f t="shared" ca="1" si="42"/>
        <v>0</v>
      </c>
    </row>
    <row r="32" spans="1:81" ht="18.75" x14ac:dyDescent="0.2">
      <c r="A32" t="e">
        <f t="shared" si="0"/>
        <v>#REF!</v>
      </c>
      <c r="B32" t="str">
        <f t="shared" ref="B32:K41" si="52">IFERROR(IF(INDEX(ConDimVals,ROW(A31),COLUMN(A31))="",0,1),"")</f>
        <v/>
      </c>
      <c r="C32" t="str">
        <f t="shared" si="52"/>
        <v/>
      </c>
      <c r="D32" t="str">
        <f t="shared" si="52"/>
        <v/>
      </c>
      <c r="E32" t="str">
        <f t="shared" si="52"/>
        <v/>
      </c>
      <c r="F32" t="str">
        <f t="shared" si="52"/>
        <v/>
      </c>
      <c r="G32" t="str">
        <f t="shared" si="52"/>
        <v/>
      </c>
      <c r="H32" t="str">
        <f t="shared" si="52"/>
        <v/>
      </c>
      <c r="I32" t="str">
        <f t="shared" si="52"/>
        <v/>
      </c>
      <c r="J32" t="str">
        <f t="shared" si="52"/>
        <v/>
      </c>
      <c r="K32" t="str">
        <f t="shared" si="52"/>
        <v/>
      </c>
      <c r="L32" t="str">
        <f t="shared" ref="L32:U41" si="53">IFERROR(IF(INDEX(ConDimVals,ROW(K31),COLUMN(K31))="",0,1),"")</f>
        <v/>
      </c>
      <c r="M32" t="str">
        <f t="shared" si="53"/>
        <v/>
      </c>
      <c r="N32" t="str">
        <f t="shared" si="53"/>
        <v/>
      </c>
      <c r="O32" t="str">
        <f t="shared" si="53"/>
        <v/>
      </c>
      <c r="P32" t="str">
        <f t="shared" si="53"/>
        <v/>
      </c>
      <c r="Q32" t="str">
        <f t="shared" si="53"/>
        <v/>
      </c>
      <c r="R32" t="str">
        <f t="shared" si="53"/>
        <v/>
      </c>
      <c r="S32" t="str">
        <f t="shared" si="53"/>
        <v/>
      </c>
      <c r="T32" t="str">
        <f t="shared" si="53"/>
        <v/>
      </c>
      <c r="U32" t="str">
        <f t="shared" si="53"/>
        <v/>
      </c>
      <c r="V32" t="str">
        <f t="shared" ref="V32:AE41" si="54">IFERROR(IF(INDEX(ConDimVals,ROW(U31),COLUMN(U31))="",0,1),"")</f>
        <v/>
      </c>
      <c r="W32" t="str">
        <f t="shared" si="54"/>
        <v/>
      </c>
      <c r="X32" t="str">
        <f t="shared" si="54"/>
        <v/>
      </c>
      <c r="Y32" t="str">
        <f t="shared" si="54"/>
        <v/>
      </c>
      <c r="Z32" t="str">
        <f t="shared" si="54"/>
        <v/>
      </c>
      <c r="AA32" t="str">
        <f t="shared" si="54"/>
        <v/>
      </c>
      <c r="AB32" t="str">
        <f t="shared" si="54"/>
        <v/>
      </c>
      <c r="AC32" t="str">
        <f t="shared" si="54"/>
        <v/>
      </c>
      <c r="AD32" t="str">
        <f t="shared" si="54"/>
        <v/>
      </c>
      <c r="AE32" t="str">
        <f t="shared" si="54"/>
        <v/>
      </c>
      <c r="AF32" t="str">
        <f t="shared" ref="AF32:AK41" si="55">IFERROR(IF(INDEX(ConDimVals,ROW(AE31),COLUMN(AE31))="",0,1),"")</f>
        <v/>
      </c>
      <c r="AG32" t="str">
        <f t="shared" si="55"/>
        <v/>
      </c>
      <c r="AH32" t="str">
        <f t="shared" si="55"/>
        <v/>
      </c>
      <c r="AI32" t="str">
        <f t="shared" si="55"/>
        <v/>
      </c>
      <c r="AJ32" t="str">
        <f t="shared" si="55"/>
        <v/>
      </c>
      <c r="AK32" t="str">
        <f t="shared" si="55"/>
        <v/>
      </c>
      <c r="AM32" s="22">
        <f t="shared" si="43"/>
        <v>0</v>
      </c>
      <c r="AP32">
        <v>30</v>
      </c>
      <c r="AQ32" s="33" t="str">
        <f>IFERROR(LOOKUP(2,1/(COUNTIF($AQ$1:AQ31,CountDSDs)=0),CountDSDs),"")</f>
        <v/>
      </c>
      <c r="AR32">
        <f t="shared" si="5"/>
        <v>0</v>
      </c>
      <c r="AS32">
        <f t="shared" si="6"/>
        <v>0</v>
      </c>
      <c r="AT32">
        <f t="shared" si="7"/>
        <v>0</v>
      </c>
      <c r="AU32">
        <f t="shared" si="8"/>
        <v>0</v>
      </c>
      <c r="AV32">
        <f t="shared" si="9"/>
        <v>0</v>
      </c>
      <c r="AW32">
        <f t="shared" si="10"/>
        <v>0</v>
      </c>
      <c r="AX32">
        <f t="shared" si="11"/>
        <v>0</v>
      </c>
      <c r="AY32">
        <f t="shared" si="12"/>
        <v>0</v>
      </c>
      <c r="AZ32">
        <f t="shared" si="13"/>
        <v>0</v>
      </c>
      <c r="BA32">
        <f t="shared" si="14"/>
        <v>0</v>
      </c>
      <c r="BB32">
        <f t="shared" si="15"/>
        <v>0</v>
      </c>
      <c r="BC32">
        <f t="shared" si="16"/>
        <v>0</v>
      </c>
      <c r="BD32">
        <f t="shared" si="17"/>
        <v>0</v>
      </c>
      <c r="BE32">
        <f t="shared" si="18"/>
        <v>0</v>
      </c>
      <c r="BF32">
        <f t="shared" si="19"/>
        <v>0</v>
      </c>
      <c r="BG32">
        <f t="shared" si="20"/>
        <v>0</v>
      </c>
      <c r="BH32">
        <f t="shared" si="21"/>
        <v>0</v>
      </c>
      <c r="BI32">
        <f t="shared" si="22"/>
        <v>0</v>
      </c>
      <c r="BJ32">
        <f t="shared" si="23"/>
        <v>0</v>
      </c>
      <c r="BK32">
        <f t="shared" si="24"/>
        <v>0</v>
      </c>
      <c r="BL32">
        <f t="shared" si="25"/>
        <v>0</v>
      </c>
      <c r="BM32">
        <f t="shared" si="26"/>
        <v>0</v>
      </c>
      <c r="BN32">
        <f t="shared" si="27"/>
        <v>0</v>
      </c>
      <c r="BO32">
        <f t="shared" si="28"/>
        <v>0</v>
      </c>
      <c r="BP32">
        <f t="shared" si="29"/>
        <v>0</v>
      </c>
      <c r="BQ32">
        <f t="shared" si="30"/>
        <v>0</v>
      </c>
      <c r="BR32">
        <f t="shared" si="31"/>
        <v>0</v>
      </c>
      <c r="BS32">
        <f t="shared" si="32"/>
        <v>0</v>
      </c>
      <c r="BT32">
        <f t="shared" si="33"/>
        <v>0</v>
      </c>
      <c r="BU32">
        <f t="shared" si="34"/>
        <v>0</v>
      </c>
      <c r="BV32">
        <f t="shared" si="35"/>
        <v>0</v>
      </c>
      <c r="BW32">
        <f t="shared" si="36"/>
        <v>0</v>
      </c>
      <c r="BX32">
        <f t="shared" si="37"/>
        <v>0</v>
      </c>
      <c r="BY32">
        <f t="shared" si="38"/>
        <v>0</v>
      </c>
      <c r="BZ32">
        <f t="shared" si="39"/>
        <v>0</v>
      </c>
      <c r="CA32">
        <f t="shared" si="40"/>
        <v>0</v>
      </c>
      <c r="CB32">
        <f t="shared" si="41"/>
        <v>0</v>
      </c>
      <c r="CC32">
        <f t="shared" ca="1" si="42"/>
        <v>0</v>
      </c>
    </row>
    <row r="33" spans="1:81" ht="18.75" x14ac:dyDescent="0.2">
      <c r="A33" t="e">
        <f t="shared" si="0"/>
        <v>#REF!</v>
      </c>
      <c r="B33" t="str">
        <f t="shared" si="52"/>
        <v/>
      </c>
      <c r="C33" t="str">
        <f t="shared" si="52"/>
        <v/>
      </c>
      <c r="D33" t="str">
        <f t="shared" si="52"/>
        <v/>
      </c>
      <c r="E33" t="str">
        <f t="shared" si="52"/>
        <v/>
      </c>
      <c r="F33" t="str">
        <f t="shared" si="52"/>
        <v/>
      </c>
      <c r="G33" t="str">
        <f t="shared" si="52"/>
        <v/>
      </c>
      <c r="H33" t="str">
        <f t="shared" si="52"/>
        <v/>
      </c>
      <c r="I33" t="str">
        <f t="shared" si="52"/>
        <v/>
      </c>
      <c r="J33" t="str">
        <f t="shared" si="52"/>
        <v/>
      </c>
      <c r="K33" t="str">
        <f t="shared" si="52"/>
        <v/>
      </c>
      <c r="L33" t="str">
        <f t="shared" si="53"/>
        <v/>
      </c>
      <c r="M33" t="str">
        <f t="shared" si="53"/>
        <v/>
      </c>
      <c r="N33" t="str">
        <f t="shared" si="53"/>
        <v/>
      </c>
      <c r="O33" t="str">
        <f t="shared" si="53"/>
        <v/>
      </c>
      <c r="P33" t="str">
        <f t="shared" si="53"/>
        <v/>
      </c>
      <c r="Q33" t="str">
        <f t="shared" si="53"/>
        <v/>
      </c>
      <c r="R33" t="str">
        <f t="shared" si="53"/>
        <v/>
      </c>
      <c r="S33" t="str">
        <f t="shared" si="53"/>
        <v/>
      </c>
      <c r="T33" t="str">
        <f t="shared" si="53"/>
        <v/>
      </c>
      <c r="U33" t="str">
        <f t="shared" si="53"/>
        <v/>
      </c>
      <c r="V33" t="str">
        <f t="shared" si="54"/>
        <v/>
      </c>
      <c r="W33" t="str">
        <f t="shared" si="54"/>
        <v/>
      </c>
      <c r="X33" t="str">
        <f t="shared" si="54"/>
        <v/>
      </c>
      <c r="Y33" t="str">
        <f t="shared" si="54"/>
        <v/>
      </c>
      <c r="Z33" t="str">
        <f t="shared" si="54"/>
        <v/>
      </c>
      <c r="AA33" t="str">
        <f t="shared" si="54"/>
        <v/>
      </c>
      <c r="AB33" t="str">
        <f t="shared" si="54"/>
        <v/>
      </c>
      <c r="AC33" t="str">
        <f t="shared" si="54"/>
        <v/>
      </c>
      <c r="AD33" t="str">
        <f t="shared" si="54"/>
        <v/>
      </c>
      <c r="AE33" t="str">
        <f t="shared" si="54"/>
        <v/>
      </c>
      <c r="AF33" t="str">
        <f t="shared" si="55"/>
        <v/>
      </c>
      <c r="AG33" t="str">
        <f t="shared" si="55"/>
        <v/>
      </c>
      <c r="AH33" t="str">
        <f t="shared" si="55"/>
        <v/>
      </c>
      <c r="AI33" t="str">
        <f t="shared" si="55"/>
        <v/>
      </c>
      <c r="AJ33" t="str">
        <f t="shared" si="55"/>
        <v/>
      </c>
      <c r="AK33" t="str">
        <f t="shared" si="55"/>
        <v/>
      </c>
      <c r="AM33" s="22">
        <f t="shared" si="43"/>
        <v>0</v>
      </c>
      <c r="AP33">
        <v>31</v>
      </c>
      <c r="AQ33" s="33" t="str">
        <f>IFERROR(LOOKUP(2,1/(COUNTIF($AQ$1:AQ32,CountDSDs)=0),CountDSDs),"")</f>
        <v/>
      </c>
      <c r="AR33">
        <f t="shared" si="5"/>
        <v>0</v>
      </c>
      <c r="AS33">
        <f t="shared" si="6"/>
        <v>0</v>
      </c>
      <c r="AT33">
        <f t="shared" si="7"/>
        <v>0</v>
      </c>
      <c r="AU33">
        <f t="shared" si="8"/>
        <v>0</v>
      </c>
      <c r="AV33">
        <f t="shared" si="9"/>
        <v>0</v>
      </c>
      <c r="AW33">
        <f t="shared" si="10"/>
        <v>0</v>
      </c>
      <c r="AX33">
        <f t="shared" si="11"/>
        <v>0</v>
      </c>
      <c r="AY33">
        <f t="shared" si="12"/>
        <v>0</v>
      </c>
      <c r="AZ33">
        <f t="shared" si="13"/>
        <v>0</v>
      </c>
      <c r="BA33">
        <f t="shared" si="14"/>
        <v>0</v>
      </c>
      <c r="BB33">
        <f t="shared" si="15"/>
        <v>0</v>
      </c>
      <c r="BC33">
        <f t="shared" si="16"/>
        <v>0</v>
      </c>
      <c r="BD33">
        <f t="shared" si="17"/>
        <v>0</v>
      </c>
      <c r="BE33">
        <f t="shared" si="18"/>
        <v>0</v>
      </c>
      <c r="BF33">
        <f t="shared" si="19"/>
        <v>0</v>
      </c>
      <c r="BG33">
        <f t="shared" si="20"/>
        <v>0</v>
      </c>
      <c r="BH33">
        <f t="shared" si="21"/>
        <v>0</v>
      </c>
      <c r="BI33">
        <f t="shared" si="22"/>
        <v>0</v>
      </c>
      <c r="BJ33">
        <f t="shared" si="23"/>
        <v>0</v>
      </c>
      <c r="BK33">
        <f t="shared" si="24"/>
        <v>0</v>
      </c>
      <c r="BL33">
        <f t="shared" si="25"/>
        <v>0</v>
      </c>
      <c r="BM33">
        <f t="shared" si="26"/>
        <v>0</v>
      </c>
      <c r="BN33">
        <f t="shared" si="27"/>
        <v>0</v>
      </c>
      <c r="BO33">
        <f t="shared" si="28"/>
        <v>0</v>
      </c>
      <c r="BP33">
        <f t="shared" si="29"/>
        <v>0</v>
      </c>
      <c r="BQ33">
        <f t="shared" si="30"/>
        <v>0</v>
      </c>
      <c r="BR33">
        <f t="shared" si="31"/>
        <v>0</v>
      </c>
      <c r="BS33">
        <f t="shared" si="32"/>
        <v>0</v>
      </c>
      <c r="BT33">
        <f t="shared" si="33"/>
        <v>0</v>
      </c>
      <c r="BU33">
        <f t="shared" si="34"/>
        <v>0</v>
      </c>
      <c r="BV33">
        <f t="shared" si="35"/>
        <v>0</v>
      </c>
      <c r="BW33">
        <f t="shared" si="36"/>
        <v>0</v>
      </c>
      <c r="BX33">
        <f t="shared" si="37"/>
        <v>0</v>
      </c>
      <c r="BY33">
        <f t="shared" si="38"/>
        <v>0</v>
      </c>
      <c r="BZ33">
        <f t="shared" si="39"/>
        <v>0</v>
      </c>
      <c r="CA33">
        <f t="shared" si="40"/>
        <v>0</v>
      </c>
      <c r="CB33">
        <f t="shared" si="41"/>
        <v>0</v>
      </c>
      <c r="CC33">
        <f t="shared" ca="1" si="42"/>
        <v>0</v>
      </c>
    </row>
    <row r="34" spans="1:81" ht="18.75" x14ac:dyDescent="0.2">
      <c r="A34" t="e">
        <f t="shared" si="0"/>
        <v>#REF!</v>
      </c>
      <c r="B34" t="str">
        <f t="shared" si="52"/>
        <v/>
      </c>
      <c r="C34" t="str">
        <f t="shared" si="52"/>
        <v/>
      </c>
      <c r="D34" t="str">
        <f t="shared" si="52"/>
        <v/>
      </c>
      <c r="E34" t="str">
        <f t="shared" si="52"/>
        <v/>
      </c>
      <c r="F34" t="str">
        <f t="shared" si="52"/>
        <v/>
      </c>
      <c r="G34" t="str">
        <f t="shared" si="52"/>
        <v/>
      </c>
      <c r="H34" t="str">
        <f t="shared" si="52"/>
        <v/>
      </c>
      <c r="I34" t="str">
        <f t="shared" si="52"/>
        <v/>
      </c>
      <c r="J34" t="str">
        <f t="shared" si="52"/>
        <v/>
      </c>
      <c r="K34" t="str">
        <f t="shared" si="52"/>
        <v/>
      </c>
      <c r="L34" t="str">
        <f t="shared" si="53"/>
        <v/>
      </c>
      <c r="M34" t="str">
        <f t="shared" si="53"/>
        <v/>
      </c>
      <c r="N34" t="str">
        <f t="shared" si="53"/>
        <v/>
      </c>
      <c r="O34" t="str">
        <f t="shared" si="53"/>
        <v/>
      </c>
      <c r="P34" t="str">
        <f t="shared" si="53"/>
        <v/>
      </c>
      <c r="Q34" t="str">
        <f t="shared" si="53"/>
        <v/>
      </c>
      <c r="R34" t="str">
        <f t="shared" si="53"/>
        <v/>
      </c>
      <c r="S34" t="str">
        <f t="shared" si="53"/>
        <v/>
      </c>
      <c r="T34" t="str">
        <f t="shared" si="53"/>
        <v/>
      </c>
      <c r="U34" t="str">
        <f t="shared" si="53"/>
        <v/>
      </c>
      <c r="V34" t="str">
        <f t="shared" si="54"/>
        <v/>
      </c>
      <c r="W34" t="str">
        <f t="shared" si="54"/>
        <v/>
      </c>
      <c r="X34" t="str">
        <f t="shared" si="54"/>
        <v/>
      </c>
      <c r="Y34" t="str">
        <f t="shared" si="54"/>
        <v/>
      </c>
      <c r="Z34" t="str">
        <f t="shared" si="54"/>
        <v/>
      </c>
      <c r="AA34" t="str">
        <f t="shared" si="54"/>
        <v/>
      </c>
      <c r="AB34" t="str">
        <f t="shared" si="54"/>
        <v/>
      </c>
      <c r="AC34" t="str">
        <f t="shared" si="54"/>
        <v/>
      </c>
      <c r="AD34" t="str">
        <f t="shared" si="54"/>
        <v/>
      </c>
      <c r="AE34" t="str">
        <f t="shared" si="54"/>
        <v/>
      </c>
      <c r="AF34" t="str">
        <f t="shared" si="55"/>
        <v/>
      </c>
      <c r="AG34" t="str">
        <f t="shared" si="55"/>
        <v/>
      </c>
      <c r="AH34" t="str">
        <f t="shared" si="55"/>
        <v/>
      </c>
      <c r="AI34" t="str">
        <f t="shared" si="55"/>
        <v/>
      </c>
      <c r="AJ34" t="str">
        <f t="shared" si="55"/>
        <v/>
      </c>
      <c r="AK34" t="str">
        <f t="shared" si="55"/>
        <v/>
      </c>
      <c r="AM34" s="22">
        <f t="shared" si="43"/>
        <v>0</v>
      </c>
      <c r="AP34">
        <v>32</v>
      </c>
      <c r="AQ34" s="33" t="str">
        <f>IFERROR(LOOKUP(2,1/(COUNTIF($AQ$1:AQ33,CountDSDs)=0),CountDSDs),"")</f>
        <v/>
      </c>
      <c r="AR34">
        <f t="shared" si="5"/>
        <v>0</v>
      </c>
      <c r="AS34">
        <f t="shared" si="6"/>
        <v>0</v>
      </c>
      <c r="AT34">
        <f t="shared" si="7"/>
        <v>0</v>
      </c>
      <c r="AU34">
        <f t="shared" si="8"/>
        <v>0</v>
      </c>
      <c r="AV34">
        <f t="shared" si="9"/>
        <v>0</v>
      </c>
      <c r="AW34">
        <f t="shared" si="10"/>
        <v>0</v>
      </c>
      <c r="AX34">
        <f t="shared" si="11"/>
        <v>0</v>
      </c>
      <c r="AY34">
        <f t="shared" si="12"/>
        <v>0</v>
      </c>
      <c r="AZ34">
        <f t="shared" si="13"/>
        <v>0</v>
      </c>
      <c r="BA34">
        <f t="shared" si="14"/>
        <v>0</v>
      </c>
      <c r="BB34">
        <f t="shared" si="15"/>
        <v>0</v>
      </c>
      <c r="BC34">
        <f t="shared" si="16"/>
        <v>0</v>
      </c>
      <c r="BD34">
        <f t="shared" si="17"/>
        <v>0</v>
      </c>
      <c r="BE34">
        <f t="shared" si="18"/>
        <v>0</v>
      </c>
      <c r="BF34">
        <f t="shared" si="19"/>
        <v>0</v>
      </c>
      <c r="BG34">
        <f t="shared" si="20"/>
        <v>0</v>
      </c>
      <c r="BH34">
        <f t="shared" si="21"/>
        <v>0</v>
      </c>
      <c r="BI34">
        <f t="shared" si="22"/>
        <v>0</v>
      </c>
      <c r="BJ34">
        <f t="shared" si="23"/>
        <v>0</v>
      </c>
      <c r="BK34">
        <f t="shared" si="24"/>
        <v>0</v>
      </c>
      <c r="BL34">
        <f t="shared" si="25"/>
        <v>0</v>
      </c>
      <c r="BM34">
        <f t="shared" si="26"/>
        <v>0</v>
      </c>
      <c r="BN34">
        <f t="shared" si="27"/>
        <v>0</v>
      </c>
      <c r="BO34">
        <f t="shared" si="28"/>
        <v>0</v>
      </c>
      <c r="BP34">
        <f t="shared" si="29"/>
        <v>0</v>
      </c>
      <c r="BQ34">
        <f t="shared" si="30"/>
        <v>0</v>
      </c>
      <c r="BR34">
        <f t="shared" si="31"/>
        <v>0</v>
      </c>
      <c r="BS34">
        <f t="shared" si="32"/>
        <v>0</v>
      </c>
      <c r="BT34">
        <f t="shared" si="33"/>
        <v>0</v>
      </c>
      <c r="BU34">
        <f t="shared" si="34"/>
        <v>0</v>
      </c>
      <c r="BV34">
        <f t="shared" si="35"/>
        <v>0</v>
      </c>
      <c r="BW34">
        <f t="shared" si="36"/>
        <v>0</v>
      </c>
      <c r="BX34">
        <f t="shared" si="37"/>
        <v>0</v>
      </c>
      <c r="BY34">
        <f t="shared" si="38"/>
        <v>0</v>
      </c>
      <c r="BZ34">
        <f t="shared" si="39"/>
        <v>0</v>
      </c>
      <c r="CA34">
        <f t="shared" si="40"/>
        <v>0</v>
      </c>
      <c r="CB34">
        <f t="shared" si="41"/>
        <v>0</v>
      </c>
      <c r="CC34">
        <f t="shared" ca="1" si="42"/>
        <v>0</v>
      </c>
    </row>
    <row r="35" spans="1:81" ht="18.75" x14ac:dyDescent="0.2">
      <c r="A35" t="e">
        <f t="shared" si="0"/>
        <v>#REF!</v>
      </c>
      <c r="B35" t="str">
        <f t="shared" si="52"/>
        <v/>
      </c>
      <c r="C35" t="str">
        <f t="shared" si="52"/>
        <v/>
      </c>
      <c r="D35" t="str">
        <f t="shared" si="52"/>
        <v/>
      </c>
      <c r="E35" t="str">
        <f t="shared" si="52"/>
        <v/>
      </c>
      <c r="F35" t="str">
        <f t="shared" si="52"/>
        <v/>
      </c>
      <c r="G35" t="str">
        <f t="shared" si="52"/>
        <v/>
      </c>
      <c r="H35" t="str">
        <f t="shared" si="52"/>
        <v/>
      </c>
      <c r="I35" t="str">
        <f t="shared" si="52"/>
        <v/>
      </c>
      <c r="J35" t="str">
        <f t="shared" si="52"/>
        <v/>
      </c>
      <c r="K35" t="str">
        <f t="shared" si="52"/>
        <v/>
      </c>
      <c r="L35" t="str">
        <f t="shared" si="53"/>
        <v/>
      </c>
      <c r="M35" t="str">
        <f t="shared" si="53"/>
        <v/>
      </c>
      <c r="N35" t="str">
        <f t="shared" si="53"/>
        <v/>
      </c>
      <c r="O35" t="str">
        <f t="shared" si="53"/>
        <v/>
      </c>
      <c r="P35" t="str">
        <f t="shared" si="53"/>
        <v/>
      </c>
      <c r="Q35" t="str">
        <f t="shared" si="53"/>
        <v/>
      </c>
      <c r="R35" t="str">
        <f t="shared" si="53"/>
        <v/>
      </c>
      <c r="S35" t="str">
        <f t="shared" si="53"/>
        <v/>
      </c>
      <c r="T35" t="str">
        <f t="shared" si="53"/>
        <v/>
      </c>
      <c r="U35" t="str">
        <f t="shared" si="53"/>
        <v/>
      </c>
      <c r="V35" t="str">
        <f t="shared" si="54"/>
        <v/>
      </c>
      <c r="W35" t="str">
        <f t="shared" si="54"/>
        <v/>
      </c>
      <c r="X35" t="str">
        <f t="shared" si="54"/>
        <v/>
      </c>
      <c r="Y35" t="str">
        <f t="shared" si="54"/>
        <v/>
      </c>
      <c r="Z35" t="str">
        <f t="shared" si="54"/>
        <v/>
      </c>
      <c r="AA35" t="str">
        <f t="shared" si="54"/>
        <v/>
      </c>
      <c r="AB35" t="str">
        <f t="shared" si="54"/>
        <v/>
      </c>
      <c r="AC35" t="str">
        <f t="shared" si="54"/>
        <v/>
      </c>
      <c r="AD35" t="str">
        <f t="shared" si="54"/>
        <v/>
      </c>
      <c r="AE35" t="str">
        <f t="shared" si="54"/>
        <v/>
      </c>
      <c r="AF35" t="str">
        <f t="shared" si="55"/>
        <v/>
      </c>
      <c r="AG35" t="str">
        <f t="shared" si="55"/>
        <v/>
      </c>
      <c r="AH35" t="str">
        <f t="shared" si="55"/>
        <v/>
      </c>
      <c r="AI35" t="str">
        <f t="shared" si="55"/>
        <v/>
      </c>
      <c r="AJ35" t="str">
        <f t="shared" si="55"/>
        <v/>
      </c>
      <c r="AK35" t="str">
        <f t="shared" si="55"/>
        <v/>
      </c>
      <c r="AM35" s="22">
        <f t="shared" si="43"/>
        <v>0</v>
      </c>
      <c r="AP35">
        <v>33</v>
      </c>
      <c r="AQ35" s="33" t="str">
        <f>IFERROR(LOOKUP(2,1/(COUNTIF($AQ$1:AQ34,CountDSDs)=0),CountDSDs),"")</f>
        <v/>
      </c>
      <c r="AR35">
        <f t="shared" si="5"/>
        <v>0</v>
      </c>
      <c r="AS35">
        <f t="shared" si="6"/>
        <v>0</v>
      </c>
      <c r="AT35">
        <f t="shared" si="7"/>
        <v>0</v>
      </c>
      <c r="AU35">
        <f t="shared" si="8"/>
        <v>0</v>
      </c>
      <c r="AV35">
        <f t="shared" si="9"/>
        <v>0</v>
      </c>
      <c r="AW35">
        <f t="shared" si="10"/>
        <v>0</v>
      </c>
      <c r="AX35">
        <f t="shared" si="11"/>
        <v>0</v>
      </c>
      <c r="AY35">
        <f t="shared" si="12"/>
        <v>0</v>
      </c>
      <c r="AZ35">
        <f t="shared" si="13"/>
        <v>0</v>
      </c>
      <c r="BA35">
        <f t="shared" si="14"/>
        <v>0</v>
      </c>
      <c r="BB35">
        <f t="shared" si="15"/>
        <v>0</v>
      </c>
      <c r="BC35">
        <f t="shared" si="16"/>
        <v>0</v>
      </c>
      <c r="BD35">
        <f t="shared" si="17"/>
        <v>0</v>
      </c>
      <c r="BE35">
        <f t="shared" si="18"/>
        <v>0</v>
      </c>
      <c r="BF35">
        <f t="shared" si="19"/>
        <v>0</v>
      </c>
      <c r="BG35">
        <f t="shared" si="20"/>
        <v>0</v>
      </c>
      <c r="BH35">
        <f t="shared" si="21"/>
        <v>0</v>
      </c>
      <c r="BI35">
        <f t="shared" si="22"/>
        <v>0</v>
      </c>
      <c r="BJ35">
        <f t="shared" si="23"/>
        <v>0</v>
      </c>
      <c r="BK35">
        <f t="shared" si="24"/>
        <v>0</v>
      </c>
      <c r="BL35">
        <f t="shared" si="25"/>
        <v>0</v>
      </c>
      <c r="BM35">
        <f t="shared" si="26"/>
        <v>0</v>
      </c>
      <c r="BN35">
        <f t="shared" si="27"/>
        <v>0</v>
      </c>
      <c r="BO35">
        <f t="shared" si="28"/>
        <v>0</v>
      </c>
      <c r="BP35">
        <f t="shared" si="29"/>
        <v>0</v>
      </c>
      <c r="BQ35">
        <f t="shared" si="30"/>
        <v>0</v>
      </c>
      <c r="BR35">
        <f t="shared" si="31"/>
        <v>0</v>
      </c>
      <c r="BS35">
        <f t="shared" si="32"/>
        <v>0</v>
      </c>
      <c r="BT35">
        <f t="shared" si="33"/>
        <v>0</v>
      </c>
      <c r="BU35">
        <f t="shared" si="34"/>
        <v>0</v>
      </c>
      <c r="BV35">
        <f t="shared" si="35"/>
        <v>0</v>
      </c>
      <c r="BW35">
        <f t="shared" si="36"/>
        <v>0</v>
      </c>
      <c r="BX35">
        <f t="shared" si="37"/>
        <v>0</v>
      </c>
      <c r="BY35">
        <f t="shared" si="38"/>
        <v>0</v>
      </c>
      <c r="BZ35">
        <f t="shared" si="39"/>
        <v>0</v>
      </c>
      <c r="CA35">
        <f t="shared" si="40"/>
        <v>0</v>
      </c>
      <c r="CB35">
        <f t="shared" si="41"/>
        <v>0</v>
      </c>
      <c r="CC35">
        <f t="shared" ca="1" si="42"/>
        <v>0</v>
      </c>
    </row>
    <row r="36" spans="1:81" ht="18.75" x14ac:dyDescent="0.2">
      <c r="A36" t="e">
        <f t="shared" si="0"/>
        <v>#REF!</v>
      </c>
      <c r="B36" t="str">
        <f t="shared" si="52"/>
        <v/>
      </c>
      <c r="C36" t="str">
        <f t="shared" si="52"/>
        <v/>
      </c>
      <c r="D36" t="str">
        <f t="shared" si="52"/>
        <v/>
      </c>
      <c r="E36" t="str">
        <f t="shared" si="52"/>
        <v/>
      </c>
      <c r="F36" t="str">
        <f t="shared" si="52"/>
        <v/>
      </c>
      <c r="G36" t="str">
        <f t="shared" si="52"/>
        <v/>
      </c>
      <c r="H36" t="str">
        <f t="shared" si="52"/>
        <v/>
      </c>
      <c r="I36" t="str">
        <f t="shared" si="52"/>
        <v/>
      </c>
      <c r="J36" t="str">
        <f t="shared" si="52"/>
        <v/>
      </c>
      <c r="K36" t="str">
        <f t="shared" si="52"/>
        <v/>
      </c>
      <c r="L36" t="str">
        <f t="shared" si="53"/>
        <v/>
      </c>
      <c r="M36" t="str">
        <f t="shared" si="53"/>
        <v/>
      </c>
      <c r="N36" t="str">
        <f t="shared" si="53"/>
        <v/>
      </c>
      <c r="O36" t="str">
        <f t="shared" si="53"/>
        <v/>
      </c>
      <c r="P36" t="str">
        <f t="shared" si="53"/>
        <v/>
      </c>
      <c r="Q36" t="str">
        <f t="shared" si="53"/>
        <v/>
      </c>
      <c r="R36" t="str">
        <f t="shared" si="53"/>
        <v/>
      </c>
      <c r="S36" t="str">
        <f t="shared" si="53"/>
        <v/>
      </c>
      <c r="T36" t="str">
        <f t="shared" si="53"/>
        <v/>
      </c>
      <c r="U36" t="str">
        <f t="shared" si="53"/>
        <v/>
      </c>
      <c r="V36" t="str">
        <f t="shared" si="54"/>
        <v/>
      </c>
      <c r="W36" t="str">
        <f t="shared" si="54"/>
        <v/>
      </c>
      <c r="X36" t="str">
        <f t="shared" si="54"/>
        <v/>
      </c>
      <c r="Y36" t="str">
        <f t="shared" si="54"/>
        <v/>
      </c>
      <c r="Z36" t="str">
        <f t="shared" si="54"/>
        <v/>
      </c>
      <c r="AA36" t="str">
        <f t="shared" si="54"/>
        <v/>
      </c>
      <c r="AB36" t="str">
        <f t="shared" si="54"/>
        <v/>
      </c>
      <c r="AC36" t="str">
        <f t="shared" si="54"/>
        <v/>
      </c>
      <c r="AD36" t="str">
        <f t="shared" si="54"/>
        <v/>
      </c>
      <c r="AE36" t="str">
        <f t="shared" si="54"/>
        <v/>
      </c>
      <c r="AF36" t="str">
        <f t="shared" si="55"/>
        <v/>
      </c>
      <c r="AG36" t="str">
        <f t="shared" si="55"/>
        <v/>
      </c>
      <c r="AH36" t="str">
        <f t="shared" si="55"/>
        <v/>
      </c>
      <c r="AI36" t="str">
        <f t="shared" si="55"/>
        <v/>
      </c>
      <c r="AJ36" t="str">
        <f t="shared" si="55"/>
        <v/>
      </c>
      <c r="AK36" t="str">
        <f t="shared" si="55"/>
        <v/>
      </c>
      <c r="AM36" s="22">
        <f t="shared" si="43"/>
        <v>0</v>
      </c>
      <c r="AP36">
        <v>34</v>
      </c>
      <c r="AQ36" s="33" t="str">
        <f>IFERROR(LOOKUP(2,1/(COUNTIF($AQ$1:AQ35,CountDSDs)=0),CountDSDs),"")</f>
        <v/>
      </c>
      <c r="AR36">
        <f t="shared" si="5"/>
        <v>0</v>
      </c>
      <c r="AS36">
        <f t="shared" si="6"/>
        <v>0</v>
      </c>
      <c r="AT36">
        <f t="shared" si="7"/>
        <v>0</v>
      </c>
      <c r="AU36">
        <f t="shared" si="8"/>
        <v>0</v>
      </c>
      <c r="AV36">
        <f t="shared" si="9"/>
        <v>0</v>
      </c>
      <c r="AW36">
        <f t="shared" si="10"/>
        <v>0</v>
      </c>
      <c r="AX36">
        <f t="shared" si="11"/>
        <v>0</v>
      </c>
      <c r="AY36">
        <f t="shared" si="12"/>
        <v>0</v>
      </c>
      <c r="AZ36">
        <f t="shared" si="13"/>
        <v>0</v>
      </c>
      <c r="BA36">
        <f t="shared" si="14"/>
        <v>0</v>
      </c>
      <c r="BB36">
        <f t="shared" si="15"/>
        <v>0</v>
      </c>
      <c r="BC36">
        <f t="shared" si="16"/>
        <v>0</v>
      </c>
      <c r="BD36">
        <f t="shared" si="17"/>
        <v>0</v>
      </c>
      <c r="BE36">
        <f t="shared" si="18"/>
        <v>0</v>
      </c>
      <c r="BF36">
        <f t="shared" si="19"/>
        <v>0</v>
      </c>
      <c r="BG36">
        <f t="shared" si="20"/>
        <v>0</v>
      </c>
      <c r="BH36">
        <f t="shared" si="21"/>
        <v>0</v>
      </c>
      <c r="BI36">
        <f t="shared" si="22"/>
        <v>0</v>
      </c>
      <c r="BJ36">
        <f t="shared" si="23"/>
        <v>0</v>
      </c>
      <c r="BK36">
        <f t="shared" si="24"/>
        <v>0</v>
      </c>
      <c r="BL36">
        <f t="shared" si="25"/>
        <v>0</v>
      </c>
      <c r="BM36">
        <f t="shared" si="26"/>
        <v>0</v>
      </c>
      <c r="BN36">
        <f t="shared" si="27"/>
        <v>0</v>
      </c>
      <c r="BO36">
        <f t="shared" si="28"/>
        <v>0</v>
      </c>
      <c r="BP36">
        <f t="shared" si="29"/>
        <v>0</v>
      </c>
      <c r="BQ36">
        <f t="shared" si="30"/>
        <v>0</v>
      </c>
      <c r="BR36">
        <f t="shared" si="31"/>
        <v>0</v>
      </c>
      <c r="BS36">
        <f t="shared" si="32"/>
        <v>0</v>
      </c>
      <c r="BT36">
        <f t="shared" si="33"/>
        <v>0</v>
      </c>
      <c r="BU36">
        <f t="shared" si="34"/>
        <v>0</v>
      </c>
      <c r="BV36">
        <f t="shared" si="35"/>
        <v>0</v>
      </c>
      <c r="BW36">
        <f t="shared" si="36"/>
        <v>0</v>
      </c>
      <c r="BX36">
        <f t="shared" si="37"/>
        <v>0</v>
      </c>
      <c r="BY36">
        <f t="shared" si="38"/>
        <v>0</v>
      </c>
      <c r="BZ36">
        <f t="shared" si="39"/>
        <v>0</v>
      </c>
      <c r="CA36">
        <f t="shared" si="40"/>
        <v>0</v>
      </c>
      <c r="CB36">
        <f t="shared" si="41"/>
        <v>0</v>
      </c>
      <c r="CC36">
        <f t="shared" ca="1" si="42"/>
        <v>0</v>
      </c>
    </row>
    <row r="37" spans="1:81" ht="18.75" x14ac:dyDescent="0.2">
      <c r="A37" t="e">
        <f t="shared" si="0"/>
        <v>#REF!</v>
      </c>
      <c r="B37" t="str">
        <f t="shared" si="52"/>
        <v/>
      </c>
      <c r="C37" t="str">
        <f t="shared" si="52"/>
        <v/>
      </c>
      <c r="D37" t="str">
        <f t="shared" si="52"/>
        <v/>
      </c>
      <c r="E37" t="str">
        <f t="shared" si="52"/>
        <v/>
      </c>
      <c r="F37" t="str">
        <f t="shared" si="52"/>
        <v/>
      </c>
      <c r="G37" t="str">
        <f t="shared" si="52"/>
        <v/>
      </c>
      <c r="H37" t="str">
        <f t="shared" si="52"/>
        <v/>
      </c>
      <c r="I37" t="str">
        <f t="shared" si="52"/>
        <v/>
      </c>
      <c r="J37" t="str">
        <f t="shared" si="52"/>
        <v/>
      </c>
      <c r="K37" t="str">
        <f t="shared" si="52"/>
        <v/>
      </c>
      <c r="L37" t="str">
        <f t="shared" si="53"/>
        <v/>
      </c>
      <c r="M37" t="str">
        <f t="shared" si="53"/>
        <v/>
      </c>
      <c r="N37" t="str">
        <f t="shared" si="53"/>
        <v/>
      </c>
      <c r="O37" t="str">
        <f t="shared" si="53"/>
        <v/>
      </c>
      <c r="P37" t="str">
        <f t="shared" si="53"/>
        <v/>
      </c>
      <c r="Q37" t="str">
        <f t="shared" si="53"/>
        <v/>
      </c>
      <c r="R37" t="str">
        <f t="shared" si="53"/>
        <v/>
      </c>
      <c r="S37" t="str">
        <f t="shared" si="53"/>
        <v/>
      </c>
      <c r="T37" t="str">
        <f t="shared" si="53"/>
        <v/>
      </c>
      <c r="U37" t="str">
        <f t="shared" si="53"/>
        <v/>
      </c>
      <c r="V37" t="str">
        <f t="shared" si="54"/>
        <v/>
      </c>
      <c r="W37" t="str">
        <f t="shared" si="54"/>
        <v/>
      </c>
      <c r="X37" t="str">
        <f t="shared" si="54"/>
        <v/>
      </c>
      <c r="Y37" t="str">
        <f t="shared" si="54"/>
        <v/>
      </c>
      <c r="Z37" t="str">
        <f t="shared" si="54"/>
        <v/>
      </c>
      <c r="AA37" t="str">
        <f t="shared" si="54"/>
        <v/>
      </c>
      <c r="AB37" t="str">
        <f t="shared" si="54"/>
        <v/>
      </c>
      <c r="AC37" t="str">
        <f t="shared" si="54"/>
        <v/>
      </c>
      <c r="AD37" t="str">
        <f t="shared" si="54"/>
        <v/>
      </c>
      <c r="AE37" t="str">
        <f t="shared" si="54"/>
        <v/>
      </c>
      <c r="AF37" t="str">
        <f t="shared" si="55"/>
        <v/>
      </c>
      <c r="AG37" t="str">
        <f t="shared" si="55"/>
        <v/>
      </c>
      <c r="AH37" t="str">
        <f t="shared" si="55"/>
        <v/>
      </c>
      <c r="AI37" t="str">
        <f t="shared" si="55"/>
        <v/>
      </c>
      <c r="AJ37" t="str">
        <f t="shared" si="55"/>
        <v/>
      </c>
      <c r="AK37" t="str">
        <f t="shared" si="55"/>
        <v/>
      </c>
      <c r="AM37" s="22">
        <f t="shared" si="43"/>
        <v>0</v>
      </c>
      <c r="AQ37" s="33" t="str">
        <f>IFERROR(LOOKUP(2,1/(COUNTIF($AQ$1:AQ36,CountDSDs)=0),CountDSDs),"")</f>
        <v/>
      </c>
    </row>
    <row r="38" spans="1:81" ht="18.75" x14ac:dyDescent="0.2">
      <c r="A38" t="e">
        <f t="shared" si="0"/>
        <v>#REF!</v>
      </c>
      <c r="B38" t="str">
        <f t="shared" si="52"/>
        <v/>
      </c>
      <c r="C38" t="str">
        <f t="shared" si="52"/>
        <v/>
      </c>
      <c r="D38" t="str">
        <f t="shared" si="52"/>
        <v/>
      </c>
      <c r="E38" t="str">
        <f t="shared" si="52"/>
        <v/>
      </c>
      <c r="F38" t="str">
        <f t="shared" si="52"/>
        <v/>
      </c>
      <c r="G38" t="str">
        <f t="shared" si="52"/>
        <v/>
      </c>
      <c r="H38" t="str">
        <f t="shared" si="52"/>
        <v/>
      </c>
      <c r="I38" t="str">
        <f t="shared" si="52"/>
        <v/>
      </c>
      <c r="J38" t="str">
        <f t="shared" si="52"/>
        <v/>
      </c>
      <c r="K38" t="str">
        <f t="shared" si="52"/>
        <v/>
      </c>
      <c r="L38" t="str">
        <f t="shared" si="53"/>
        <v/>
      </c>
      <c r="M38" t="str">
        <f t="shared" si="53"/>
        <v/>
      </c>
      <c r="N38" t="str">
        <f t="shared" si="53"/>
        <v/>
      </c>
      <c r="O38" t="str">
        <f t="shared" si="53"/>
        <v/>
      </c>
      <c r="P38" t="str">
        <f t="shared" si="53"/>
        <v/>
      </c>
      <c r="Q38" t="str">
        <f t="shared" si="53"/>
        <v/>
      </c>
      <c r="R38" t="str">
        <f t="shared" si="53"/>
        <v/>
      </c>
      <c r="S38" t="str">
        <f t="shared" si="53"/>
        <v/>
      </c>
      <c r="T38" t="str">
        <f t="shared" si="53"/>
        <v/>
      </c>
      <c r="U38" t="str">
        <f t="shared" si="53"/>
        <v/>
      </c>
      <c r="V38" t="str">
        <f t="shared" si="54"/>
        <v/>
      </c>
      <c r="W38" t="str">
        <f t="shared" si="54"/>
        <v/>
      </c>
      <c r="X38" t="str">
        <f t="shared" si="54"/>
        <v/>
      </c>
      <c r="Y38" t="str">
        <f t="shared" si="54"/>
        <v/>
      </c>
      <c r="Z38" t="str">
        <f t="shared" si="54"/>
        <v/>
      </c>
      <c r="AA38" t="str">
        <f t="shared" si="54"/>
        <v/>
      </c>
      <c r="AB38" t="str">
        <f t="shared" si="54"/>
        <v/>
      </c>
      <c r="AC38" t="str">
        <f t="shared" si="54"/>
        <v/>
      </c>
      <c r="AD38" t="str">
        <f t="shared" si="54"/>
        <v/>
      </c>
      <c r="AE38" t="str">
        <f t="shared" si="54"/>
        <v/>
      </c>
      <c r="AF38" t="str">
        <f t="shared" si="55"/>
        <v/>
      </c>
      <c r="AG38" t="str">
        <f t="shared" si="55"/>
        <v/>
      </c>
      <c r="AH38" t="str">
        <f t="shared" si="55"/>
        <v/>
      </c>
      <c r="AI38" t="str">
        <f t="shared" si="55"/>
        <v/>
      </c>
      <c r="AJ38" t="str">
        <f t="shared" si="55"/>
        <v/>
      </c>
      <c r="AK38" t="str">
        <f t="shared" si="55"/>
        <v/>
      </c>
      <c r="AM38" s="22">
        <f t="shared" si="43"/>
        <v>0</v>
      </c>
      <c r="AQ38" s="33" t="str">
        <f>IFERROR(LOOKUP(2,1/(COUNTIF($AQ$1:AQ37,CountDSDs)=0),CountDSDs),"")</f>
        <v/>
      </c>
    </row>
    <row r="39" spans="1:81" ht="18.75" x14ac:dyDescent="0.2">
      <c r="A39" t="e">
        <f t="shared" si="0"/>
        <v>#REF!</v>
      </c>
      <c r="B39" t="str">
        <f t="shared" si="52"/>
        <v/>
      </c>
      <c r="C39" t="str">
        <f t="shared" si="52"/>
        <v/>
      </c>
      <c r="D39" t="str">
        <f t="shared" si="52"/>
        <v/>
      </c>
      <c r="E39" t="str">
        <f t="shared" si="52"/>
        <v/>
      </c>
      <c r="F39" t="str">
        <f t="shared" si="52"/>
        <v/>
      </c>
      <c r="G39" t="str">
        <f t="shared" si="52"/>
        <v/>
      </c>
      <c r="H39" t="str">
        <f t="shared" si="52"/>
        <v/>
      </c>
      <c r="I39" t="str">
        <f t="shared" si="52"/>
        <v/>
      </c>
      <c r="J39" t="str">
        <f t="shared" si="52"/>
        <v/>
      </c>
      <c r="K39" t="str">
        <f t="shared" si="52"/>
        <v/>
      </c>
      <c r="L39" t="str">
        <f t="shared" si="53"/>
        <v/>
      </c>
      <c r="M39" t="str">
        <f t="shared" si="53"/>
        <v/>
      </c>
      <c r="N39" t="str">
        <f t="shared" si="53"/>
        <v/>
      </c>
      <c r="O39" t="str">
        <f t="shared" si="53"/>
        <v/>
      </c>
      <c r="P39" t="str">
        <f t="shared" si="53"/>
        <v/>
      </c>
      <c r="Q39" t="str">
        <f t="shared" si="53"/>
        <v/>
      </c>
      <c r="R39" t="str">
        <f t="shared" si="53"/>
        <v/>
      </c>
      <c r="S39" t="str">
        <f t="shared" si="53"/>
        <v/>
      </c>
      <c r="T39" t="str">
        <f t="shared" si="53"/>
        <v/>
      </c>
      <c r="U39" t="str">
        <f t="shared" si="53"/>
        <v/>
      </c>
      <c r="V39" t="str">
        <f t="shared" si="54"/>
        <v/>
      </c>
      <c r="W39" t="str">
        <f t="shared" si="54"/>
        <v/>
      </c>
      <c r="X39" t="str">
        <f t="shared" si="54"/>
        <v/>
      </c>
      <c r="Y39" t="str">
        <f t="shared" si="54"/>
        <v/>
      </c>
      <c r="Z39" t="str">
        <f t="shared" si="54"/>
        <v/>
      </c>
      <c r="AA39" t="str">
        <f t="shared" si="54"/>
        <v/>
      </c>
      <c r="AB39" t="str">
        <f t="shared" si="54"/>
        <v/>
      </c>
      <c r="AC39" t="str">
        <f t="shared" si="54"/>
        <v/>
      </c>
      <c r="AD39" t="str">
        <f t="shared" si="54"/>
        <v/>
      </c>
      <c r="AE39" t="str">
        <f t="shared" si="54"/>
        <v/>
      </c>
      <c r="AF39" t="str">
        <f t="shared" si="55"/>
        <v/>
      </c>
      <c r="AG39" t="str">
        <f t="shared" si="55"/>
        <v/>
      </c>
      <c r="AH39" t="str">
        <f t="shared" si="55"/>
        <v/>
      </c>
      <c r="AI39" t="str">
        <f t="shared" si="55"/>
        <v/>
      </c>
      <c r="AJ39" t="str">
        <f t="shared" si="55"/>
        <v/>
      </c>
      <c r="AK39" t="str">
        <f t="shared" si="55"/>
        <v/>
      </c>
      <c r="AM39" s="22">
        <f t="shared" si="43"/>
        <v>0</v>
      </c>
      <c r="AQ39" s="33" t="str">
        <f>IFERROR(LOOKUP(2,1/(COUNTIF($AQ$1:AQ38,CountDSDs)=0),CountDSDs),"")</f>
        <v/>
      </c>
    </row>
    <row r="40" spans="1:81" ht="18.75" x14ac:dyDescent="0.2">
      <c r="A40" t="e">
        <f t="shared" si="0"/>
        <v>#REF!</v>
      </c>
      <c r="B40" t="str">
        <f t="shared" si="52"/>
        <v/>
      </c>
      <c r="C40" t="str">
        <f t="shared" si="52"/>
        <v/>
      </c>
      <c r="D40" t="str">
        <f t="shared" si="52"/>
        <v/>
      </c>
      <c r="E40" t="str">
        <f t="shared" si="52"/>
        <v/>
      </c>
      <c r="F40" t="str">
        <f t="shared" si="52"/>
        <v/>
      </c>
      <c r="G40" t="str">
        <f t="shared" si="52"/>
        <v/>
      </c>
      <c r="H40" t="str">
        <f t="shared" si="52"/>
        <v/>
      </c>
      <c r="I40" t="str">
        <f t="shared" si="52"/>
        <v/>
      </c>
      <c r="J40" t="str">
        <f t="shared" si="52"/>
        <v/>
      </c>
      <c r="K40" t="str">
        <f t="shared" si="52"/>
        <v/>
      </c>
      <c r="L40" t="str">
        <f t="shared" si="53"/>
        <v/>
      </c>
      <c r="M40" t="str">
        <f t="shared" si="53"/>
        <v/>
      </c>
      <c r="N40" t="str">
        <f t="shared" si="53"/>
        <v/>
      </c>
      <c r="O40" t="str">
        <f t="shared" si="53"/>
        <v/>
      </c>
      <c r="P40" t="str">
        <f t="shared" si="53"/>
        <v/>
      </c>
      <c r="Q40" t="str">
        <f t="shared" si="53"/>
        <v/>
      </c>
      <c r="R40" t="str">
        <f t="shared" si="53"/>
        <v/>
      </c>
      <c r="S40" t="str">
        <f t="shared" si="53"/>
        <v/>
      </c>
      <c r="T40" t="str">
        <f t="shared" si="53"/>
        <v/>
      </c>
      <c r="U40" t="str">
        <f t="shared" si="53"/>
        <v/>
      </c>
      <c r="V40" t="str">
        <f t="shared" si="54"/>
        <v/>
      </c>
      <c r="W40" t="str">
        <f t="shared" si="54"/>
        <v/>
      </c>
      <c r="X40" t="str">
        <f t="shared" si="54"/>
        <v/>
      </c>
      <c r="Y40" t="str">
        <f t="shared" si="54"/>
        <v/>
      </c>
      <c r="Z40" t="str">
        <f t="shared" si="54"/>
        <v/>
      </c>
      <c r="AA40" t="str">
        <f t="shared" si="54"/>
        <v/>
      </c>
      <c r="AB40" t="str">
        <f t="shared" si="54"/>
        <v/>
      </c>
      <c r="AC40" t="str">
        <f t="shared" si="54"/>
        <v/>
      </c>
      <c r="AD40" t="str">
        <f t="shared" si="54"/>
        <v/>
      </c>
      <c r="AE40" t="str">
        <f t="shared" si="54"/>
        <v/>
      </c>
      <c r="AF40" t="str">
        <f t="shared" si="55"/>
        <v/>
      </c>
      <c r="AG40" t="str">
        <f t="shared" si="55"/>
        <v/>
      </c>
      <c r="AH40" t="str">
        <f t="shared" si="55"/>
        <v/>
      </c>
      <c r="AI40" t="str">
        <f t="shared" si="55"/>
        <v/>
      </c>
      <c r="AJ40" t="str">
        <f t="shared" si="55"/>
        <v/>
      </c>
      <c r="AK40" t="str">
        <f t="shared" si="55"/>
        <v/>
      </c>
      <c r="AM40" s="22">
        <f t="shared" si="43"/>
        <v>0</v>
      </c>
      <c r="AQ40" s="33" t="str">
        <f>IFERROR(LOOKUP(2,1/(COUNTIF($AQ$1:AQ39,CountDSDs)=0),CountDSDs),"")</f>
        <v/>
      </c>
    </row>
    <row r="41" spans="1:81" ht="18.75" x14ac:dyDescent="0.2">
      <c r="A41" t="e">
        <f t="shared" si="0"/>
        <v>#REF!</v>
      </c>
      <c r="B41" t="str">
        <f t="shared" si="52"/>
        <v/>
      </c>
      <c r="C41" t="str">
        <f t="shared" si="52"/>
        <v/>
      </c>
      <c r="D41" t="str">
        <f t="shared" si="52"/>
        <v/>
      </c>
      <c r="E41" t="str">
        <f t="shared" si="52"/>
        <v/>
      </c>
      <c r="F41" t="str">
        <f t="shared" si="52"/>
        <v/>
      </c>
      <c r="G41" t="str">
        <f t="shared" si="52"/>
        <v/>
      </c>
      <c r="H41" t="str">
        <f t="shared" si="52"/>
        <v/>
      </c>
      <c r="I41" t="str">
        <f t="shared" si="52"/>
        <v/>
      </c>
      <c r="J41" t="str">
        <f t="shared" si="52"/>
        <v/>
      </c>
      <c r="K41" t="str">
        <f t="shared" si="52"/>
        <v/>
      </c>
      <c r="L41" t="str">
        <f t="shared" si="53"/>
        <v/>
      </c>
      <c r="M41" t="str">
        <f t="shared" si="53"/>
        <v/>
      </c>
      <c r="N41" t="str">
        <f t="shared" si="53"/>
        <v/>
      </c>
      <c r="O41" t="str">
        <f t="shared" si="53"/>
        <v/>
      </c>
      <c r="P41" t="str">
        <f t="shared" si="53"/>
        <v/>
      </c>
      <c r="Q41" t="str">
        <f t="shared" si="53"/>
        <v/>
      </c>
      <c r="R41" t="str">
        <f t="shared" si="53"/>
        <v/>
      </c>
      <c r="S41" t="str">
        <f t="shared" si="53"/>
        <v/>
      </c>
      <c r="T41" t="str">
        <f t="shared" si="53"/>
        <v/>
      </c>
      <c r="U41" t="str">
        <f t="shared" si="53"/>
        <v/>
      </c>
      <c r="V41" t="str">
        <f t="shared" si="54"/>
        <v/>
      </c>
      <c r="W41" t="str">
        <f t="shared" si="54"/>
        <v/>
      </c>
      <c r="X41" t="str">
        <f t="shared" si="54"/>
        <v/>
      </c>
      <c r="Y41" t="str">
        <f t="shared" si="54"/>
        <v/>
      </c>
      <c r="Z41" t="str">
        <f t="shared" si="54"/>
        <v/>
      </c>
      <c r="AA41" t="str">
        <f t="shared" si="54"/>
        <v/>
      </c>
      <c r="AB41" t="str">
        <f t="shared" si="54"/>
        <v/>
      </c>
      <c r="AC41" t="str">
        <f t="shared" si="54"/>
        <v/>
      </c>
      <c r="AD41" t="str">
        <f t="shared" si="54"/>
        <v/>
      </c>
      <c r="AE41" t="str">
        <f t="shared" si="54"/>
        <v/>
      </c>
      <c r="AF41" t="str">
        <f t="shared" si="55"/>
        <v/>
      </c>
      <c r="AG41" t="str">
        <f t="shared" si="55"/>
        <v/>
      </c>
      <c r="AH41" t="str">
        <f t="shared" si="55"/>
        <v/>
      </c>
      <c r="AI41" t="str">
        <f t="shared" si="55"/>
        <v/>
      </c>
      <c r="AJ41" t="str">
        <f t="shared" si="55"/>
        <v/>
      </c>
      <c r="AK41" t="str">
        <f t="shared" si="55"/>
        <v/>
      </c>
      <c r="AM41" s="22">
        <f t="shared" si="43"/>
        <v>0</v>
      </c>
      <c r="AQ41" s="33" t="str">
        <f>IFERROR(LOOKUP(2,1/(COUNTIF($AQ$1:AQ40,CountDSDs)=0),CountDSDs),"")</f>
        <v/>
      </c>
    </row>
    <row r="42" spans="1:81" ht="18.75" x14ac:dyDescent="0.2">
      <c r="A42" t="e">
        <f t="shared" si="0"/>
        <v>#REF!</v>
      </c>
      <c r="B42" t="str">
        <f t="shared" ref="B42:K48" si="56">IFERROR(IF(INDEX(ConDimVals,ROW(A41),COLUMN(A41))="",0,1),"")</f>
        <v/>
      </c>
      <c r="C42" t="str">
        <f t="shared" si="56"/>
        <v/>
      </c>
      <c r="D42" t="str">
        <f t="shared" si="56"/>
        <v/>
      </c>
      <c r="E42" t="str">
        <f t="shared" si="56"/>
        <v/>
      </c>
      <c r="F42" t="str">
        <f t="shared" si="56"/>
        <v/>
      </c>
      <c r="G42" t="str">
        <f t="shared" si="56"/>
        <v/>
      </c>
      <c r="H42" t="str">
        <f t="shared" si="56"/>
        <v/>
      </c>
      <c r="I42" t="str">
        <f t="shared" si="56"/>
        <v/>
      </c>
      <c r="J42" t="str">
        <f t="shared" si="56"/>
        <v/>
      </c>
      <c r="K42" t="str">
        <f t="shared" si="56"/>
        <v/>
      </c>
      <c r="L42" t="str">
        <f t="shared" ref="L42:U48" si="57">IFERROR(IF(INDEX(ConDimVals,ROW(K41),COLUMN(K41))="",0,1),"")</f>
        <v/>
      </c>
      <c r="M42" t="str">
        <f t="shared" si="57"/>
        <v/>
      </c>
      <c r="N42" t="str">
        <f t="shared" si="57"/>
        <v/>
      </c>
      <c r="O42" t="str">
        <f t="shared" si="57"/>
        <v/>
      </c>
      <c r="P42" t="str">
        <f t="shared" si="57"/>
        <v/>
      </c>
      <c r="Q42" t="str">
        <f t="shared" si="57"/>
        <v/>
      </c>
      <c r="R42" t="str">
        <f t="shared" si="57"/>
        <v/>
      </c>
      <c r="S42" t="str">
        <f t="shared" si="57"/>
        <v/>
      </c>
      <c r="T42" t="str">
        <f t="shared" si="57"/>
        <v/>
      </c>
      <c r="U42" t="str">
        <f t="shared" si="57"/>
        <v/>
      </c>
      <c r="V42" t="str">
        <f t="shared" ref="V42:AE48" si="58">IFERROR(IF(INDEX(ConDimVals,ROW(U41),COLUMN(U41))="",0,1),"")</f>
        <v/>
      </c>
      <c r="W42" t="str">
        <f t="shared" si="58"/>
        <v/>
      </c>
      <c r="X42" t="str">
        <f t="shared" si="58"/>
        <v/>
      </c>
      <c r="Y42" t="str">
        <f t="shared" si="58"/>
        <v/>
      </c>
      <c r="Z42" t="str">
        <f t="shared" si="58"/>
        <v/>
      </c>
      <c r="AA42" t="str">
        <f t="shared" si="58"/>
        <v/>
      </c>
      <c r="AB42" t="str">
        <f t="shared" si="58"/>
        <v/>
      </c>
      <c r="AC42" t="str">
        <f t="shared" si="58"/>
        <v/>
      </c>
      <c r="AD42" t="str">
        <f t="shared" si="58"/>
        <v/>
      </c>
      <c r="AE42" t="str">
        <f t="shared" si="58"/>
        <v/>
      </c>
      <c r="AF42" t="str">
        <f t="shared" ref="AF42:AK48" si="59">IFERROR(IF(INDEX(ConDimVals,ROW(AE41),COLUMN(AE41))="",0,1),"")</f>
        <v/>
      </c>
      <c r="AG42" t="str">
        <f t="shared" si="59"/>
        <v/>
      </c>
      <c r="AH42" t="str">
        <f t="shared" si="59"/>
        <v/>
      </c>
      <c r="AI42" t="str">
        <f t="shared" si="59"/>
        <v/>
      </c>
      <c r="AJ42" t="str">
        <f t="shared" si="59"/>
        <v/>
      </c>
      <c r="AK42" t="str">
        <f t="shared" si="59"/>
        <v/>
      </c>
      <c r="AM42" s="22">
        <f t="shared" si="43"/>
        <v>0</v>
      </c>
      <c r="AQ42" s="33" t="str">
        <f>IFERROR(LOOKUP(2,1/(COUNTIF($AQ$1:AQ41,CountDSDs)=0),CountDSDs),"")</f>
        <v/>
      </c>
    </row>
    <row r="43" spans="1:81" ht="18.75" x14ac:dyDescent="0.2">
      <c r="A43" t="e">
        <f t="shared" si="0"/>
        <v>#REF!</v>
      </c>
      <c r="B43" t="str">
        <f t="shared" si="56"/>
        <v/>
      </c>
      <c r="C43" t="str">
        <f t="shared" si="56"/>
        <v/>
      </c>
      <c r="D43" t="str">
        <f t="shared" si="56"/>
        <v/>
      </c>
      <c r="E43" t="str">
        <f t="shared" si="56"/>
        <v/>
      </c>
      <c r="F43" t="str">
        <f t="shared" si="56"/>
        <v/>
      </c>
      <c r="G43" t="str">
        <f t="shared" si="56"/>
        <v/>
      </c>
      <c r="H43" t="str">
        <f t="shared" si="56"/>
        <v/>
      </c>
      <c r="I43" t="str">
        <f t="shared" si="56"/>
        <v/>
      </c>
      <c r="J43" t="str">
        <f t="shared" si="56"/>
        <v/>
      </c>
      <c r="K43" t="str">
        <f t="shared" si="56"/>
        <v/>
      </c>
      <c r="L43" t="str">
        <f t="shared" si="57"/>
        <v/>
      </c>
      <c r="M43" t="str">
        <f t="shared" si="57"/>
        <v/>
      </c>
      <c r="N43" t="str">
        <f t="shared" si="57"/>
        <v/>
      </c>
      <c r="O43" t="str">
        <f t="shared" si="57"/>
        <v/>
      </c>
      <c r="P43" t="str">
        <f t="shared" si="57"/>
        <v/>
      </c>
      <c r="Q43" t="str">
        <f t="shared" si="57"/>
        <v/>
      </c>
      <c r="R43" t="str">
        <f t="shared" si="57"/>
        <v/>
      </c>
      <c r="S43" t="str">
        <f t="shared" si="57"/>
        <v/>
      </c>
      <c r="T43" t="str">
        <f t="shared" si="57"/>
        <v/>
      </c>
      <c r="U43" t="str">
        <f t="shared" si="57"/>
        <v/>
      </c>
      <c r="V43" t="str">
        <f t="shared" si="58"/>
        <v/>
      </c>
      <c r="W43" t="str">
        <f t="shared" si="58"/>
        <v/>
      </c>
      <c r="X43" t="str">
        <f t="shared" si="58"/>
        <v/>
      </c>
      <c r="Y43" t="str">
        <f t="shared" si="58"/>
        <v/>
      </c>
      <c r="Z43" t="str">
        <f t="shared" si="58"/>
        <v/>
      </c>
      <c r="AA43" t="str">
        <f t="shared" si="58"/>
        <v/>
      </c>
      <c r="AB43" t="str">
        <f t="shared" si="58"/>
        <v/>
      </c>
      <c r="AC43" t="str">
        <f t="shared" si="58"/>
        <v/>
      </c>
      <c r="AD43" t="str">
        <f t="shared" si="58"/>
        <v/>
      </c>
      <c r="AE43" t="str">
        <f t="shared" si="58"/>
        <v/>
      </c>
      <c r="AF43" t="str">
        <f t="shared" si="59"/>
        <v/>
      </c>
      <c r="AG43" t="str">
        <f t="shared" si="59"/>
        <v/>
      </c>
      <c r="AH43" t="str">
        <f t="shared" si="59"/>
        <v/>
      </c>
      <c r="AI43" t="str">
        <f t="shared" si="59"/>
        <v/>
      </c>
      <c r="AJ43" t="str">
        <f t="shared" si="59"/>
        <v/>
      </c>
      <c r="AK43" t="str">
        <f t="shared" si="59"/>
        <v/>
      </c>
      <c r="AM43" s="22">
        <f t="shared" si="43"/>
        <v>0</v>
      </c>
      <c r="AQ43" s="33" t="str">
        <f>IFERROR(LOOKUP(2,1/(COUNTIF($AQ$1:AQ42,CountDSDs)=0),CountDSDs),"")</f>
        <v/>
      </c>
    </row>
    <row r="44" spans="1:81" ht="18.75" x14ac:dyDescent="0.2">
      <c r="A44" t="e">
        <f t="shared" si="0"/>
        <v>#REF!</v>
      </c>
      <c r="B44" t="str">
        <f t="shared" si="56"/>
        <v/>
      </c>
      <c r="C44" t="str">
        <f t="shared" si="56"/>
        <v/>
      </c>
      <c r="D44" t="str">
        <f t="shared" si="56"/>
        <v/>
      </c>
      <c r="E44" t="str">
        <f t="shared" si="56"/>
        <v/>
      </c>
      <c r="F44" t="str">
        <f t="shared" si="56"/>
        <v/>
      </c>
      <c r="G44" t="str">
        <f t="shared" si="56"/>
        <v/>
      </c>
      <c r="H44" t="str">
        <f t="shared" si="56"/>
        <v/>
      </c>
      <c r="I44" t="str">
        <f t="shared" si="56"/>
        <v/>
      </c>
      <c r="J44" t="str">
        <f t="shared" si="56"/>
        <v/>
      </c>
      <c r="K44" t="str">
        <f t="shared" si="56"/>
        <v/>
      </c>
      <c r="L44" t="str">
        <f t="shared" si="57"/>
        <v/>
      </c>
      <c r="M44" t="str">
        <f t="shared" si="57"/>
        <v/>
      </c>
      <c r="N44" t="str">
        <f t="shared" si="57"/>
        <v/>
      </c>
      <c r="O44" t="str">
        <f t="shared" si="57"/>
        <v/>
      </c>
      <c r="P44" t="str">
        <f t="shared" si="57"/>
        <v/>
      </c>
      <c r="Q44" t="str">
        <f t="shared" si="57"/>
        <v/>
      </c>
      <c r="R44" t="str">
        <f t="shared" si="57"/>
        <v/>
      </c>
      <c r="S44" t="str">
        <f t="shared" si="57"/>
        <v/>
      </c>
      <c r="T44" t="str">
        <f t="shared" si="57"/>
        <v/>
      </c>
      <c r="U44" t="str">
        <f t="shared" si="57"/>
        <v/>
      </c>
      <c r="V44" t="str">
        <f t="shared" si="58"/>
        <v/>
      </c>
      <c r="W44" t="str">
        <f t="shared" si="58"/>
        <v/>
      </c>
      <c r="X44" t="str">
        <f t="shared" si="58"/>
        <v/>
      </c>
      <c r="Y44" t="str">
        <f t="shared" si="58"/>
        <v/>
      </c>
      <c r="Z44" t="str">
        <f t="shared" si="58"/>
        <v/>
      </c>
      <c r="AA44" t="str">
        <f t="shared" si="58"/>
        <v/>
      </c>
      <c r="AB44" t="str">
        <f t="shared" si="58"/>
        <v/>
      </c>
      <c r="AC44" t="str">
        <f t="shared" si="58"/>
        <v/>
      </c>
      <c r="AD44" t="str">
        <f t="shared" si="58"/>
        <v/>
      </c>
      <c r="AE44" t="str">
        <f t="shared" si="58"/>
        <v/>
      </c>
      <c r="AF44" t="str">
        <f t="shared" si="59"/>
        <v/>
      </c>
      <c r="AG44" t="str">
        <f t="shared" si="59"/>
        <v/>
      </c>
      <c r="AH44" t="str">
        <f t="shared" si="59"/>
        <v/>
      </c>
      <c r="AI44" t="str">
        <f t="shared" si="59"/>
        <v/>
      </c>
      <c r="AJ44" t="str">
        <f t="shared" si="59"/>
        <v/>
      </c>
      <c r="AK44" t="str">
        <f t="shared" si="59"/>
        <v/>
      </c>
      <c r="AM44" s="22">
        <f t="shared" si="43"/>
        <v>0</v>
      </c>
      <c r="AQ44" s="33" t="str">
        <f>IFERROR(LOOKUP(2,1/(COUNTIF($AQ$1:AQ43,CountDSDs)=0),CountDSDs),"")</f>
        <v/>
      </c>
    </row>
    <row r="45" spans="1:81" ht="18.75" x14ac:dyDescent="0.2">
      <c r="A45" t="e">
        <f t="shared" si="0"/>
        <v>#REF!</v>
      </c>
      <c r="B45" t="str">
        <f t="shared" si="56"/>
        <v/>
      </c>
      <c r="C45" t="str">
        <f t="shared" si="56"/>
        <v/>
      </c>
      <c r="D45" t="str">
        <f t="shared" si="56"/>
        <v/>
      </c>
      <c r="E45" t="str">
        <f t="shared" si="56"/>
        <v/>
      </c>
      <c r="F45" t="str">
        <f t="shared" si="56"/>
        <v/>
      </c>
      <c r="G45" t="str">
        <f t="shared" si="56"/>
        <v/>
      </c>
      <c r="H45" t="str">
        <f t="shared" si="56"/>
        <v/>
      </c>
      <c r="I45" t="str">
        <f t="shared" si="56"/>
        <v/>
      </c>
      <c r="J45" t="str">
        <f t="shared" si="56"/>
        <v/>
      </c>
      <c r="K45" t="str">
        <f t="shared" si="56"/>
        <v/>
      </c>
      <c r="L45" t="str">
        <f t="shared" si="57"/>
        <v/>
      </c>
      <c r="M45" t="str">
        <f t="shared" si="57"/>
        <v/>
      </c>
      <c r="N45" t="str">
        <f t="shared" si="57"/>
        <v/>
      </c>
      <c r="O45" t="str">
        <f t="shared" si="57"/>
        <v/>
      </c>
      <c r="P45" t="str">
        <f t="shared" si="57"/>
        <v/>
      </c>
      <c r="Q45" t="str">
        <f t="shared" si="57"/>
        <v/>
      </c>
      <c r="R45" t="str">
        <f t="shared" si="57"/>
        <v/>
      </c>
      <c r="S45" t="str">
        <f t="shared" si="57"/>
        <v/>
      </c>
      <c r="T45" t="str">
        <f t="shared" si="57"/>
        <v/>
      </c>
      <c r="U45" t="str">
        <f t="shared" si="57"/>
        <v/>
      </c>
      <c r="V45" t="str">
        <f t="shared" si="58"/>
        <v/>
      </c>
      <c r="W45" t="str">
        <f t="shared" si="58"/>
        <v/>
      </c>
      <c r="X45" t="str">
        <f t="shared" si="58"/>
        <v/>
      </c>
      <c r="Y45" t="str">
        <f t="shared" si="58"/>
        <v/>
      </c>
      <c r="Z45" t="str">
        <f t="shared" si="58"/>
        <v/>
      </c>
      <c r="AA45" t="str">
        <f t="shared" si="58"/>
        <v/>
      </c>
      <c r="AB45" t="str">
        <f t="shared" si="58"/>
        <v/>
      </c>
      <c r="AC45" t="str">
        <f t="shared" si="58"/>
        <v/>
      </c>
      <c r="AD45" t="str">
        <f t="shared" si="58"/>
        <v/>
      </c>
      <c r="AE45" t="str">
        <f t="shared" si="58"/>
        <v/>
      </c>
      <c r="AF45" t="str">
        <f t="shared" si="59"/>
        <v/>
      </c>
      <c r="AG45" t="str">
        <f t="shared" si="59"/>
        <v/>
      </c>
      <c r="AH45" t="str">
        <f t="shared" si="59"/>
        <v/>
      </c>
      <c r="AI45" t="str">
        <f t="shared" si="59"/>
        <v/>
      </c>
      <c r="AJ45" t="str">
        <f t="shared" si="59"/>
        <v/>
      </c>
      <c r="AK45" t="str">
        <f t="shared" si="59"/>
        <v/>
      </c>
      <c r="AM45" s="22">
        <f t="shared" si="43"/>
        <v>0</v>
      </c>
      <c r="AQ45" s="33" t="str">
        <f>IFERROR(LOOKUP(2,1/(COUNTIF($AQ$1:AQ44,CountDSDs)=0),CountDSDs),"")</f>
        <v/>
      </c>
    </row>
    <row r="46" spans="1:81" ht="18.75" x14ac:dyDescent="0.2">
      <c r="A46" t="e">
        <f t="shared" si="0"/>
        <v>#REF!</v>
      </c>
      <c r="B46" t="str">
        <f t="shared" si="56"/>
        <v/>
      </c>
      <c r="C46" t="str">
        <f t="shared" si="56"/>
        <v/>
      </c>
      <c r="D46" t="str">
        <f t="shared" si="56"/>
        <v/>
      </c>
      <c r="E46" t="str">
        <f t="shared" si="56"/>
        <v/>
      </c>
      <c r="F46" t="str">
        <f t="shared" si="56"/>
        <v/>
      </c>
      <c r="G46" t="str">
        <f t="shared" si="56"/>
        <v/>
      </c>
      <c r="H46" t="str">
        <f t="shared" si="56"/>
        <v/>
      </c>
      <c r="I46" t="str">
        <f t="shared" si="56"/>
        <v/>
      </c>
      <c r="J46" t="str">
        <f t="shared" si="56"/>
        <v/>
      </c>
      <c r="K46" t="str">
        <f t="shared" si="56"/>
        <v/>
      </c>
      <c r="L46" t="str">
        <f t="shared" si="57"/>
        <v/>
      </c>
      <c r="M46" t="str">
        <f t="shared" si="57"/>
        <v/>
      </c>
      <c r="N46" t="str">
        <f t="shared" si="57"/>
        <v/>
      </c>
      <c r="O46" t="str">
        <f t="shared" si="57"/>
        <v/>
      </c>
      <c r="P46" t="str">
        <f t="shared" si="57"/>
        <v/>
      </c>
      <c r="Q46" t="str">
        <f t="shared" si="57"/>
        <v/>
      </c>
      <c r="R46" t="str">
        <f t="shared" si="57"/>
        <v/>
      </c>
      <c r="S46" t="str">
        <f t="shared" si="57"/>
        <v/>
      </c>
      <c r="T46" t="str">
        <f t="shared" si="57"/>
        <v/>
      </c>
      <c r="U46" t="str">
        <f t="shared" si="57"/>
        <v/>
      </c>
      <c r="V46" t="str">
        <f t="shared" si="58"/>
        <v/>
      </c>
      <c r="W46" t="str">
        <f t="shared" si="58"/>
        <v/>
      </c>
      <c r="X46" t="str">
        <f t="shared" si="58"/>
        <v/>
      </c>
      <c r="Y46" t="str">
        <f t="shared" si="58"/>
        <v/>
      </c>
      <c r="Z46" t="str">
        <f t="shared" si="58"/>
        <v/>
      </c>
      <c r="AA46" t="str">
        <f t="shared" si="58"/>
        <v/>
      </c>
      <c r="AB46" t="str">
        <f t="shared" si="58"/>
        <v/>
      </c>
      <c r="AC46" t="str">
        <f t="shared" si="58"/>
        <v/>
      </c>
      <c r="AD46" t="str">
        <f t="shared" si="58"/>
        <v/>
      </c>
      <c r="AE46" t="str">
        <f t="shared" si="58"/>
        <v/>
      </c>
      <c r="AF46" t="str">
        <f t="shared" si="59"/>
        <v/>
      </c>
      <c r="AG46" t="str">
        <f t="shared" si="59"/>
        <v/>
      </c>
      <c r="AH46" t="str">
        <f t="shared" si="59"/>
        <v/>
      </c>
      <c r="AI46" t="str">
        <f t="shared" si="59"/>
        <v/>
      </c>
      <c r="AJ46" t="str">
        <f t="shared" si="59"/>
        <v/>
      </c>
      <c r="AK46" t="str">
        <f t="shared" si="59"/>
        <v/>
      </c>
      <c r="AM46" s="22">
        <f t="shared" si="43"/>
        <v>0</v>
      </c>
      <c r="AQ46" s="33" t="str">
        <f>IFERROR(LOOKUP(2,1/(COUNTIF($AQ$1:AQ45,CountDSDs)=0),CountDSDs),"")</f>
        <v/>
      </c>
    </row>
    <row r="47" spans="1:81" ht="18.75" x14ac:dyDescent="0.2">
      <c r="A47" t="e">
        <f t="shared" si="0"/>
        <v>#REF!</v>
      </c>
      <c r="B47" t="str">
        <f t="shared" si="56"/>
        <v/>
      </c>
      <c r="C47" t="str">
        <f t="shared" si="56"/>
        <v/>
      </c>
      <c r="D47" t="str">
        <f t="shared" si="56"/>
        <v/>
      </c>
      <c r="E47" t="str">
        <f t="shared" si="56"/>
        <v/>
      </c>
      <c r="F47" t="str">
        <f t="shared" si="56"/>
        <v/>
      </c>
      <c r="G47" t="str">
        <f t="shared" si="56"/>
        <v/>
      </c>
      <c r="H47" t="str">
        <f t="shared" si="56"/>
        <v/>
      </c>
      <c r="I47" t="str">
        <f t="shared" si="56"/>
        <v/>
      </c>
      <c r="J47" t="str">
        <f t="shared" si="56"/>
        <v/>
      </c>
      <c r="K47" t="str">
        <f t="shared" si="56"/>
        <v/>
      </c>
      <c r="L47" t="str">
        <f t="shared" si="57"/>
        <v/>
      </c>
      <c r="M47" t="str">
        <f t="shared" si="57"/>
        <v/>
      </c>
      <c r="N47" t="str">
        <f t="shared" si="57"/>
        <v/>
      </c>
      <c r="O47" t="str">
        <f t="shared" si="57"/>
        <v/>
      </c>
      <c r="P47" t="str">
        <f t="shared" si="57"/>
        <v/>
      </c>
      <c r="Q47" t="str">
        <f t="shared" si="57"/>
        <v/>
      </c>
      <c r="R47" t="str">
        <f t="shared" si="57"/>
        <v/>
      </c>
      <c r="S47" t="str">
        <f t="shared" si="57"/>
        <v/>
      </c>
      <c r="T47" t="str">
        <f t="shared" si="57"/>
        <v/>
      </c>
      <c r="U47" t="str">
        <f t="shared" si="57"/>
        <v/>
      </c>
      <c r="V47" t="str">
        <f t="shared" si="58"/>
        <v/>
      </c>
      <c r="W47" t="str">
        <f t="shared" si="58"/>
        <v/>
      </c>
      <c r="X47" t="str">
        <f t="shared" si="58"/>
        <v/>
      </c>
      <c r="Y47" t="str">
        <f t="shared" si="58"/>
        <v/>
      </c>
      <c r="Z47" t="str">
        <f t="shared" si="58"/>
        <v/>
      </c>
      <c r="AA47" t="str">
        <f t="shared" si="58"/>
        <v/>
      </c>
      <c r="AB47" t="str">
        <f t="shared" si="58"/>
        <v/>
      </c>
      <c r="AC47" t="str">
        <f t="shared" si="58"/>
        <v/>
      </c>
      <c r="AD47" t="str">
        <f t="shared" si="58"/>
        <v/>
      </c>
      <c r="AE47" t="str">
        <f t="shared" si="58"/>
        <v/>
      </c>
      <c r="AF47" t="str">
        <f t="shared" si="59"/>
        <v/>
      </c>
      <c r="AG47" t="str">
        <f t="shared" si="59"/>
        <v/>
      </c>
      <c r="AH47" t="str">
        <f t="shared" si="59"/>
        <v/>
      </c>
      <c r="AI47" t="str">
        <f t="shared" si="59"/>
        <v/>
      </c>
      <c r="AJ47" t="str">
        <f t="shared" si="59"/>
        <v/>
      </c>
      <c r="AK47" t="str">
        <f t="shared" si="59"/>
        <v/>
      </c>
      <c r="AM47" s="22">
        <f t="shared" si="43"/>
        <v>0</v>
      </c>
      <c r="AQ47" s="33" t="str">
        <f>IFERROR(LOOKUP(2,1/(COUNTIF($AQ$1:AQ46,CountDSDs)=0),CountDSDs),"")</f>
        <v/>
      </c>
    </row>
    <row r="48" spans="1:81" ht="18.75" x14ac:dyDescent="0.2">
      <c r="A48" t="e">
        <f t="shared" si="0"/>
        <v>#REF!</v>
      </c>
      <c r="B48" t="str">
        <f t="shared" si="56"/>
        <v/>
      </c>
      <c r="C48" t="str">
        <f t="shared" si="56"/>
        <v/>
      </c>
      <c r="D48" t="str">
        <f t="shared" si="56"/>
        <v/>
      </c>
      <c r="E48" t="str">
        <f t="shared" si="56"/>
        <v/>
      </c>
      <c r="F48" t="str">
        <f t="shared" si="56"/>
        <v/>
      </c>
      <c r="G48" t="str">
        <f t="shared" si="56"/>
        <v/>
      </c>
      <c r="H48" t="str">
        <f t="shared" si="56"/>
        <v/>
      </c>
      <c r="I48" t="str">
        <f t="shared" si="56"/>
        <v/>
      </c>
      <c r="J48" t="str">
        <f t="shared" si="56"/>
        <v/>
      </c>
      <c r="K48" t="str">
        <f t="shared" si="56"/>
        <v/>
      </c>
      <c r="L48" t="str">
        <f t="shared" si="57"/>
        <v/>
      </c>
      <c r="M48" t="str">
        <f t="shared" si="57"/>
        <v/>
      </c>
      <c r="N48" t="str">
        <f t="shared" si="57"/>
        <v/>
      </c>
      <c r="O48" t="str">
        <f t="shared" si="57"/>
        <v/>
      </c>
      <c r="P48" t="str">
        <f t="shared" si="57"/>
        <v/>
      </c>
      <c r="Q48" t="str">
        <f t="shared" si="57"/>
        <v/>
      </c>
      <c r="R48" t="str">
        <f t="shared" si="57"/>
        <v/>
      </c>
      <c r="S48" t="str">
        <f t="shared" si="57"/>
        <v/>
      </c>
      <c r="T48" t="str">
        <f t="shared" si="57"/>
        <v/>
      </c>
      <c r="U48" t="str">
        <f t="shared" si="57"/>
        <v/>
      </c>
      <c r="V48" t="str">
        <f t="shared" si="58"/>
        <v/>
      </c>
      <c r="W48" t="str">
        <f t="shared" si="58"/>
        <v/>
      </c>
      <c r="X48" t="str">
        <f t="shared" si="58"/>
        <v/>
      </c>
      <c r="Y48" t="str">
        <f t="shared" si="58"/>
        <v/>
      </c>
      <c r="Z48" t="str">
        <f t="shared" si="58"/>
        <v/>
      </c>
      <c r="AA48" t="str">
        <f t="shared" si="58"/>
        <v/>
      </c>
      <c r="AB48" t="str">
        <f t="shared" si="58"/>
        <v/>
      </c>
      <c r="AC48" t="str">
        <f t="shared" si="58"/>
        <v/>
      </c>
      <c r="AD48" t="str">
        <f t="shared" si="58"/>
        <v/>
      </c>
      <c r="AE48" t="str">
        <f t="shared" si="58"/>
        <v/>
      </c>
      <c r="AF48" t="str">
        <f t="shared" si="59"/>
        <v/>
      </c>
      <c r="AG48" t="str">
        <f t="shared" si="59"/>
        <v/>
      </c>
      <c r="AH48" t="str">
        <f t="shared" si="59"/>
        <v/>
      </c>
      <c r="AI48" t="str">
        <f t="shared" si="59"/>
        <v/>
      </c>
      <c r="AJ48" t="str">
        <f t="shared" si="59"/>
        <v/>
      </c>
      <c r="AK48" t="str">
        <f t="shared" si="59"/>
        <v/>
      </c>
      <c r="AM48" s="22">
        <f t="shared" si="43"/>
        <v>0</v>
      </c>
      <c r="AQ48" s="33" t="str">
        <f>IFERROR(LOOKUP(2,1/(COUNTIF($AQ$1:AQ47,CountDSDs)=0),CountDSDs),"")</f>
        <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0070C0"/>
    <pageSetUpPr fitToPage="1"/>
  </sheetPr>
  <dimension ref="A1:S42"/>
  <sheetViews>
    <sheetView zoomScale="130" zoomScaleNormal="130" workbookViewId="0">
      <pane xSplit="5" ySplit="5" topLeftCell="F6" activePane="bottomRight" state="frozen"/>
      <selection activeCell="D50" sqref="D50"/>
      <selection pane="topRight" activeCell="D50" sqref="D50"/>
      <selection pane="bottomLeft" activeCell="D50" sqref="D50"/>
      <selection pane="bottomRight" activeCell="L12" sqref="L12"/>
    </sheetView>
  </sheetViews>
  <sheetFormatPr defaultRowHeight="11.25" x14ac:dyDescent="0.2"/>
  <cols>
    <col min="1" max="1" width="13.83203125" style="4" customWidth="1"/>
    <col min="2" max="2" width="19.33203125" style="4" customWidth="1"/>
    <col min="3" max="3" width="12.5" style="4" customWidth="1"/>
    <col min="4" max="4" width="19.33203125" style="4" customWidth="1"/>
    <col min="5" max="5" width="11.1640625" style="181" bestFit="1" customWidth="1"/>
    <col min="6" max="6" width="7.5" style="112" bestFit="1" customWidth="1"/>
    <col min="7" max="7" width="8" style="113" customWidth="1"/>
    <col min="8" max="8" width="6.83203125" style="112" customWidth="1"/>
    <col min="9" max="11" width="3.83203125" style="112" customWidth="1"/>
    <col min="12" max="16384" width="9.33203125" style="181"/>
  </cols>
  <sheetData>
    <row r="1" spans="1:19" s="3" customFormat="1" ht="18" x14ac:dyDescent="0.25">
      <c r="B1" s="2"/>
      <c r="C1" s="2"/>
      <c r="D1" s="2"/>
      <c r="F1" s="241"/>
      <c r="G1" s="241"/>
      <c r="H1" s="241"/>
      <c r="I1" s="110"/>
      <c r="J1" s="241"/>
      <c r="K1" s="241"/>
    </row>
    <row r="2" spans="1:19" s="3" customFormat="1" ht="12.75" x14ac:dyDescent="0.2">
      <c r="A2" s="2"/>
      <c r="B2" s="2"/>
      <c r="F2" s="111" t="s">
        <v>361</v>
      </c>
      <c r="G2" s="111" t="s">
        <v>360</v>
      </c>
      <c r="H2" s="259" t="s">
        <v>192</v>
      </c>
      <c r="I2" s="259"/>
      <c r="J2" s="259"/>
      <c r="K2" s="172"/>
      <c r="L2" s="2" t="s">
        <v>932</v>
      </c>
    </row>
    <row r="3" spans="1:19" s="131" customFormat="1" ht="21.75" customHeight="1" x14ac:dyDescent="0.2">
      <c r="A3" s="260" t="s">
        <v>189</v>
      </c>
      <c r="B3" s="261"/>
      <c r="C3" s="262" t="s">
        <v>390</v>
      </c>
      <c r="D3" s="263"/>
      <c r="E3" s="264" t="s">
        <v>190</v>
      </c>
      <c r="F3" s="265" t="s">
        <v>36</v>
      </c>
      <c r="G3" s="265" t="s">
        <v>39</v>
      </c>
      <c r="H3" s="254" t="s">
        <v>16</v>
      </c>
      <c r="I3" s="254" t="s">
        <v>14</v>
      </c>
      <c r="J3" s="254" t="s">
        <v>193</v>
      </c>
      <c r="K3" s="254" t="s">
        <v>18</v>
      </c>
      <c r="L3" s="255" t="s">
        <v>25</v>
      </c>
      <c r="M3" s="255" t="s">
        <v>27</v>
      </c>
      <c r="N3" s="257" t="s">
        <v>26</v>
      </c>
      <c r="O3" s="257" t="s">
        <v>28</v>
      </c>
      <c r="P3" s="253"/>
      <c r="Q3" s="253"/>
      <c r="R3" s="253"/>
      <c r="S3" s="253"/>
    </row>
    <row r="4" spans="1:19" s="132" customFormat="1" ht="107.25" customHeight="1" x14ac:dyDescent="0.2">
      <c r="A4" s="261"/>
      <c r="B4" s="261"/>
      <c r="C4" s="135" t="s">
        <v>391</v>
      </c>
      <c r="D4" s="136" t="s">
        <v>392</v>
      </c>
      <c r="E4" s="264"/>
      <c r="F4" s="266"/>
      <c r="G4" s="266"/>
      <c r="H4" s="254"/>
      <c r="I4" s="254"/>
      <c r="J4" s="254"/>
      <c r="K4" s="254"/>
      <c r="L4" s="256"/>
      <c r="M4" s="256"/>
      <c r="N4" s="258"/>
      <c r="O4" s="258"/>
      <c r="P4" s="253"/>
      <c r="Q4" s="253"/>
      <c r="R4" s="253"/>
      <c r="S4" s="253"/>
    </row>
    <row r="5" spans="1:19" ht="35.25" x14ac:dyDescent="0.25">
      <c r="A5" s="125" t="s">
        <v>221</v>
      </c>
      <c r="B5" s="125" t="s">
        <v>223</v>
      </c>
      <c r="C5" s="36" t="str">
        <f t="array" ref="C5">"DSDs: "&amp;SUM(IF(FREQUENCY(IF(LEN(DSDs)&gt;0,MATCH(DSDs,DSDs,0),""), IF(LEN(DSDs)&gt;0,MATCH(DSDs,DSDs,0),""))&gt;0,1))</f>
        <v>DSDs: 1</v>
      </c>
      <c r="D5" s="36" t="str">
        <f>"DSD Concept count. Max: "&amp;MAX(DSDDimCount)</f>
        <v>DSD Concept count. Max: 0</v>
      </c>
      <c r="E5" s="129" t="s">
        <v>191</v>
      </c>
      <c r="F5" s="129"/>
      <c r="G5" s="129"/>
      <c r="H5" s="129"/>
      <c r="I5" s="129"/>
      <c r="J5" s="129"/>
      <c r="K5" s="129"/>
      <c r="L5" s="171"/>
      <c r="M5" s="171"/>
      <c r="N5" s="171"/>
      <c r="O5" s="171"/>
    </row>
    <row r="6" spans="1:19" s="1" customFormat="1" ht="12" x14ac:dyDescent="0.2">
      <c r="A6" s="126" t="s">
        <v>2</v>
      </c>
      <c r="B6" s="126" t="s">
        <v>224</v>
      </c>
      <c r="C6" s="128" t="s">
        <v>944</v>
      </c>
      <c r="D6" s="130"/>
      <c r="E6" s="123" t="s">
        <v>945</v>
      </c>
      <c r="F6" s="123" t="s">
        <v>200</v>
      </c>
      <c r="G6" s="123" t="s">
        <v>200</v>
      </c>
      <c r="H6" s="12" t="s">
        <v>200</v>
      </c>
      <c r="I6" s="12" t="s">
        <v>200</v>
      </c>
      <c r="J6" s="12" t="s">
        <v>200</v>
      </c>
      <c r="K6" s="12" t="s">
        <v>200</v>
      </c>
      <c r="L6" s="1" t="s">
        <v>200</v>
      </c>
      <c r="M6" s="1" t="s">
        <v>200</v>
      </c>
      <c r="N6" s="1" t="s">
        <v>200</v>
      </c>
      <c r="O6" s="1" t="s">
        <v>200</v>
      </c>
    </row>
    <row r="7" spans="1:19" s="1" customFormat="1" ht="12" x14ac:dyDescent="0.2">
      <c r="A7" s="126" t="s">
        <v>2</v>
      </c>
      <c r="B7" s="126" t="s">
        <v>224</v>
      </c>
      <c r="C7" s="128" t="s">
        <v>944</v>
      </c>
      <c r="D7" s="130"/>
      <c r="E7" s="123" t="s">
        <v>972</v>
      </c>
      <c r="F7" s="123" t="s">
        <v>200</v>
      </c>
      <c r="G7" s="123" t="s">
        <v>200</v>
      </c>
      <c r="H7" s="12" t="s">
        <v>200</v>
      </c>
      <c r="I7" s="12" t="s">
        <v>200</v>
      </c>
      <c r="J7" s="12" t="s">
        <v>200</v>
      </c>
      <c r="K7" s="12" t="s">
        <v>200</v>
      </c>
      <c r="M7" s="1" t="s">
        <v>200</v>
      </c>
      <c r="N7" s="1" t="s">
        <v>200</v>
      </c>
      <c r="O7" s="1" t="s">
        <v>200</v>
      </c>
    </row>
    <row r="8" spans="1:19" s="1" customFormat="1" ht="12" x14ac:dyDescent="0.2">
      <c r="A8" s="126"/>
      <c r="B8" s="126"/>
      <c r="C8" s="128"/>
      <c r="D8" s="130"/>
      <c r="E8" s="123"/>
      <c r="F8" s="123"/>
      <c r="G8" s="123"/>
      <c r="H8" s="12"/>
      <c r="I8" s="12"/>
      <c r="J8" s="12"/>
      <c r="K8" s="12"/>
    </row>
    <row r="9" spans="1:19" s="1" customFormat="1" ht="12" x14ac:dyDescent="0.2">
      <c r="A9" s="126"/>
      <c r="B9" s="126"/>
      <c r="C9" s="128"/>
      <c r="D9" s="130"/>
      <c r="E9" s="123"/>
      <c r="F9" s="123"/>
      <c r="G9" s="123"/>
      <c r="H9" s="12"/>
      <c r="I9" s="12"/>
      <c r="J9" s="12"/>
      <c r="K9" s="12"/>
    </row>
    <row r="10" spans="1:19" s="1" customFormat="1" ht="12" x14ac:dyDescent="0.2">
      <c r="A10" s="126"/>
      <c r="B10" s="126"/>
      <c r="C10" s="128"/>
      <c r="D10" s="130"/>
      <c r="E10" s="124"/>
      <c r="F10" s="124"/>
      <c r="G10" s="124"/>
      <c r="H10" s="12"/>
      <c r="I10" s="12"/>
      <c r="J10" s="12"/>
      <c r="K10" s="12"/>
    </row>
    <row r="11" spans="1:19" s="1" customFormat="1" ht="12" x14ac:dyDescent="0.2">
      <c r="A11" s="126"/>
      <c r="B11" s="126"/>
      <c r="C11" s="128"/>
      <c r="D11" s="130"/>
      <c r="E11" s="124"/>
      <c r="F11" s="124"/>
      <c r="G11" s="124"/>
      <c r="H11" s="12"/>
      <c r="I11" s="12"/>
      <c r="J11" s="12"/>
      <c r="K11" s="12"/>
    </row>
    <row r="12" spans="1:19" s="1" customFormat="1" ht="12" x14ac:dyDescent="0.2">
      <c r="A12" s="127"/>
      <c r="B12" s="126"/>
      <c r="C12" s="128"/>
      <c r="D12" s="130"/>
      <c r="E12" s="123"/>
      <c r="F12" s="123"/>
      <c r="G12" s="123"/>
      <c r="H12" s="12"/>
      <c r="I12" s="12"/>
      <c r="J12" s="12"/>
      <c r="K12" s="12"/>
    </row>
    <row r="13" spans="1:19" s="1" customFormat="1" ht="12" x14ac:dyDescent="0.2">
      <c r="A13" s="127"/>
      <c r="B13" s="126"/>
      <c r="C13" s="128"/>
      <c r="D13" s="130"/>
      <c r="E13" s="123"/>
      <c r="F13" s="123"/>
      <c r="G13" s="123"/>
      <c r="H13" s="12"/>
      <c r="I13" s="12"/>
      <c r="J13" s="12"/>
      <c r="K13" s="12"/>
    </row>
    <row r="14" spans="1:19" s="1" customFormat="1" ht="12" x14ac:dyDescent="0.2">
      <c r="A14" s="127"/>
      <c r="B14" s="126"/>
      <c r="C14" s="128"/>
      <c r="D14" s="130"/>
      <c r="E14" s="123"/>
      <c r="F14" s="123"/>
      <c r="G14" s="123"/>
      <c r="H14" s="12"/>
      <c r="I14" s="12"/>
      <c r="J14" s="12"/>
      <c r="K14" s="12"/>
    </row>
    <row r="15" spans="1:19" s="1" customFormat="1" ht="12" x14ac:dyDescent="0.2">
      <c r="A15" s="127"/>
      <c r="B15" s="126"/>
      <c r="C15" s="128"/>
      <c r="D15" s="130"/>
      <c r="E15" s="123"/>
      <c r="F15" s="123"/>
      <c r="G15" s="123"/>
      <c r="H15" s="12"/>
      <c r="I15" s="12"/>
      <c r="J15" s="12"/>
      <c r="K15" s="12"/>
    </row>
    <row r="16" spans="1:19" s="1" customFormat="1" ht="12" x14ac:dyDescent="0.2">
      <c r="A16" s="126"/>
      <c r="B16" s="126"/>
      <c r="C16" s="128"/>
      <c r="D16" s="130"/>
      <c r="E16" s="123"/>
      <c r="F16" s="123"/>
      <c r="G16" s="123"/>
      <c r="H16" s="12"/>
      <c r="I16" s="12"/>
      <c r="J16" s="12"/>
      <c r="K16" s="12"/>
    </row>
    <row r="17" spans="1:11" s="1" customFormat="1" ht="12" x14ac:dyDescent="0.2">
      <c r="A17" s="127"/>
      <c r="B17" s="126"/>
      <c r="C17" s="128"/>
      <c r="D17" s="130"/>
      <c r="E17" s="123"/>
      <c r="F17" s="123"/>
      <c r="G17" s="123"/>
      <c r="H17" s="12"/>
      <c r="I17" s="12"/>
      <c r="J17" s="12"/>
      <c r="K17" s="12"/>
    </row>
    <row r="18" spans="1:11" s="1" customFormat="1" ht="12" x14ac:dyDescent="0.2">
      <c r="A18" s="127"/>
      <c r="B18" s="126"/>
      <c r="C18" s="128"/>
      <c r="D18" s="130"/>
      <c r="E18" s="123"/>
      <c r="F18" s="123"/>
      <c r="G18" s="123"/>
      <c r="H18" s="12"/>
      <c r="I18" s="12"/>
      <c r="J18" s="12"/>
      <c r="K18" s="12"/>
    </row>
    <row r="19" spans="1:11" s="1" customFormat="1" ht="12" x14ac:dyDescent="0.2">
      <c r="A19" s="127"/>
      <c r="B19" s="126"/>
      <c r="C19" s="128"/>
      <c r="D19" s="130"/>
      <c r="E19" s="123"/>
      <c r="F19" s="123"/>
      <c r="G19" s="123"/>
      <c r="H19" s="12"/>
      <c r="I19" s="12"/>
      <c r="J19" s="12"/>
      <c r="K19" s="12"/>
    </row>
    <row r="20" spans="1:11" s="1" customFormat="1" ht="12" x14ac:dyDescent="0.2">
      <c r="A20" s="127"/>
      <c r="B20" s="126"/>
      <c r="C20" s="128"/>
      <c r="D20" s="130"/>
      <c r="E20" s="123"/>
      <c r="F20" s="123"/>
      <c r="G20" s="123"/>
      <c r="H20" s="12"/>
      <c r="I20" s="12"/>
      <c r="J20" s="12"/>
      <c r="K20" s="12"/>
    </row>
    <row r="21" spans="1:11" s="1" customFormat="1" ht="12" x14ac:dyDescent="0.2">
      <c r="A21" s="127"/>
      <c r="B21" s="126"/>
      <c r="C21" s="128"/>
      <c r="D21" s="130"/>
      <c r="E21" s="123"/>
      <c r="F21" s="123"/>
      <c r="G21" s="123"/>
      <c r="H21" s="12"/>
      <c r="I21" s="12"/>
      <c r="J21" s="12"/>
      <c r="K21" s="12"/>
    </row>
    <row r="22" spans="1:11" s="1" customFormat="1" ht="12" x14ac:dyDescent="0.2">
      <c r="A22" s="127"/>
      <c r="B22" s="126"/>
      <c r="C22" s="128"/>
      <c r="D22" s="130"/>
      <c r="E22" s="123"/>
      <c r="F22" s="123"/>
      <c r="G22" s="123"/>
      <c r="H22" s="12"/>
      <c r="I22" s="12"/>
      <c r="J22" s="12"/>
      <c r="K22" s="12"/>
    </row>
    <row r="23" spans="1:11" s="1" customFormat="1" ht="12" x14ac:dyDescent="0.2">
      <c r="A23" s="127"/>
      <c r="B23" s="126"/>
      <c r="C23" s="128"/>
      <c r="D23" s="130"/>
      <c r="E23" s="123"/>
      <c r="F23" s="123"/>
      <c r="G23" s="123"/>
      <c r="H23" s="12"/>
      <c r="I23" s="12"/>
      <c r="J23" s="12"/>
      <c r="K23" s="12"/>
    </row>
    <row r="24" spans="1:11" s="1" customFormat="1" ht="12" x14ac:dyDescent="0.2">
      <c r="A24" s="127"/>
      <c r="B24" s="126"/>
      <c r="C24" s="128"/>
      <c r="D24" s="130"/>
      <c r="E24" s="123"/>
      <c r="F24" s="123"/>
      <c r="G24" s="123"/>
      <c r="H24" s="12"/>
      <c r="I24" s="12"/>
      <c r="J24" s="12"/>
      <c r="K24" s="12"/>
    </row>
    <row r="25" spans="1:11" s="1" customFormat="1" ht="12" x14ac:dyDescent="0.2">
      <c r="A25" s="127"/>
      <c r="B25" s="126"/>
      <c r="C25" s="128"/>
      <c r="D25" s="130"/>
      <c r="E25" s="123"/>
      <c r="F25" s="123"/>
      <c r="G25" s="123"/>
      <c r="H25" s="12"/>
      <c r="I25" s="12"/>
      <c r="J25" s="12"/>
      <c r="K25" s="12"/>
    </row>
    <row r="26" spans="1:11" s="1" customFormat="1" ht="12" x14ac:dyDescent="0.2">
      <c r="A26" s="127"/>
      <c r="B26" s="126"/>
      <c r="C26" s="128"/>
      <c r="D26" s="130"/>
      <c r="E26" s="123"/>
      <c r="F26" s="123"/>
      <c r="G26" s="123"/>
      <c r="H26" s="12"/>
      <c r="I26" s="12"/>
      <c r="J26" s="12"/>
      <c r="K26" s="12"/>
    </row>
    <row r="27" spans="1:11" s="1" customFormat="1" ht="12" x14ac:dyDescent="0.2">
      <c r="A27" s="127"/>
      <c r="B27" s="126"/>
      <c r="C27" s="128"/>
      <c r="D27" s="130"/>
      <c r="E27" s="123"/>
      <c r="F27" s="123"/>
      <c r="G27" s="123"/>
      <c r="H27" s="12"/>
      <c r="I27" s="12"/>
      <c r="J27" s="12"/>
      <c r="K27" s="12"/>
    </row>
    <row r="28" spans="1:11" s="1" customFormat="1" ht="12" x14ac:dyDescent="0.2">
      <c r="A28" s="127"/>
      <c r="B28" s="126"/>
      <c r="C28" s="128"/>
      <c r="D28" s="130"/>
      <c r="E28" s="123"/>
      <c r="F28" s="123"/>
      <c r="G28" s="123"/>
      <c r="H28" s="12"/>
      <c r="I28" s="12"/>
      <c r="J28" s="12"/>
      <c r="K28" s="12"/>
    </row>
    <row r="29" spans="1:11" s="1" customFormat="1" ht="12" x14ac:dyDescent="0.2">
      <c r="A29" s="127"/>
      <c r="B29" s="126"/>
      <c r="C29" s="128"/>
      <c r="D29" s="130"/>
      <c r="E29" s="123"/>
      <c r="F29" s="123"/>
      <c r="G29" s="123"/>
      <c r="H29" s="12"/>
      <c r="I29" s="12"/>
      <c r="J29" s="12"/>
      <c r="K29" s="12"/>
    </row>
    <row r="30" spans="1:11" s="1" customFormat="1" ht="12" x14ac:dyDescent="0.2">
      <c r="A30" s="127"/>
      <c r="B30" s="126"/>
      <c r="C30" s="128"/>
      <c r="D30" s="130"/>
      <c r="E30" s="123"/>
      <c r="F30" s="123"/>
      <c r="G30" s="123"/>
      <c r="H30" s="12"/>
      <c r="I30" s="12"/>
      <c r="J30" s="12"/>
      <c r="K30" s="12"/>
    </row>
    <row r="31" spans="1:11" s="1" customFormat="1" ht="12" x14ac:dyDescent="0.2">
      <c r="A31" s="127"/>
      <c r="B31" s="126"/>
      <c r="C31" s="128"/>
      <c r="D31" s="130"/>
      <c r="E31" s="123"/>
      <c r="F31" s="123"/>
      <c r="G31" s="123"/>
      <c r="H31" s="12"/>
      <c r="I31" s="12"/>
      <c r="J31" s="12"/>
      <c r="K31" s="12"/>
    </row>
    <row r="32" spans="1:11" s="1" customFormat="1" ht="12" x14ac:dyDescent="0.2">
      <c r="A32" s="127"/>
      <c r="B32" s="126"/>
      <c r="C32" s="128"/>
      <c r="D32" s="130"/>
      <c r="E32" s="123"/>
      <c r="F32" s="123"/>
      <c r="G32" s="123"/>
      <c r="H32" s="12"/>
      <c r="I32" s="12"/>
      <c r="J32" s="12"/>
      <c r="K32" s="12"/>
    </row>
    <row r="33" spans="1:11" s="1" customFormat="1" ht="12" x14ac:dyDescent="0.2">
      <c r="A33" s="127"/>
      <c r="B33" s="126"/>
      <c r="C33" s="128"/>
      <c r="D33" s="130"/>
      <c r="E33" s="123"/>
      <c r="F33" s="123"/>
      <c r="G33" s="123"/>
      <c r="H33" s="12"/>
      <c r="I33" s="12"/>
      <c r="J33" s="12"/>
      <c r="K33" s="12"/>
    </row>
    <row r="34" spans="1:11" s="1" customFormat="1" ht="12" x14ac:dyDescent="0.2">
      <c r="A34" s="127"/>
      <c r="B34" s="126"/>
      <c r="C34" s="128"/>
      <c r="D34" s="130"/>
      <c r="E34" s="123"/>
      <c r="F34" s="123"/>
      <c r="G34" s="123"/>
      <c r="H34" s="12"/>
      <c r="I34" s="12"/>
      <c r="J34" s="12"/>
      <c r="K34" s="12"/>
    </row>
    <row r="35" spans="1:11" s="1" customFormat="1" ht="12" x14ac:dyDescent="0.2">
      <c r="A35" s="127"/>
      <c r="B35" s="126"/>
      <c r="C35" s="128"/>
      <c r="D35" s="130"/>
      <c r="E35" s="123"/>
      <c r="F35" s="123"/>
      <c r="G35" s="123"/>
      <c r="H35" s="12"/>
      <c r="I35" s="12"/>
      <c r="J35" s="12"/>
      <c r="K35" s="12"/>
    </row>
    <row r="36" spans="1:11" s="1" customFormat="1" ht="12" x14ac:dyDescent="0.2">
      <c r="A36" s="127"/>
      <c r="B36" s="126"/>
      <c r="C36" s="128"/>
      <c r="D36" s="130"/>
      <c r="E36" s="123"/>
      <c r="F36" s="123"/>
      <c r="G36" s="123"/>
      <c r="H36" s="12"/>
      <c r="I36" s="12"/>
      <c r="J36" s="12"/>
      <c r="K36" s="12"/>
    </row>
    <row r="37" spans="1:11" s="1" customFormat="1" ht="12" x14ac:dyDescent="0.2">
      <c r="A37" s="127"/>
      <c r="B37" s="126"/>
      <c r="C37" s="128"/>
      <c r="D37" s="130"/>
      <c r="E37" s="123"/>
      <c r="F37" s="123"/>
      <c r="G37" s="123"/>
      <c r="H37" s="12"/>
      <c r="I37" s="12"/>
      <c r="J37" s="12"/>
      <c r="K37" s="12"/>
    </row>
    <row r="38" spans="1:11" s="1" customFormat="1" ht="12" x14ac:dyDescent="0.2">
      <c r="A38" s="127"/>
      <c r="B38" s="126"/>
      <c r="C38" s="128"/>
      <c r="D38" s="130"/>
      <c r="E38" s="123"/>
      <c r="F38" s="123"/>
      <c r="G38" s="123"/>
      <c r="H38" s="12"/>
      <c r="I38" s="12"/>
      <c r="J38" s="12"/>
      <c r="K38" s="12"/>
    </row>
    <row r="39" spans="1:11" s="1" customFormat="1" ht="12" x14ac:dyDescent="0.2">
      <c r="A39" s="127"/>
      <c r="B39" s="126"/>
      <c r="C39" s="128"/>
      <c r="D39" s="130"/>
      <c r="E39" s="123"/>
      <c r="F39" s="123"/>
      <c r="G39" s="123"/>
      <c r="H39" s="12"/>
      <c r="I39" s="12"/>
      <c r="J39" s="12"/>
      <c r="K39" s="12"/>
    </row>
    <row r="40" spans="1:11" s="1" customFormat="1" ht="12" x14ac:dyDescent="0.2">
      <c r="A40" s="127"/>
      <c r="B40" s="126"/>
      <c r="C40" s="128"/>
      <c r="D40" s="130"/>
      <c r="E40" s="123"/>
      <c r="F40" s="123"/>
      <c r="G40" s="123"/>
      <c r="H40" s="12"/>
      <c r="I40" s="12"/>
      <c r="J40" s="12"/>
      <c r="K40" s="12"/>
    </row>
    <row r="41" spans="1:11" s="1" customFormat="1" ht="12" x14ac:dyDescent="0.2">
      <c r="A41" s="127"/>
      <c r="B41" s="126"/>
      <c r="C41" s="128"/>
      <c r="D41" s="130"/>
      <c r="E41" s="123"/>
      <c r="F41" s="123"/>
      <c r="G41" s="123"/>
      <c r="H41" s="12"/>
      <c r="I41" s="12"/>
      <c r="J41" s="12"/>
      <c r="K41" s="12"/>
    </row>
    <row r="42" spans="1:11" s="1" customFormat="1" ht="12" x14ac:dyDescent="0.2">
      <c r="A42" s="127"/>
      <c r="B42" s="126"/>
      <c r="C42" s="128"/>
      <c r="D42" s="130"/>
      <c r="E42" s="123"/>
      <c r="F42" s="123"/>
      <c r="G42" s="123"/>
      <c r="H42" s="12"/>
      <c r="I42" s="12"/>
      <c r="J42" s="12"/>
      <c r="K42" s="12"/>
    </row>
  </sheetData>
  <dataConsolidate link="1"/>
  <mergeCells count="18">
    <mergeCell ref="H2:J2"/>
    <mergeCell ref="A3:B4"/>
    <mergeCell ref="C3:D3"/>
    <mergeCell ref="E3:E4"/>
    <mergeCell ref="F3:F4"/>
    <mergeCell ref="G3:G4"/>
    <mergeCell ref="H3:H4"/>
    <mergeCell ref="I3:I4"/>
    <mergeCell ref="J3:J4"/>
    <mergeCell ref="Q3:Q4"/>
    <mergeCell ref="R3:R4"/>
    <mergeCell ref="S3:S4"/>
    <mergeCell ref="K3:K4"/>
    <mergeCell ref="L3:L4"/>
    <mergeCell ref="M3:M4"/>
    <mergeCell ref="N3:N4"/>
    <mergeCell ref="O3:O4"/>
    <mergeCell ref="P3:P4"/>
  </mergeCells>
  <conditionalFormatting sqref="E6:E100">
    <cfRule type="duplicateValues" dxfId="10" priority="1"/>
  </conditionalFormatting>
  <dataValidations count="2">
    <dataValidation type="list" allowBlank="1" showInputMessage="1" showErrorMessage="1" sqref="E6:E1048576">
      <formula1>DataflowIDs</formula1>
    </dataValidation>
    <dataValidation type="list" allowBlank="1" showInputMessage="1" showErrorMessage="1" errorTitle="DSD must be in DSDs worksheet" error="DSD must be in DSDs worksheet" sqref="C6:C1048576">
      <formula1>DSDIds</formula1>
    </dataValidation>
  </dataValidations>
  <hyperlinks>
    <hyperlink ref="J3:J4" location="CL_MEASURE!A1" display="MEASURE"/>
    <hyperlink ref="K3:K4" location="CL_UNIT_MEASURE!A1" display="UNIT_MEASURE"/>
    <hyperlink ref="I3:I4" location="CL_AREA!A1" display="REF_AREA"/>
    <hyperlink ref="H3:H4" location="CL_FREQ!A1" display="FREQ"/>
  </hyperlinks>
  <pageMargins left="0.70866141732283472" right="0.70866141732283472" top="0.74803149606299213" bottom="0.74803149606299213" header="0.31496062992125984" footer="0.31496062992125984"/>
  <pageSetup paperSize="9" scale="62"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32"/>
  <sheetViews>
    <sheetView zoomScale="130" zoomScaleNormal="130" workbookViewId="0">
      <selection activeCell="D8" sqref="D8"/>
    </sheetView>
  </sheetViews>
  <sheetFormatPr defaultRowHeight="11.25" x14ac:dyDescent="0.2"/>
  <cols>
    <col min="1" max="1" width="93" customWidth="1"/>
  </cols>
  <sheetData>
    <row r="1" spans="1:2" x14ac:dyDescent="0.2">
      <c r="A1" s="3" t="s">
        <v>207</v>
      </c>
      <c r="B1" s="3" t="s">
        <v>210</v>
      </c>
    </row>
    <row r="2" spans="1:2" x14ac:dyDescent="0.2">
      <c r="A2" s="4" t="s">
        <v>975</v>
      </c>
      <c r="B2" s="4"/>
    </row>
    <row r="3" spans="1:2" x14ac:dyDescent="0.2">
      <c r="A3" s="3" t="s">
        <v>250</v>
      </c>
    </row>
    <row r="4" spans="1:2" x14ac:dyDescent="0.2">
      <c r="A4" s="4" t="s">
        <v>1001</v>
      </c>
      <c r="B4" s="4"/>
    </row>
    <row r="5" spans="1:2" s="3" customFormat="1" x14ac:dyDescent="0.2">
      <c r="A5" s="3" t="s">
        <v>226</v>
      </c>
    </row>
    <row r="6" spans="1:2" x14ac:dyDescent="0.2">
      <c r="A6" t="s">
        <v>227</v>
      </c>
      <c r="B6" s="4"/>
    </row>
    <row r="7" spans="1:2" x14ac:dyDescent="0.2">
      <c r="A7" s="3" t="s">
        <v>225</v>
      </c>
    </row>
    <row r="8" spans="1:2" x14ac:dyDescent="0.2">
      <c r="A8" s="4" t="s">
        <v>994</v>
      </c>
    </row>
    <row r="9" spans="1:2" x14ac:dyDescent="0.2">
      <c r="A9" s="3" t="s">
        <v>228</v>
      </c>
      <c r="B9" s="4"/>
    </row>
    <row r="10" spans="1:2" x14ac:dyDescent="0.2">
      <c r="A10" s="4" t="s">
        <v>232</v>
      </c>
      <c r="B10" s="4"/>
    </row>
    <row r="11" spans="1:2" x14ac:dyDescent="0.2">
      <c r="A11" s="3" t="s">
        <v>229</v>
      </c>
      <c r="B11" s="4"/>
    </row>
    <row r="12" spans="1:2" x14ac:dyDescent="0.2">
      <c r="A12" s="4" t="s">
        <v>233</v>
      </c>
      <c r="B12" s="4"/>
    </row>
    <row r="13" spans="1:2" x14ac:dyDescent="0.2">
      <c r="A13" s="3" t="s">
        <v>230</v>
      </c>
      <c r="B13" s="4"/>
    </row>
    <row r="14" spans="1:2" x14ac:dyDescent="0.2">
      <c r="A14" s="4" t="s">
        <v>236</v>
      </c>
      <c r="B14" s="4"/>
    </row>
    <row r="15" spans="1:2" x14ac:dyDescent="0.2">
      <c r="A15" s="3" t="s">
        <v>231</v>
      </c>
      <c r="B15" s="4"/>
    </row>
    <row r="16" spans="1:2" x14ac:dyDescent="0.2">
      <c r="A16" s="4" t="s">
        <v>234</v>
      </c>
      <c r="B16" s="4"/>
    </row>
    <row r="17" spans="1:2" x14ac:dyDescent="0.2">
      <c r="A17" s="3" t="s">
        <v>240</v>
      </c>
    </row>
    <row r="18" spans="1:2" x14ac:dyDescent="0.2">
      <c r="A18" t="s">
        <v>242</v>
      </c>
      <c r="B18" s="4"/>
    </row>
    <row r="19" spans="1:2" x14ac:dyDescent="0.2">
      <c r="A19" s="3" t="s">
        <v>241</v>
      </c>
      <c r="B19" s="4"/>
    </row>
    <row r="20" spans="1:2" x14ac:dyDescent="0.2">
      <c r="A20" s="4" t="s">
        <v>989</v>
      </c>
      <c r="B20" s="4"/>
    </row>
    <row r="21" spans="1:2" x14ac:dyDescent="0.2">
      <c r="A21" s="3" t="s">
        <v>946</v>
      </c>
    </row>
    <row r="22" spans="1:2" x14ac:dyDescent="0.2">
      <c r="A22" s="4" t="s">
        <v>948</v>
      </c>
      <c r="B22" s="4"/>
    </row>
    <row r="23" spans="1:2" x14ac:dyDescent="0.2">
      <c r="A23" s="3" t="s">
        <v>248</v>
      </c>
    </row>
    <row r="24" spans="1:2" x14ac:dyDescent="0.2">
      <c r="A24" s="4" t="s">
        <v>258</v>
      </c>
    </row>
    <row r="25" spans="1:2" x14ac:dyDescent="0.2">
      <c r="A25" s="3" t="s">
        <v>249</v>
      </c>
    </row>
    <row r="26" spans="1:2" x14ac:dyDescent="0.2">
      <c r="A26" s="4" t="s">
        <v>276</v>
      </c>
      <c r="B26" s="4" t="s">
        <v>211</v>
      </c>
    </row>
    <row r="27" spans="1:2" x14ac:dyDescent="0.2">
      <c r="A27" s="3" t="s">
        <v>272</v>
      </c>
    </row>
    <row r="28" spans="1:2" x14ac:dyDescent="0.2">
      <c r="A28" s="4" t="s">
        <v>273</v>
      </c>
    </row>
    <row r="29" spans="1:2" x14ac:dyDescent="0.2">
      <c r="A29" s="3" t="s">
        <v>947</v>
      </c>
    </row>
    <row r="30" spans="1:2" x14ac:dyDescent="0.2">
      <c r="A30" t="s">
        <v>949</v>
      </c>
    </row>
    <row r="31" spans="1:2" x14ac:dyDescent="0.2">
      <c r="A31" s="3" t="s">
        <v>964</v>
      </c>
    </row>
    <row r="32" spans="1:2" x14ac:dyDescent="0.2">
      <c r="A32" t="s">
        <v>965</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0070C0"/>
  </sheetPr>
  <dimension ref="A1:E999"/>
  <sheetViews>
    <sheetView zoomScaleNormal="100" workbookViewId="0">
      <pane xSplit="2" ySplit="2" topLeftCell="C3" activePane="bottomRight" state="frozen"/>
      <selection activeCell="M49" sqref="M49"/>
      <selection pane="topRight" activeCell="M49" sqref="M49"/>
      <selection pane="bottomLeft" activeCell="M49" sqref="M49"/>
      <selection pane="bottomRight" activeCell="F2" sqref="F2"/>
    </sheetView>
  </sheetViews>
  <sheetFormatPr defaultRowHeight="11.25" x14ac:dyDescent="0.2"/>
  <cols>
    <col min="1" max="1" width="11.83203125" style="3" bestFit="1" customWidth="1"/>
    <col min="2" max="2" width="11.33203125" style="3" customWidth="1"/>
    <col min="4" max="4" width="20.5" bestFit="1" customWidth="1"/>
    <col min="5" max="5" width="19.83203125" bestFit="1" customWidth="1"/>
    <col min="6" max="6" width="10.1640625" bestFit="1" customWidth="1"/>
  </cols>
  <sheetData>
    <row r="1" spans="1:5" s="93" customFormat="1" x14ac:dyDescent="0.2">
      <c r="A1" s="93" t="s">
        <v>334</v>
      </c>
      <c r="B1" s="93" t="s">
        <v>333</v>
      </c>
      <c r="C1" s="93" t="s">
        <v>282</v>
      </c>
    </row>
    <row r="2" spans="1:5" s="93" customFormat="1" x14ac:dyDescent="0.2">
      <c r="C2" s="93" t="s">
        <v>16</v>
      </c>
      <c r="D2" s="93" t="s">
        <v>222</v>
      </c>
      <c r="E2" s="93" t="s">
        <v>27</v>
      </c>
    </row>
    <row r="3" spans="1:5" x14ac:dyDescent="0.2">
      <c r="A3"/>
      <c r="B3"/>
    </row>
    <row r="4" spans="1:5" x14ac:dyDescent="0.2">
      <c r="A4"/>
      <c r="B4"/>
    </row>
    <row r="5" spans="1:5" x14ac:dyDescent="0.2">
      <c r="A5"/>
      <c r="B5"/>
    </row>
    <row r="6" spans="1:5" x14ac:dyDescent="0.2">
      <c r="A6"/>
      <c r="B6"/>
    </row>
    <row r="7" spans="1:5" x14ac:dyDescent="0.2">
      <c r="A7"/>
      <c r="B7"/>
    </row>
    <row r="8" spans="1:5" x14ac:dyDescent="0.2">
      <c r="A8"/>
      <c r="B8"/>
    </row>
    <row r="9" spans="1:5" x14ac:dyDescent="0.2">
      <c r="A9"/>
      <c r="B9"/>
    </row>
    <row r="10" spans="1:5" x14ac:dyDescent="0.2">
      <c r="A10"/>
      <c r="B10"/>
    </row>
    <row r="11" spans="1:5" x14ac:dyDescent="0.2">
      <c r="A11"/>
      <c r="B11"/>
    </row>
    <row r="12" spans="1:5" x14ac:dyDescent="0.2">
      <c r="A12"/>
      <c r="B12"/>
    </row>
    <row r="13" spans="1:5" x14ac:dyDescent="0.2">
      <c r="A13"/>
      <c r="B13"/>
    </row>
    <row r="14" spans="1:5" x14ac:dyDescent="0.2">
      <c r="A14"/>
      <c r="B14"/>
    </row>
    <row r="15" spans="1:5" x14ac:dyDescent="0.2">
      <c r="A15"/>
      <c r="B15"/>
    </row>
    <row r="16" spans="1:5" x14ac:dyDescent="0.2">
      <c r="A16"/>
      <c r="B16"/>
    </row>
    <row r="17" spans="1:2" x14ac:dyDescent="0.2">
      <c r="A17"/>
      <c r="B17"/>
    </row>
    <row r="18" spans="1:2" x14ac:dyDescent="0.2">
      <c r="A18"/>
      <c r="B18"/>
    </row>
    <row r="19" spans="1:2" x14ac:dyDescent="0.2">
      <c r="A19"/>
      <c r="B19"/>
    </row>
    <row r="20" spans="1:2" x14ac:dyDescent="0.2">
      <c r="A20"/>
      <c r="B20"/>
    </row>
    <row r="21" spans="1:2" x14ac:dyDescent="0.2">
      <c r="A21"/>
      <c r="B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c r="B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row r="41" spans="1:2" x14ac:dyDescent="0.2">
      <c r="A41"/>
      <c r="B41"/>
    </row>
    <row r="42" spans="1:2" x14ac:dyDescent="0.2">
      <c r="A42"/>
      <c r="B42"/>
    </row>
    <row r="43" spans="1:2" x14ac:dyDescent="0.2">
      <c r="A43"/>
      <c r="B43"/>
    </row>
    <row r="44" spans="1:2" x14ac:dyDescent="0.2">
      <c r="A44"/>
      <c r="B44"/>
    </row>
    <row r="45" spans="1:2" x14ac:dyDescent="0.2">
      <c r="A45"/>
      <c r="B45"/>
    </row>
    <row r="46" spans="1:2" x14ac:dyDescent="0.2">
      <c r="A46"/>
      <c r="B46"/>
    </row>
    <row r="47" spans="1:2" x14ac:dyDescent="0.2">
      <c r="A47"/>
      <c r="B47"/>
    </row>
    <row r="48" spans="1:2" x14ac:dyDescent="0.2">
      <c r="A48"/>
      <c r="B48"/>
    </row>
    <row r="49" spans="1:2" x14ac:dyDescent="0.2">
      <c r="A49"/>
      <c r="B49"/>
    </row>
    <row r="50" spans="1:2" x14ac:dyDescent="0.2">
      <c r="A50"/>
      <c r="B50"/>
    </row>
    <row r="51" spans="1:2" x14ac:dyDescent="0.2">
      <c r="A51"/>
      <c r="B51"/>
    </row>
    <row r="52" spans="1:2" x14ac:dyDescent="0.2">
      <c r="A52"/>
      <c r="B52"/>
    </row>
    <row r="53" spans="1:2" x14ac:dyDescent="0.2">
      <c r="A53"/>
      <c r="B53"/>
    </row>
    <row r="54" spans="1:2" x14ac:dyDescent="0.2">
      <c r="A54"/>
      <c r="B54"/>
    </row>
    <row r="55" spans="1:2" x14ac:dyDescent="0.2">
      <c r="A55"/>
      <c r="B55"/>
    </row>
    <row r="56" spans="1:2" x14ac:dyDescent="0.2">
      <c r="A56"/>
      <c r="B56"/>
    </row>
    <row r="57" spans="1:2" x14ac:dyDescent="0.2">
      <c r="A57"/>
      <c r="B57"/>
    </row>
    <row r="58" spans="1:2" x14ac:dyDescent="0.2">
      <c r="A58"/>
      <c r="B58"/>
    </row>
    <row r="59" spans="1:2" x14ac:dyDescent="0.2">
      <c r="A59"/>
      <c r="B59"/>
    </row>
    <row r="60" spans="1:2" x14ac:dyDescent="0.2">
      <c r="A60"/>
      <c r="B60"/>
    </row>
    <row r="61" spans="1:2" x14ac:dyDescent="0.2">
      <c r="A61"/>
      <c r="B61"/>
    </row>
    <row r="62" spans="1:2" x14ac:dyDescent="0.2">
      <c r="A62"/>
      <c r="B62"/>
    </row>
    <row r="63" spans="1:2" x14ac:dyDescent="0.2">
      <c r="A63"/>
      <c r="B63"/>
    </row>
    <row r="64" spans="1:2" x14ac:dyDescent="0.2">
      <c r="A64"/>
      <c r="B64"/>
    </row>
    <row r="65" spans="1:2" x14ac:dyDescent="0.2">
      <c r="A65"/>
      <c r="B65"/>
    </row>
    <row r="66" spans="1:2" x14ac:dyDescent="0.2">
      <c r="A66"/>
      <c r="B66"/>
    </row>
    <row r="67" spans="1:2" x14ac:dyDescent="0.2">
      <c r="A67"/>
      <c r="B67"/>
    </row>
    <row r="68" spans="1:2" x14ac:dyDescent="0.2">
      <c r="A68"/>
      <c r="B68"/>
    </row>
    <row r="69" spans="1:2" x14ac:dyDescent="0.2">
      <c r="A69"/>
      <c r="B69"/>
    </row>
    <row r="70" spans="1:2" x14ac:dyDescent="0.2">
      <c r="A70"/>
      <c r="B70"/>
    </row>
    <row r="71" spans="1:2" x14ac:dyDescent="0.2">
      <c r="A71"/>
      <c r="B71"/>
    </row>
    <row r="72" spans="1:2" x14ac:dyDescent="0.2">
      <c r="A72"/>
      <c r="B72"/>
    </row>
    <row r="73" spans="1:2" x14ac:dyDescent="0.2">
      <c r="A73"/>
      <c r="B73"/>
    </row>
    <row r="74" spans="1:2" x14ac:dyDescent="0.2">
      <c r="A74"/>
      <c r="B74"/>
    </row>
    <row r="75" spans="1:2" x14ac:dyDescent="0.2">
      <c r="A75"/>
      <c r="B75"/>
    </row>
    <row r="76" spans="1:2" x14ac:dyDescent="0.2">
      <c r="A76"/>
      <c r="B76"/>
    </row>
    <row r="77" spans="1:2" x14ac:dyDescent="0.2">
      <c r="A77"/>
      <c r="B77"/>
    </row>
    <row r="78" spans="1:2" x14ac:dyDescent="0.2">
      <c r="A78"/>
      <c r="B78"/>
    </row>
    <row r="79" spans="1:2" x14ac:dyDescent="0.2">
      <c r="A79"/>
      <c r="B79"/>
    </row>
    <row r="80" spans="1:2" x14ac:dyDescent="0.2">
      <c r="A80"/>
      <c r="B80"/>
    </row>
    <row r="81" spans="1:2" x14ac:dyDescent="0.2">
      <c r="A81"/>
      <c r="B81"/>
    </row>
    <row r="82" spans="1:2" x14ac:dyDescent="0.2">
      <c r="A82"/>
      <c r="B82"/>
    </row>
    <row r="83" spans="1:2" x14ac:dyDescent="0.2">
      <c r="A83"/>
      <c r="B83"/>
    </row>
    <row r="84" spans="1:2" x14ac:dyDescent="0.2">
      <c r="A84"/>
      <c r="B84"/>
    </row>
    <row r="85" spans="1:2" x14ac:dyDescent="0.2">
      <c r="A85"/>
      <c r="B85"/>
    </row>
    <row r="86" spans="1:2" x14ac:dyDescent="0.2">
      <c r="A86"/>
      <c r="B86"/>
    </row>
    <row r="87" spans="1:2" x14ac:dyDescent="0.2">
      <c r="A87"/>
      <c r="B87"/>
    </row>
    <row r="88" spans="1:2" x14ac:dyDescent="0.2">
      <c r="A88"/>
      <c r="B88"/>
    </row>
    <row r="89" spans="1:2" x14ac:dyDescent="0.2">
      <c r="A89"/>
      <c r="B89"/>
    </row>
    <row r="90" spans="1:2" x14ac:dyDescent="0.2">
      <c r="A90"/>
      <c r="B90"/>
    </row>
    <row r="91" spans="1:2" x14ac:dyDescent="0.2">
      <c r="A91"/>
      <c r="B91"/>
    </row>
    <row r="92" spans="1:2" x14ac:dyDescent="0.2">
      <c r="A92"/>
      <c r="B92"/>
    </row>
    <row r="93" spans="1:2" x14ac:dyDescent="0.2">
      <c r="A93"/>
      <c r="B93"/>
    </row>
    <row r="94" spans="1:2" x14ac:dyDescent="0.2">
      <c r="A94"/>
      <c r="B94"/>
    </row>
    <row r="95" spans="1:2" x14ac:dyDescent="0.2">
      <c r="A95"/>
      <c r="B95"/>
    </row>
    <row r="96" spans="1:2" x14ac:dyDescent="0.2">
      <c r="A96"/>
      <c r="B96"/>
    </row>
    <row r="97" spans="1:2" x14ac:dyDescent="0.2">
      <c r="A97"/>
      <c r="B97"/>
    </row>
    <row r="98" spans="1:2" x14ac:dyDescent="0.2">
      <c r="A98"/>
      <c r="B98"/>
    </row>
    <row r="99" spans="1:2" x14ac:dyDescent="0.2">
      <c r="A99"/>
      <c r="B99"/>
    </row>
    <row r="100" spans="1:2" x14ac:dyDescent="0.2">
      <c r="A100"/>
      <c r="B100"/>
    </row>
    <row r="101" spans="1:2" x14ac:dyDescent="0.2">
      <c r="A101"/>
      <c r="B101"/>
    </row>
    <row r="102" spans="1:2" x14ac:dyDescent="0.2">
      <c r="A102"/>
      <c r="B102"/>
    </row>
    <row r="103" spans="1:2" x14ac:dyDescent="0.2">
      <c r="A103"/>
      <c r="B103"/>
    </row>
    <row r="104" spans="1:2" x14ac:dyDescent="0.2">
      <c r="A104"/>
      <c r="B104"/>
    </row>
    <row r="105" spans="1:2" x14ac:dyDescent="0.2">
      <c r="A105"/>
      <c r="B105"/>
    </row>
    <row r="106" spans="1:2" x14ac:dyDescent="0.2">
      <c r="A106"/>
      <c r="B106"/>
    </row>
    <row r="107" spans="1:2" x14ac:dyDescent="0.2">
      <c r="A107"/>
      <c r="B107"/>
    </row>
    <row r="108" spans="1:2" x14ac:dyDescent="0.2">
      <c r="A108"/>
      <c r="B108"/>
    </row>
    <row r="109" spans="1:2" x14ac:dyDescent="0.2">
      <c r="A109"/>
      <c r="B109"/>
    </row>
    <row r="110" spans="1:2" x14ac:dyDescent="0.2">
      <c r="A110"/>
      <c r="B110"/>
    </row>
    <row r="111" spans="1:2" x14ac:dyDescent="0.2">
      <c r="A111"/>
      <c r="B111"/>
    </row>
    <row r="112" spans="1:2" x14ac:dyDescent="0.2">
      <c r="A112"/>
      <c r="B112"/>
    </row>
    <row r="113" spans="1:2" x14ac:dyDescent="0.2">
      <c r="A113"/>
      <c r="B113"/>
    </row>
    <row r="114" spans="1:2" x14ac:dyDescent="0.2">
      <c r="A114"/>
      <c r="B114"/>
    </row>
    <row r="115" spans="1:2" x14ac:dyDescent="0.2">
      <c r="A115"/>
      <c r="B115"/>
    </row>
    <row r="116" spans="1:2" x14ac:dyDescent="0.2">
      <c r="A116"/>
      <c r="B116"/>
    </row>
    <row r="117" spans="1:2" x14ac:dyDescent="0.2">
      <c r="A117"/>
      <c r="B117"/>
    </row>
    <row r="118" spans="1:2" x14ac:dyDescent="0.2">
      <c r="A118"/>
      <c r="B118"/>
    </row>
    <row r="119" spans="1:2" x14ac:dyDescent="0.2">
      <c r="A119"/>
      <c r="B119"/>
    </row>
    <row r="120" spans="1:2" x14ac:dyDescent="0.2">
      <c r="A120"/>
      <c r="B120"/>
    </row>
    <row r="121" spans="1:2" x14ac:dyDescent="0.2">
      <c r="A121"/>
      <c r="B121"/>
    </row>
    <row r="122" spans="1:2" x14ac:dyDescent="0.2">
      <c r="A122"/>
      <c r="B122"/>
    </row>
    <row r="123" spans="1:2" x14ac:dyDescent="0.2">
      <c r="A123"/>
      <c r="B123"/>
    </row>
    <row r="124" spans="1:2" x14ac:dyDescent="0.2">
      <c r="A124"/>
      <c r="B124"/>
    </row>
    <row r="125" spans="1:2" x14ac:dyDescent="0.2">
      <c r="A125"/>
      <c r="B125"/>
    </row>
    <row r="126" spans="1:2" x14ac:dyDescent="0.2">
      <c r="A126"/>
      <c r="B126"/>
    </row>
    <row r="127" spans="1:2" x14ac:dyDescent="0.2">
      <c r="A127"/>
      <c r="B127"/>
    </row>
    <row r="128" spans="1:2" x14ac:dyDescent="0.2">
      <c r="A128"/>
      <c r="B128"/>
    </row>
    <row r="129" spans="1:2" x14ac:dyDescent="0.2">
      <c r="A129"/>
      <c r="B129"/>
    </row>
    <row r="130" spans="1:2" x14ac:dyDescent="0.2">
      <c r="A130"/>
      <c r="B130"/>
    </row>
    <row r="131" spans="1:2" x14ac:dyDescent="0.2">
      <c r="A131"/>
      <c r="B131"/>
    </row>
    <row r="132" spans="1:2" x14ac:dyDescent="0.2">
      <c r="A132"/>
      <c r="B132"/>
    </row>
    <row r="133" spans="1:2" x14ac:dyDescent="0.2">
      <c r="A133"/>
      <c r="B133"/>
    </row>
    <row r="134" spans="1:2" x14ac:dyDescent="0.2">
      <c r="A134"/>
      <c r="B134"/>
    </row>
    <row r="135" spans="1:2" x14ac:dyDescent="0.2">
      <c r="A135"/>
      <c r="B135"/>
    </row>
    <row r="136" spans="1:2" x14ac:dyDescent="0.2">
      <c r="A136"/>
      <c r="B136"/>
    </row>
    <row r="137" spans="1:2" x14ac:dyDescent="0.2">
      <c r="A137"/>
      <c r="B137"/>
    </row>
    <row r="138" spans="1:2" x14ac:dyDescent="0.2">
      <c r="A138"/>
      <c r="B138"/>
    </row>
    <row r="139" spans="1:2" x14ac:dyDescent="0.2">
      <c r="A139"/>
      <c r="B139"/>
    </row>
    <row r="140" spans="1:2" x14ac:dyDescent="0.2">
      <c r="A140"/>
      <c r="B140"/>
    </row>
    <row r="141" spans="1:2" x14ac:dyDescent="0.2">
      <c r="A141"/>
      <c r="B141"/>
    </row>
    <row r="142" spans="1:2" x14ac:dyDescent="0.2">
      <c r="A142"/>
      <c r="B142"/>
    </row>
    <row r="143" spans="1:2" x14ac:dyDescent="0.2">
      <c r="A143"/>
      <c r="B143"/>
    </row>
    <row r="144" spans="1:2" x14ac:dyDescent="0.2">
      <c r="A144"/>
      <c r="B144"/>
    </row>
    <row r="145" spans="1:2" x14ac:dyDescent="0.2">
      <c r="A145"/>
      <c r="B145"/>
    </row>
    <row r="146" spans="1:2" x14ac:dyDescent="0.2">
      <c r="A146"/>
      <c r="B146"/>
    </row>
    <row r="147" spans="1:2" x14ac:dyDescent="0.2">
      <c r="A147"/>
      <c r="B147"/>
    </row>
    <row r="148" spans="1:2" x14ac:dyDescent="0.2">
      <c r="A148"/>
      <c r="B148"/>
    </row>
    <row r="149" spans="1:2" x14ac:dyDescent="0.2">
      <c r="A149"/>
      <c r="B149"/>
    </row>
    <row r="150" spans="1:2" x14ac:dyDescent="0.2">
      <c r="A150"/>
      <c r="B150"/>
    </row>
    <row r="151" spans="1:2" x14ac:dyDescent="0.2">
      <c r="A151"/>
      <c r="B151"/>
    </row>
    <row r="152" spans="1:2" x14ac:dyDescent="0.2">
      <c r="A152"/>
      <c r="B152"/>
    </row>
    <row r="153" spans="1:2" x14ac:dyDescent="0.2">
      <c r="A153"/>
      <c r="B153"/>
    </row>
    <row r="154" spans="1:2" x14ac:dyDescent="0.2">
      <c r="A154"/>
      <c r="B154"/>
    </row>
    <row r="155" spans="1:2" x14ac:dyDescent="0.2">
      <c r="A155"/>
      <c r="B155"/>
    </row>
    <row r="156" spans="1:2" x14ac:dyDescent="0.2">
      <c r="A156"/>
      <c r="B156"/>
    </row>
    <row r="157" spans="1:2" x14ac:dyDescent="0.2">
      <c r="A157"/>
      <c r="B157"/>
    </row>
    <row r="158" spans="1:2" x14ac:dyDescent="0.2">
      <c r="A158"/>
      <c r="B158"/>
    </row>
    <row r="159" spans="1:2" x14ac:dyDescent="0.2">
      <c r="A159"/>
      <c r="B159"/>
    </row>
    <row r="160" spans="1:2" x14ac:dyDescent="0.2">
      <c r="A160"/>
      <c r="B160"/>
    </row>
    <row r="161" spans="1:2" x14ac:dyDescent="0.2">
      <c r="A161"/>
      <c r="B161"/>
    </row>
    <row r="162" spans="1:2" x14ac:dyDescent="0.2">
      <c r="A162"/>
      <c r="B162"/>
    </row>
    <row r="163" spans="1:2" x14ac:dyDescent="0.2">
      <c r="A163"/>
      <c r="B163"/>
    </row>
    <row r="164" spans="1:2" x14ac:dyDescent="0.2">
      <c r="A164"/>
      <c r="B164"/>
    </row>
    <row r="165" spans="1:2" x14ac:dyDescent="0.2">
      <c r="A165"/>
      <c r="B165"/>
    </row>
    <row r="166" spans="1:2" x14ac:dyDescent="0.2">
      <c r="A166"/>
      <c r="B166"/>
    </row>
    <row r="167" spans="1:2" x14ac:dyDescent="0.2">
      <c r="A167"/>
      <c r="B167"/>
    </row>
    <row r="168" spans="1:2" x14ac:dyDescent="0.2">
      <c r="A168"/>
      <c r="B168"/>
    </row>
    <row r="169" spans="1:2" x14ac:dyDescent="0.2">
      <c r="A169"/>
      <c r="B169"/>
    </row>
    <row r="170" spans="1:2" x14ac:dyDescent="0.2">
      <c r="A170"/>
      <c r="B170"/>
    </row>
    <row r="171" spans="1:2" x14ac:dyDescent="0.2">
      <c r="A171"/>
      <c r="B171"/>
    </row>
    <row r="172" spans="1:2" x14ac:dyDescent="0.2">
      <c r="A172"/>
      <c r="B172"/>
    </row>
    <row r="173" spans="1:2" x14ac:dyDescent="0.2">
      <c r="A173"/>
      <c r="B173"/>
    </row>
    <row r="174" spans="1:2" x14ac:dyDescent="0.2">
      <c r="A174"/>
      <c r="B174"/>
    </row>
    <row r="175" spans="1:2" x14ac:dyDescent="0.2">
      <c r="A175"/>
      <c r="B175"/>
    </row>
    <row r="176" spans="1:2" x14ac:dyDescent="0.2">
      <c r="A176"/>
      <c r="B176"/>
    </row>
    <row r="177" spans="1:2" x14ac:dyDescent="0.2">
      <c r="A177"/>
      <c r="B177"/>
    </row>
    <row r="178" spans="1:2" x14ac:dyDescent="0.2">
      <c r="A178"/>
      <c r="B178"/>
    </row>
    <row r="179" spans="1:2" x14ac:dyDescent="0.2">
      <c r="A179"/>
      <c r="B179"/>
    </row>
    <row r="180" spans="1:2" x14ac:dyDescent="0.2">
      <c r="A180"/>
      <c r="B180"/>
    </row>
    <row r="181" spans="1:2" x14ac:dyDescent="0.2">
      <c r="A181"/>
      <c r="B181"/>
    </row>
    <row r="182" spans="1:2" x14ac:dyDescent="0.2">
      <c r="A182"/>
      <c r="B182"/>
    </row>
    <row r="183" spans="1:2" x14ac:dyDescent="0.2">
      <c r="A183"/>
      <c r="B183"/>
    </row>
    <row r="184" spans="1:2" x14ac:dyDescent="0.2">
      <c r="A184"/>
      <c r="B184"/>
    </row>
    <row r="185" spans="1:2" x14ac:dyDescent="0.2">
      <c r="A185"/>
      <c r="B185"/>
    </row>
    <row r="186" spans="1:2" x14ac:dyDescent="0.2">
      <c r="A186"/>
      <c r="B186"/>
    </row>
    <row r="187" spans="1:2" x14ac:dyDescent="0.2">
      <c r="A187"/>
      <c r="B187"/>
    </row>
    <row r="188" spans="1:2" x14ac:dyDescent="0.2">
      <c r="A188"/>
      <c r="B188"/>
    </row>
    <row r="189" spans="1:2" x14ac:dyDescent="0.2">
      <c r="A189"/>
      <c r="B189"/>
    </row>
    <row r="190" spans="1:2" x14ac:dyDescent="0.2">
      <c r="A190"/>
      <c r="B190"/>
    </row>
    <row r="191" spans="1:2" x14ac:dyDescent="0.2">
      <c r="A191"/>
      <c r="B191"/>
    </row>
    <row r="192" spans="1:2" x14ac:dyDescent="0.2">
      <c r="A192"/>
      <c r="B192"/>
    </row>
    <row r="193" spans="1:2" x14ac:dyDescent="0.2">
      <c r="A193"/>
      <c r="B193"/>
    </row>
    <row r="194" spans="1:2" x14ac:dyDescent="0.2">
      <c r="A194"/>
      <c r="B194"/>
    </row>
    <row r="195" spans="1:2" x14ac:dyDescent="0.2">
      <c r="A195"/>
      <c r="B195"/>
    </row>
    <row r="196" spans="1:2" x14ac:dyDescent="0.2">
      <c r="A196"/>
      <c r="B196"/>
    </row>
    <row r="197" spans="1:2" x14ac:dyDescent="0.2">
      <c r="A197"/>
      <c r="B197"/>
    </row>
    <row r="198" spans="1:2" x14ac:dyDescent="0.2">
      <c r="A198"/>
      <c r="B198"/>
    </row>
    <row r="199" spans="1:2" x14ac:dyDescent="0.2">
      <c r="A199"/>
      <c r="B199"/>
    </row>
    <row r="200" spans="1:2" x14ac:dyDescent="0.2">
      <c r="A200"/>
      <c r="B200"/>
    </row>
    <row r="201" spans="1:2" x14ac:dyDescent="0.2">
      <c r="A201"/>
      <c r="B201"/>
    </row>
    <row r="202" spans="1:2" x14ac:dyDescent="0.2">
      <c r="A202"/>
      <c r="B202"/>
    </row>
    <row r="203" spans="1:2" x14ac:dyDescent="0.2">
      <c r="A203"/>
      <c r="B203"/>
    </row>
    <row r="204" spans="1:2" x14ac:dyDescent="0.2">
      <c r="A204"/>
      <c r="B204"/>
    </row>
    <row r="205" spans="1:2" x14ac:dyDescent="0.2">
      <c r="A205"/>
      <c r="B205"/>
    </row>
    <row r="206" spans="1:2" x14ac:dyDescent="0.2">
      <c r="A206"/>
      <c r="B206"/>
    </row>
    <row r="207" spans="1:2" x14ac:dyDescent="0.2">
      <c r="A207"/>
      <c r="B207"/>
    </row>
    <row r="208" spans="1:2" x14ac:dyDescent="0.2">
      <c r="A208"/>
      <c r="B208"/>
    </row>
    <row r="209" spans="1:2" x14ac:dyDescent="0.2">
      <c r="A209"/>
      <c r="B209"/>
    </row>
    <row r="210" spans="1:2" x14ac:dyDescent="0.2">
      <c r="A210"/>
      <c r="B210"/>
    </row>
    <row r="211" spans="1:2" x14ac:dyDescent="0.2">
      <c r="A211"/>
      <c r="B211"/>
    </row>
    <row r="212" spans="1:2" x14ac:dyDescent="0.2">
      <c r="A212"/>
      <c r="B212"/>
    </row>
    <row r="213" spans="1:2" x14ac:dyDescent="0.2">
      <c r="A213"/>
      <c r="B213"/>
    </row>
    <row r="214" spans="1:2" x14ac:dyDescent="0.2">
      <c r="A214"/>
      <c r="B214"/>
    </row>
    <row r="215" spans="1:2" x14ac:dyDescent="0.2">
      <c r="A215"/>
      <c r="B215"/>
    </row>
    <row r="216" spans="1:2" x14ac:dyDescent="0.2">
      <c r="A216"/>
      <c r="B216"/>
    </row>
    <row r="217" spans="1:2" x14ac:dyDescent="0.2">
      <c r="A217"/>
      <c r="B217"/>
    </row>
    <row r="218" spans="1:2" x14ac:dyDescent="0.2">
      <c r="A218"/>
      <c r="B218"/>
    </row>
    <row r="219" spans="1:2" x14ac:dyDescent="0.2">
      <c r="A219"/>
      <c r="B219"/>
    </row>
    <row r="220" spans="1:2" x14ac:dyDescent="0.2">
      <c r="A220"/>
      <c r="B220"/>
    </row>
    <row r="221" spans="1:2" x14ac:dyDescent="0.2">
      <c r="A221"/>
      <c r="B221"/>
    </row>
    <row r="222" spans="1:2" x14ac:dyDescent="0.2">
      <c r="A222"/>
      <c r="B222"/>
    </row>
    <row r="223" spans="1:2" x14ac:dyDescent="0.2">
      <c r="A223"/>
      <c r="B223"/>
    </row>
    <row r="224" spans="1:2" x14ac:dyDescent="0.2">
      <c r="A224"/>
      <c r="B224"/>
    </row>
    <row r="225" spans="1:2" x14ac:dyDescent="0.2">
      <c r="A225"/>
      <c r="B225"/>
    </row>
    <row r="226" spans="1:2" x14ac:dyDescent="0.2">
      <c r="A226"/>
      <c r="B226"/>
    </row>
    <row r="227" spans="1:2" x14ac:dyDescent="0.2">
      <c r="A227"/>
      <c r="B227"/>
    </row>
    <row r="228" spans="1:2" x14ac:dyDescent="0.2">
      <c r="A228"/>
      <c r="B228"/>
    </row>
    <row r="229" spans="1:2" x14ac:dyDescent="0.2">
      <c r="A229"/>
      <c r="B229"/>
    </row>
    <row r="230" spans="1:2" x14ac:dyDescent="0.2">
      <c r="A230"/>
      <c r="B230"/>
    </row>
    <row r="231" spans="1:2" x14ac:dyDescent="0.2">
      <c r="A231"/>
      <c r="B231"/>
    </row>
    <row r="232" spans="1:2" x14ac:dyDescent="0.2">
      <c r="A232"/>
      <c r="B232"/>
    </row>
    <row r="233" spans="1:2" x14ac:dyDescent="0.2">
      <c r="A233"/>
      <c r="B233"/>
    </row>
    <row r="234" spans="1:2" x14ac:dyDescent="0.2">
      <c r="A234"/>
      <c r="B234"/>
    </row>
    <row r="235" spans="1:2" x14ac:dyDescent="0.2">
      <c r="A235"/>
      <c r="B235"/>
    </row>
    <row r="236" spans="1:2" x14ac:dyDescent="0.2">
      <c r="A236"/>
      <c r="B236"/>
    </row>
    <row r="237" spans="1:2" x14ac:dyDescent="0.2">
      <c r="A237"/>
      <c r="B237"/>
    </row>
    <row r="238" spans="1:2" x14ac:dyDescent="0.2">
      <c r="A238"/>
      <c r="B238"/>
    </row>
    <row r="239" spans="1:2" x14ac:dyDescent="0.2">
      <c r="A239"/>
      <c r="B239"/>
    </row>
    <row r="240" spans="1:2" x14ac:dyDescent="0.2">
      <c r="A240"/>
      <c r="B240"/>
    </row>
    <row r="241" spans="1:2" x14ac:dyDescent="0.2">
      <c r="A241"/>
      <c r="B241"/>
    </row>
    <row r="242" spans="1:2" x14ac:dyDescent="0.2">
      <c r="A242"/>
      <c r="B242"/>
    </row>
    <row r="243" spans="1:2" x14ac:dyDescent="0.2">
      <c r="A243"/>
      <c r="B243"/>
    </row>
    <row r="244" spans="1:2" x14ac:dyDescent="0.2">
      <c r="A244"/>
      <c r="B244"/>
    </row>
    <row r="245" spans="1:2" x14ac:dyDescent="0.2">
      <c r="A245"/>
      <c r="B245"/>
    </row>
    <row r="246" spans="1:2" x14ac:dyDescent="0.2">
      <c r="A246"/>
      <c r="B246"/>
    </row>
    <row r="247" spans="1:2" x14ac:dyDescent="0.2">
      <c r="A247"/>
      <c r="B247"/>
    </row>
    <row r="248" spans="1:2" x14ac:dyDescent="0.2">
      <c r="A248"/>
      <c r="B248"/>
    </row>
    <row r="249" spans="1:2" x14ac:dyDescent="0.2">
      <c r="A249"/>
      <c r="B249"/>
    </row>
    <row r="250" spans="1:2" x14ac:dyDescent="0.2">
      <c r="A250"/>
      <c r="B250"/>
    </row>
    <row r="251" spans="1:2" x14ac:dyDescent="0.2">
      <c r="A251"/>
      <c r="B251"/>
    </row>
    <row r="252" spans="1:2" x14ac:dyDescent="0.2">
      <c r="A252"/>
      <c r="B252"/>
    </row>
    <row r="253" spans="1:2" x14ac:dyDescent="0.2">
      <c r="A253"/>
      <c r="B253"/>
    </row>
    <row r="254" spans="1:2" x14ac:dyDescent="0.2">
      <c r="A254"/>
      <c r="B254"/>
    </row>
    <row r="255" spans="1:2" x14ac:dyDescent="0.2">
      <c r="A255"/>
      <c r="B255"/>
    </row>
    <row r="256" spans="1:2" x14ac:dyDescent="0.2">
      <c r="A256"/>
      <c r="B256"/>
    </row>
    <row r="257" spans="1:2" x14ac:dyDescent="0.2">
      <c r="A257"/>
      <c r="B257"/>
    </row>
    <row r="258" spans="1:2" x14ac:dyDescent="0.2">
      <c r="A258"/>
      <c r="B258"/>
    </row>
    <row r="259" spans="1:2" x14ac:dyDescent="0.2">
      <c r="A259"/>
      <c r="B259"/>
    </row>
    <row r="260" spans="1:2" x14ac:dyDescent="0.2">
      <c r="A260"/>
      <c r="B260"/>
    </row>
    <row r="261" spans="1:2" x14ac:dyDescent="0.2">
      <c r="A261"/>
      <c r="B261"/>
    </row>
    <row r="262" spans="1:2" x14ac:dyDescent="0.2">
      <c r="A262"/>
      <c r="B262"/>
    </row>
    <row r="263" spans="1:2" x14ac:dyDescent="0.2">
      <c r="A263"/>
      <c r="B263"/>
    </row>
    <row r="264" spans="1:2" x14ac:dyDescent="0.2">
      <c r="A264"/>
      <c r="B264"/>
    </row>
    <row r="265" spans="1:2" x14ac:dyDescent="0.2">
      <c r="A265"/>
      <c r="B265"/>
    </row>
    <row r="266" spans="1:2" x14ac:dyDescent="0.2">
      <c r="A266"/>
      <c r="B266"/>
    </row>
    <row r="267" spans="1:2" x14ac:dyDescent="0.2">
      <c r="A267"/>
      <c r="B267"/>
    </row>
    <row r="268" spans="1:2" x14ac:dyDescent="0.2">
      <c r="A268"/>
      <c r="B268"/>
    </row>
    <row r="269" spans="1:2" x14ac:dyDescent="0.2">
      <c r="A269"/>
      <c r="B269"/>
    </row>
    <row r="270" spans="1:2" x14ac:dyDescent="0.2">
      <c r="A270"/>
      <c r="B270"/>
    </row>
    <row r="271" spans="1:2" x14ac:dyDescent="0.2">
      <c r="A271"/>
      <c r="B271"/>
    </row>
    <row r="272" spans="1:2" x14ac:dyDescent="0.2">
      <c r="A272"/>
      <c r="B272"/>
    </row>
    <row r="273" spans="1:2" x14ac:dyDescent="0.2">
      <c r="A273"/>
      <c r="B273"/>
    </row>
    <row r="274" spans="1:2" x14ac:dyDescent="0.2">
      <c r="A274"/>
      <c r="B274"/>
    </row>
    <row r="275" spans="1:2" x14ac:dyDescent="0.2">
      <c r="A275"/>
      <c r="B275"/>
    </row>
    <row r="276" spans="1:2" x14ac:dyDescent="0.2">
      <c r="A276"/>
      <c r="B276"/>
    </row>
    <row r="277" spans="1:2" x14ac:dyDescent="0.2">
      <c r="A277"/>
      <c r="B277"/>
    </row>
    <row r="278" spans="1:2" x14ac:dyDescent="0.2">
      <c r="A278"/>
      <c r="B278"/>
    </row>
    <row r="279" spans="1:2" x14ac:dyDescent="0.2">
      <c r="A279"/>
      <c r="B279"/>
    </row>
    <row r="280" spans="1:2" x14ac:dyDescent="0.2">
      <c r="A280"/>
      <c r="B280"/>
    </row>
    <row r="281" spans="1:2" x14ac:dyDescent="0.2">
      <c r="A281"/>
      <c r="B281"/>
    </row>
    <row r="282" spans="1:2" x14ac:dyDescent="0.2">
      <c r="A282"/>
      <c r="B282"/>
    </row>
    <row r="283" spans="1:2" x14ac:dyDescent="0.2">
      <c r="A283"/>
      <c r="B283"/>
    </row>
    <row r="284" spans="1:2" x14ac:dyDescent="0.2">
      <c r="A284"/>
      <c r="B284"/>
    </row>
    <row r="285" spans="1:2" x14ac:dyDescent="0.2">
      <c r="A285"/>
      <c r="B285"/>
    </row>
    <row r="286" spans="1:2" x14ac:dyDescent="0.2">
      <c r="A286"/>
      <c r="B286"/>
    </row>
    <row r="287" spans="1:2" x14ac:dyDescent="0.2">
      <c r="A287"/>
      <c r="B287"/>
    </row>
    <row r="288" spans="1:2" x14ac:dyDescent="0.2">
      <c r="A288"/>
      <c r="B288"/>
    </row>
    <row r="289" spans="1:2" x14ac:dyDescent="0.2">
      <c r="A289"/>
      <c r="B289"/>
    </row>
    <row r="290" spans="1:2" x14ac:dyDescent="0.2">
      <c r="A290"/>
      <c r="B290"/>
    </row>
    <row r="291" spans="1:2" x14ac:dyDescent="0.2">
      <c r="A291"/>
      <c r="B291"/>
    </row>
    <row r="292" spans="1:2" x14ac:dyDescent="0.2">
      <c r="A292"/>
      <c r="B292"/>
    </row>
    <row r="293" spans="1:2" x14ac:dyDescent="0.2">
      <c r="A293"/>
      <c r="B293"/>
    </row>
    <row r="294" spans="1:2" x14ac:dyDescent="0.2">
      <c r="A294"/>
      <c r="B294"/>
    </row>
    <row r="295" spans="1:2" x14ac:dyDescent="0.2">
      <c r="A295"/>
      <c r="B295"/>
    </row>
    <row r="296" spans="1:2" x14ac:dyDescent="0.2">
      <c r="A296"/>
      <c r="B296"/>
    </row>
    <row r="297" spans="1:2" x14ac:dyDescent="0.2">
      <c r="A297"/>
      <c r="B297"/>
    </row>
    <row r="298" spans="1:2" x14ac:dyDescent="0.2">
      <c r="A298"/>
      <c r="B298"/>
    </row>
    <row r="299" spans="1:2" x14ac:dyDescent="0.2">
      <c r="A299"/>
      <c r="B299"/>
    </row>
    <row r="300" spans="1:2" x14ac:dyDescent="0.2">
      <c r="A300"/>
      <c r="B300"/>
    </row>
    <row r="301" spans="1:2" x14ac:dyDescent="0.2">
      <c r="A301"/>
      <c r="B301"/>
    </row>
    <row r="302" spans="1:2" x14ac:dyDescent="0.2">
      <c r="A302"/>
      <c r="B302"/>
    </row>
    <row r="303" spans="1:2" x14ac:dyDescent="0.2">
      <c r="A303"/>
      <c r="B303"/>
    </row>
    <row r="304" spans="1:2" x14ac:dyDescent="0.2">
      <c r="A304"/>
      <c r="B304"/>
    </row>
    <row r="305" spans="1:2" x14ac:dyDescent="0.2">
      <c r="A305"/>
      <c r="B305"/>
    </row>
    <row r="306" spans="1:2" x14ac:dyDescent="0.2">
      <c r="A306"/>
      <c r="B306"/>
    </row>
    <row r="307" spans="1:2" x14ac:dyDescent="0.2">
      <c r="A307"/>
      <c r="B307"/>
    </row>
    <row r="308" spans="1:2" x14ac:dyDescent="0.2">
      <c r="A308"/>
      <c r="B308"/>
    </row>
    <row r="309" spans="1:2" x14ac:dyDescent="0.2">
      <c r="A309"/>
      <c r="B309"/>
    </row>
    <row r="310" spans="1:2" x14ac:dyDescent="0.2">
      <c r="A310"/>
      <c r="B310"/>
    </row>
    <row r="311" spans="1:2" x14ac:dyDescent="0.2">
      <c r="A311"/>
      <c r="B311"/>
    </row>
    <row r="312" spans="1:2" x14ac:dyDescent="0.2">
      <c r="A312"/>
      <c r="B312"/>
    </row>
    <row r="313" spans="1:2" x14ac:dyDescent="0.2">
      <c r="A313"/>
      <c r="B313"/>
    </row>
    <row r="314" spans="1:2" x14ac:dyDescent="0.2">
      <c r="A314"/>
      <c r="B314"/>
    </row>
    <row r="315" spans="1:2" x14ac:dyDescent="0.2">
      <c r="A315"/>
      <c r="B315"/>
    </row>
    <row r="316" spans="1:2" x14ac:dyDescent="0.2">
      <c r="A316"/>
      <c r="B316"/>
    </row>
    <row r="317" spans="1:2" x14ac:dyDescent="0.2">
      <c r="A317"/>
      <c r="B317"/>
    </row>
    <row r="318" spans="1:2" x14ac:dyDescent="0.2">
      <c r="A318"/>
      <c r="B318"/>
    </row>
    <row r="319" spans="1:2" x14ac:dyDescent="0.2">
      <c r="A319"/>
      <c r="B319"/>
    </row>
    <row r="320" spans="1:2" x14ac:dyDescent="0.2">
      <c r="A320"/>
      <c r="B320"/>
    </row>
    <row r="321" spans="1:2" x14ac:dyDescent="0.2">
      <c r="A321"/>
      <c r="B321"/>
    </row>
    <row r="322" spans="1:2" x14ac:dyDescent="0.2">
      <c r="A322"/>
      <c r="B322"/>
    </row>
    <row r="323" spans="1:2" x14ac:dyDescent="0.2">
      <c r="A323"/>
      <c r="B323"/>
    </row>
    <row r="324" spans="1:2" x14ac:dyDescent="0.2">
      <c r="A324"/>
      <c r="B324"/>
    </row>
    <row r="325" spans="1:2" x14ac:dyDescent="0.2">
      <c r="A325"/>
      <c r="B325"/>
    </row>
    <row r="326" spans="1:2" x14ac:dyDescent="0.2">
      <c r="A326"/>
      <c r="B326"/>
    </row>
    <row r="327" spans="1:2" x14ac:dyDescent="0.2">
      <c r="A327"/>
      <c r="B327"/>
    </row>
    <row r="328" spans="1:2" x14ac:dyDescent="0.2">
      <c r="A328"/>
      <c r="B328"/>
    </row>
    <row r="329" spans="1:2" x14ac:dyDescent="0.2">
      <c r="A329"/>
      <c r="B329"/>
    </row>
    <row r="330" spans="1:2" x14ac:dyDescent="0.2">
      <c r="A330"/>
      <c r="B330"/>
    </row>
    <row r="331" spans="1:2" x14ac:dyDescent="0.2">
      <c r="A331"/>
      <c r="B331"/>
    </row>
    <row r="332" spans="1:2" x14ac:dyDescent="0.2">
      <c r="A332"/>
      <c r="B332"/>
    </row>
    <row r="333" spans="1:2" x14ac:dyDescent="0.2">
      <c r="A333"/>
      <c r="B333"/>
    </row>
    <row r="334" spans="1:2" x14ac:dyDescent="0.2">
      <c r="A334"/>
      <c r="B334"/>
    </row>
    <row r="335" spans="1:2" x14ac:dyDescent="0.2">
      <c r="A335"/>
      <c r="B335"/>
    </row>
    <row r="336" spans="1:2" x14ac:dyDescent="0.2">
      <c r="A336"/>
      <c r="B336"/>
    </row>
    <row r="337" spans="1:2" x14ac:dyDescent="0.2">
      <c r="A337"/>
      <c r="B337"/>
    </row>
    <row r="338" spans="1:2" x14ac:dyDescent="0.2">
      <c r="A338"/>
      <c r="B338"/>
    </row>
    <row r="339" spans="1:2" x14ac:dyDescent="0.2">
      <c r="A339"/>
      <c r="B339"/>
    </row>
    <row r="340" spans="1:2" x14ac:dyDescent="0.2">
      <c r="A340"/>
      <c r="B340"/>
    </row>
    <row r="341" spans="1:2" x14ac:dyDescent="0.2">
      <c r="A341"/>
      <c r="B341"/>
    </row>
    <row r="342" spans="1:2" x14ac:dyDescent="0.2">
      <c r="A342"/>
      <c r="B342"/>
    </row>
    <row r="343" spans="1:2" x14ac:dyDescent="0.2">
      <c r="A343"/>
      <c r="B343"/>
    </row>
    <row r="344" spans="1:2" x14ac:dyDescent="0.2">
      <c r="A344"/>
      <c r="B344"/>
    </row>
    <row r="345" spans="1:2" x14ac:dyDescent="0.2">
      <c r="A345"/>
      <c r="B345"/>
    </row>
    <row r="346" spans="1:2" x14ac:dyDescent="0.2">
      <c r="A346"/>
      <c r="B346"/>
    </row>
    <row r="347" spans="1:2" x14ac:dyDescent="0.2">
      <c r="A347"/>
      <c r="B347"/>
    </row>
    <row r="348" spans="1:2" x14ac:dyDescent="0.2">
      <c r="A348"/>
      <c r="B348"/>
    </row>
    <row r="349" spans="1:2" x14ac:dyDescent="0.2">
      <c r="A349"/>
      <c r="B349"/>
    </row>
    <row r="350" spans="1:2" x14ac:dyDescent="0.2">
      <c r="A350"/>
      <c r="B350"/>
    </row>
    <row r="351" spans="1:2" x14ac:dyDescent="0.2">
      <c r="A351"/>
      <c r="B351"/>
    </row>
    <row r="352" spans="1:2" x14ac:dyDescent="0.2">
      <c r="A352"/>
      <c r="B352"/>
    </row>
    <row r="353" spans="1:2" x14ac:dyDescent="0.2">
      <c r="A353"/>
      <c r="B353"/>
    </row>
    <row r="354" spans="1:2" x14ac:dyDescent="0.2">
      <c r="A354"/>
      <c r="B354"/>
    </row>
    <row r="355" spans="1:2" x14ac:dyDescent="0.2">
      <c r="A355"/>
      <c r="B355"/>
    </row>
    <row r="356" spans="1:2" x14ac:dyDescent="0.2">
      <c r="A356"/>
      <c r="B356"/>
    </row>
    <row r="357" spans="1:2" x14ac:dyDescent="0.2">
      <c r="A357"/>
      <c r="B357"/>
    </row>
    <row r="358" spans="1:2" x14ac:dyDescent="0.2">
      <c r="A358"/>
      <c r="B358"/>
    </row>
    <row r="359" spans="1:2" x14ac:dyDescent="0.2">
      <c r="A359"/>
      <c r="B359"/>
    </row>
    <row r="360" spans="1:2" x14ac:dyDescent="0.2">
      <c r="A360"/>
      <c r="B360"/>
    </row>
    <row r="361" spans="1:2" x14ac:dyDescent="0.2">
      <c r="A361"/>
      <c r="B361"/>
    </row>
    <row r="362" spans="1:2" x14ac:dyDescent="0.2">
      <c r="A362"/>
      <c r="B362"/>
    </row>
    <row r="363" spans="1:2" x14ac:dyDescent="0.2">
      <c r="A363"/>
      <c r="B363"/>
    </row>
    <row r="364" spans="1:2" x14ac:dyDescent="0.2">
      <c r="A364"/>
      <c r="B364"/>
    </row>
    <row r="365" spans="1:2" x14ac:dyDescent="0.2">
      <c r="A365"/>
      <c r="B365"/>
    </row>
    <row r="366" spans="1:2" x14ac:dyDescent="0.2">
      <c r="A366"/>
      <c r="B366"/>
    </row>
    <row r="367" spans="1:2" x14ac:dyDescent="0.2">
      <c r="A367"/>
      <c r="B367"/>
    </row>
    <row r="368" spans="1:2" x14ac:dyDescent="0.2">
      <c r="A368"/>
      <c r="B368"/>
    </row>
    <row r="369" spans="1:2" x14ac:dyDescent="0.2">
      <c r="A369"/>
      <c r="B369"/>
    </row>
    <row r="370" spans="1:2" x14ac:dyDescent="0.2">
      <c r="A370"/>
      <c r="B370"/>
    </row>
    <row r="371" spans="1:2" x14ac:dyDescent="0.2">
      <c r="A371"/>
      <c r="B371"/>
    </row>
    <row r="372" spans="1:2" x14ac:dyDescent="0.2">
      <c r="A372"/>
      <c r="B372"/>
    </row>
    <row r="373" spans="1:2" x14ac:dyDescent="0.2">
      <c r="A373"/>
      <c r="B373"/>
    </row>
    <row r="374" spans="1:2" x14ac:dyDescent="0.2">
      <c r="A374"/>
      <c r="B374"/>
    </row>
    <row r="375" spans="1:2" x14ac:dyDescent="0.2">
      <c r="A375"/>
      <c r="B375"/>
    </row>
    <row r="376" spans="1:2" x14ac:dyDescent="0.2">
      <c r="A376"/>
      <c r="B376"/>
    </row>
    <row r="377" spans="1:2" x14ac:dyDescent="0.2">
      <c r="A377"/>
      <c r="B377"/>
    </row>
    <row r="378" spans="1:2" x14ac:dyDescent="0.2">
      <c r="A378"/>
      <c r="B378"/>
    </row>
    <row r="379" spans="1:2" x14ac:dyDescent="0.2">
      <c r="A379"/>
      <c r="B379"/>
    </row>
    <row r="380" spans="1:2" x14ac:dyDescent="0.2">
      <c r="A380"/>
      <c r="B380"/>
    </row>
    <row r="381" spans="1:2" x14ac:dyDescent="0.2">
      <c r="A381"/>
      <c r="B381"/>
    </row>
    <row r="382" spans="1:2" x14ac:dyDescent="0.2">
      <c r="A382"/>
      <c r="B382"/>
    </row>
    <row r="383" spans="1:2" x14ac:dyDescent="0.2">
      <c r="A383"/>
      <c r="B383"/>
    </row>
    <row r="384" spans="1:2" x14ac:dyDescent="0.2">
      <c r="A384"/>
      <c r="B384"/>
    </row>
    <row r="385" spans="1:2" x14ac:dyDescent="0.2">
      <c r="A385"/>
      <c r="B385"/>
    </row>
    <row r="386" spans="1:2" x14ac:dyDescent="0.2">
      <c r="A386"/>
      <c r="B386"/>
    </row>
    <row r="387" spans="1:2" x14ac:dyDescent="0.2">
      <c r="A387"/>
      <c r="B387"/>
    </row>
    <row r="388" spans="1:2" x14ac:dyDescent="0.2">
      <c r="A388"/>
      <c r="B388"/>
    </row>
    <row r="389" spans="1:2" x14ac:dyDescent="0.2">
      <c r="A389"/>
      <c r="B389"/>
    </row>
    <row r="390" spans="1:2" x14ac:dyDescent="0.2">
      <c r="A390"/>
      <c r="B390"/>
    </row>
    <row r="391" spans="1:2" x14ac:dyDescent="0.2">
      <c r="A391"/>
      <c r="B391"/>
    </row>
    <row r="392" spans="1:2" x14ac:dyDescent="0.2">
      <c r="A392"/>
      <c r="B392"/>
    </row>
    <row r="393" spans="1:2" x14ac:dyDescent="0.2">
      <c r="A393"/>
      <c r="B393"/>
    </row>
    <row r="394" spans="1:2" x14ac:dyDescent="0.2">
      <c r="A394"/>
      <c r="B394"/>
    </row>
    <row r="395" spans="1:2" x14ac:dyDescent="0.2">
      <c r="A395"/>
      <c r="B395"/>
    </row>
    <row r="396" spans="1:2" x14ac:dyDescent="0.2">
      <c r="A396"/>
      <c r="B396"/>
    </row>
    <row r="397" spans="1:2" x14ac:dyDescent="0.2">
      <c r="A397"/>
      <c r="B397"/>
    </row>
    <row r="398" spans="1:2" x14ac:dyDescent="0.2">
      <c r="A398"/>
      <c r="B398"/>
    </row>
    <row r="399" spans="1:2" x14ac:dyDescent="0.2">
      <c r="A399"/>
      <c r="B399"/>
    </row>
    <row r="400" spans="1:2" x14ac:dyDescent="0.2">
      <c r="A400"/>
      <c r="B400"/>
    </row>
    <row r="401" spans="1:2" x14ac:dyDescent="0.2">
      <c r="A401"/>
      <c r="B401"/>
    </row>
    <row r="402" spans="1:2" x14ac:dyDescent="0.2">
      <c r="A402"/>
      <c r="B402"/>
    </row>
    <row r="403" spans="1:2" x14ac:dyDescent="0.2">
      <c r="A403"/>
      <c r="B403"/>
    </row>
    <row r="404" spans="1:2" x14ac:dyDescent="0.2">
      <c r="A404"/>
      <c r="B404"/>
    </row>
    <row r="405" spans="1:2" x14ac:dyDescent="0.2">
      <c r="A405"/>
      <c r="B405"/>
    </row>
    <row r="406" spans="1:2" x14ac:dyDescent="0.2">
      <c r="A406"/>
      <c r="B406"/>
    </row>
    <row r="407" spans="1:2" x14ac:dyDescent="0.2">
      <c r="A407"/>
      <c r="B407"/>
    </row>
    <row r="408" spans="1:2" x14ac:dyDescent="0.2">
      <c r="A408"/>
      <c r="B408"/>
    </row>
    <row r="409" spans="1:2" x14ac:dyDescent="0.2">
      <c r="A409"/>
      <c r="B409"/>
    </row>
    <row r="410" spans="1:2" x14ac:dyDescent="0.2">
      <c r="A410"/>
      <c r="B410"/>
    </row>
    <row r="411" spans="1:2" x14ac:dyDescent="0.2">
      <c r="A411"/>
      <c r="B411"/>
    </row>
    <row r="412" spans="1:2" x14ac:dyDescent="0.2">
      <c r="A412"/>
      <c r="B412"/>
    </row>
    <row r="413" spans="1:2" x14ac:dyDescent="0.2">
      <c r="A413"/>
      <c r="B413"/>
    </row>
    <row r="414" spans="1:2" x14ac:dyDescent="0.2">
      <c r="A414"/>
      <c r="B414"/>
    </row>
    <row r="415" spans="1:2" x14ac:dyDescent="0.2">
      <c r="A415"/>
      <c r="B415"/>
    </row>
    <row r="416" spans="1:2" x14ac:dyDescent="0.2">
      <c r="A416"/>
      <c r="B416"/>
    </row>
    <row r="417" spans="1:2" x14ac:dyDescent="0.2">
      <c r="A417"/>
      <c r="B417"/>
    </row>
    <row r="418" spans="1:2" x14ac:dyDescent="0.2">
      <c r="A418"/>
      <c r="B418"/>
    </row>
    <row r="419" spans="1:2" x14ac:dyDescent="0.2">
      <c r="A419"/>
      <c r="B419"/>
    </row>
    <row r="420" spans="1:2" x14ac:dyDescent="0.2">
      <c r="A420"/>
      <c r="B420"/>
    </row>
    <row r="421" spans="1:2" x14ac:dyDescent="0.2">
      <c r="A421"/>
      <c r="B421"/>
    </row>
    <row r="422" spans="1:2" x14ac:dyDescent="0.2">
      <c r="A422"/>
      <c r="B422"/>
    </row>
    <row r="423" spans="1:2" x14ac:dyDescent="0.2">
      <c r="A423"/>
      <c r="B423"/>
    </row>
    <row r="424" spans="1:2" x14ac:dyDescent="0.2">
      <c r="A424"/>
      <c r="B424"/>
    </row>
    <row r="425" spans="1:2" x14ac:dyDescent="0.2">
      <c r="A425"/>
      <c r="B425"/>
    </row>
    <row r="426" spans="1:2" x14ac:dyDescent="0.2">
      <c r="A426"/>
      <c r="B426"/>
    </row>
    <row r="427" spans="1:2" x14ac:dyDescent="0.2">
      <c r="A427"/>
      <c r="B427"/>
    </row>
    <row r="428" spans="1:2" x14ac:dyDescent="0.2">
      <c r="A428"/>
      <c r="B428"/>
    </row>
    <row r="429" spans="1:2" x14ac:dyDescent="0.2">
      <c r="A429"/>
      <c r="B429"/>
    </row>
    <row r="430" spans="1:2" x14ac:dyDescent="0.2">
      <c r="A430"/>
      <c r="B430"/>
    </row>
    <row r="431" spans="1:2" x14ac:dyDescent="0.2">
      <c r="A431"/>
      <c r="B431"/>
    </row>
    <row r="432" spans="1:2" x14ac:dyDescent="0.2">
      <c r="A432"/>
      <c r="B432"/>
    </row>
    <row r="433" spans="1:2" x14ac:dyDescent="0.2">
      <c r="A433"/>
      <c r="B433"/>
    </row>
    <row r="434" spans="1:2" x14ac:dyDescent="0.2">
      <c r="A434"/>
      <c r="B434"/>
    </row>
    <row r="435" spans="1:2" x14ac:dyDescent="0.2">
      <c r="A435"/>
      <c r="B435"/>
    </row>
    <row r="436" spans="1:2" x14ac:dyDescent="0.2">
      <c r="A436"/>
      <c r="B436"/>
    </row>
    <row r="437" spans="1:2" x14ac:dyDescent="0.2">
      <c r="A437"/>
      <c r="B437"/>
    </row>
    <row r="438" spans="1:2" x14ac:dyDescent="0.2">
      <c r="A438"/>
      <c r="B438"/>
    </row>
    <row r="439" spans="1:2" x14ac:dyDescent="0.2">
      <c r="A439"/>
      <c r="B439"/>
    </row>
    <row r="440" spans="1:2" x14ac:dyDescent="0.2">
      <c r="A440"/>
      <c r="B440"/>
    </row>
    <row r="441" spans="1:2" x14ac:dyDescent="0.2">
      <c r="A441"/>
      <c r="B441"/>
    </row>
    <row r="442" spans="1:2" x14ac:dyDescent="0.2">
      <c r="A442"/>
      <c r="B442"/>
    </row>
    <row r="443" spans="1:2" x14ac:dyDescent="0.2">
      <c r="A443"/>
      <c r="B443"/>
    </row>
    <row r="444" spans="1:2" x14ac:dyDescent="0.2">
      <c r="A444"/>
      <c r="B444"/>
    </row>
    <row r="445" spans="1:2" x14ac:dyDescent="0.2">
      <c r="A445"/>
      <c r="B445"/>
    </row>
    <row r="446" spans="1:2" x14ac:dyDescent="0.2">
      <c r="A446"/>
      <c r="B446"/>
    </row>
    <row r="447" spans="1:2" x14ac:dyDescent="0.2">
      <c r="A447"/>
      <c r="B447"/>
    </row>
    <row r="448" spans="1:2" x14ac:dyDescent="0.2">
      <c r="A448"/>
      <c r="B448"/>
    </row>
    <row r="449" spans="1:2" x14ac:dyDescent="0.2">
      <c r="A449"/>
      <c r="B449"/>
    </row>
    <row r="450" spans="1:2" x14ac:dyDescent="0.2">
      <c r="A450"/>
      <c r="B450"/>
    </row>
    <row r="451" spans="1:2" x14ac:dyDescent="0.2">
      <c r="A451"/>
      <c r="B451"/>
    </row>
    <row r="452" spans="1:2" x14ac:dyDescent="0.2">
      <c r="A452"/>
      <c r="B452"/>
    </row>
    <row r="453" spans="1:2" x14ac:dyDescent="0.2">
      <c r="A453"/>
      <c r="B453"/>
    </row>
    <row r="454" spans="1:2" x14ac:dyDescent="0.2">
      <c r="A454"/>
      <c r="B454"/>
    </row>
    <row r="455" spans="1:2" x14ac:dyDescent="0.2">
      <c r="A455"/>
      <c r="B455"/>
    </row>
    <row r="456" spans="1:2" x14ac:dyDescent="0.2">
      <c r="A456"/>
      <c r="B456"/>
    </row>
    <row r="457" spans="1:2" x14ac:dyDescent="0.2">
      <c r="A457"/>
      <c r="B457"/>
    </row>
    <row r="458" spans="1:2" x14ac:dyDescent="0.2">
      <c r="A458"/>
      <c r="B458"/>
    </row>
    <row r="459" spans="1:2" x14ac:dyDescent="0.2">
      <c r="A459"/>
      <c r="B459"/>
    </row>
    <row r="460" spans="1:2" x14ac:dyDescent="0.2">
      <c r="A460"/>
      <c r="B460"/>
    </row>
    <row r="461" spans="1:2" x14ac:dyDescent="0.2">
      <c r="A461"/>
      <c r="B461"/>
    </row>
    <row r="462" spans="1:2" x14ac:dyDescent="0.2">
      <c r="A462"/>
      <c r="B462"/>
    </row>
    <row r="463" spans="1:2" x14ac:dyDescent="0.2">
      <c r="A463"/>
      <c r="B463"/>
    </row>
    <row r="464" spans="1:2" x14ac:dyDescent="0.2">
      <c r="A464"/>
      <c r="B464"/>
    </row>
    <row r="465" spans="1:2" x14ac:dyDescent="0.2">
      <c r="A465"/>
      <c r="B465"/>
    </row>
    <row r="466" spans="1:2" x14ac:dyDescent="0.2">
      <c r="A466"/>
      <c r="B466"/>
    </row>
    <row r="467" spans="1:2" x14ac:dyDescent="0.2">
      <c r="A467"/>
      <c r="B467"/>
    </row>
    <row r="468" spans="1:2" x14ac:dyDescent="0.2">
      <c r="A468"/>
      <c r="B468"/>
    </row>
    <row r="469" spans="1:2" x14ac:dyDescent="0.2">
      <c r="A469"/>
      <c r="B469"/>
    </row>
    <row r="470" spans="1:2" x14ac:dyDescent="0.2">
      <c r="A470"/>
      <c r="B470"/>
    </row>
    <row r="471" spans="1:2" x14ac:dyDescent="0.2">
      <c r="A471"/>
      <c r="B471"/>
    </row>
    <row r="472" spans="1:2" x14ac:dyDescent="0.2">
      <c r="A472"/>
      <c r="B472"/>
    </row>
    <row r="473" spans="1:2" x14ac:dyDescent="0.2">
      <c r="A473"/>
      <c r="B473"/>
    </row>
    <row r="474" spans="1:2" x14ac:dyDescent="0.2">
      <c r="A474"/>
      <c r="B474"/>
    </row>
    <row r="475" spans="1:2" x14ac:dyDescent="0.2">
      <c r="A475"/>
      <c r="B475"/>
    </row>
    <row r="476" spans="1:2" x14ac:dyDescent="0.2">
      <c r="A476"/>
      <c r="B476"/>
    </row>
    <row r="477" spans="1:2" x14ac:dyDescent="0.2">
      <c r="A477"/>
      <c r="B477"/>
    </row>
    <row r="478" spans="1:2" x14ac:dyDescent="0.2">
      <c r="A478"/>
      <c r="B478"/>
    </row>
    <row r="479" spans="1:2" x14ac:dyDescent="0.2">
      <c r="A479"/>
      <c r="B479"/>
    </row>
    <row r="480" spans="1:2" x14ac:dyDescent="0.2">
      <c r="A480"/>
      <c r="B480"/>
    </row>
    <row r="481" spans="1:2" x14ac:dyDescent="0.2">
      <c r="A481"/>
      <c r="B481"/>
    </row>
    <row r="482" spans="1:2" x14ac:dyDescent="0.2">
      <c r="A482"/>
      <c r="B482"/>
    </row>
    <row r="483" spans="1:2" x14ac:dyDescent="0.2">
      <c r="A483"/>
      <c r="B483"/>
    </row>
    <row r="484" spans="1:2" x14ac:dyDescent="0.2">
      <c r="A484"/>
      <c r="B484"/>
    </row>
    <row r="485" spans="1:2" x14ac:dyDescent="0.2">
      <c r="A485"/>
      <c r="B485"/>
    </row>
    <row r="486" spans="1:2" x14ac:dyDescent="0.2">
      <c r="A486"/>
      <c r="B486"/>
    </row>
    <row r="487" spans="1:2" x14ac:dyDescent="0.2">
      <c r="A487"/>
      <c r="B487"/>
    </row>
    <row r="488" spans="1:2" x14ac:dyDescent="0.2">
      <c r="A488"/>
      <c r="B488"/>
    </row>
    <row r="489" spans="1:2" x14ac:dyDescent="0.2">
      <c r="A489"/>
      <c r="B489"/>
    </row>
    <row r="490" spans="1:2" x14ac:dyDescent="0.2">
      <c r="A490"/>
      <c r="B490"/>
    </row>
    <row r="491" spans="1:2" x14ac:dyDescent="0.2">
      <c r="A491"/>
      <c r="B491"/>
    </row>
    <row r="492" spans="1:2" x14ac:dyDescent="0.2">
      <c r="A492"/>
      <c r="B492"/>
    </row>
    <row r="493" spans="1:2" x14ac:dyDescent="0.2">
      <c r="A493"/>
      <c r="B493"/>
    </row>
    <row r="494" spans="1:2" x14ac:dyDescent="0.2">
      <c r="A494"/>
      <c r="B494"/>
    </row>
    <row r="495" spans="1:2" x14ac:dyDescent="0.2">
      <c r="A495"/>
      <c r="B495"/>
    </row>
    <row r="496" spans="1:2" x14ac:dyDescent="0.2">
      <c r="A496"/>
      <c r="B496"/>
    </row>
    <row r="497" spans="1:2" x14ac:dyDescent="0.2">
      <c r="A497"/>
      <c r="B497"/>
    </row>
    <row r="498" spans="1:2" x14ac:dyDescent="0.2">
      <c r="A498"/>
      <c r="B498"/>
    </row>
    <row r="499" spans="1:2" x14ac:dyDescent="0.2">
      <c r="A499"/>
      <c r="B499"/>
    </row>
    <row r="500" spans="1:2" x14ac:dyDescent="0.2">
      <c r="A500"/>
      <c r="B500"/>
    </row>
    <row r="501" spans="1:2" x14ac:dyDescent="0.2">
      <c r="A501"/>
      <c r="B501"/>
    </row>
    <row r="502" spans="1:2" x14ac:dyDescent="0.2">
      <c r="A502"/>
      <c r="B502"/>
    </row>
    <row r="503" spans="1:2" x14ac:dyDescent="0.2">
      <c r="A503"/>
      <c r="B503"/>
    </row>
    <row r="504" spans="1:2" x14ac:dyDescent="0.2">
      <c r="A504"/>
      <c r="B504"/>
    </row>
    <row r="505" spans="1:2" x14ac:dyDescent="0.2">
      <c r="A505"/>
      <c r="B505"/>
    </row>
    <row r="506" spans="1:2" x14ac:dyDescent="0.2">
      <c r="A506"/>
      <c r="B506"/>
    </row>
    <row r="507" spans="1:2" x14ac:dyDescent="0.2">
      <c r="A507"/>
      <c r="B507"/>
    </row>
    <row r="508" spans="1:2" x14ac:dyDescent="0.2">
      <c r="A508"/>
      <c r="B508"/>
    </row>
    <row r="509" spans="1:2" x14ac:dyDescent="0.2">
      <c r="A509"/>
      <c r="B509"/>
    </row>
    <row r="510" spans="1:2" x14ac:dyDescent="0.2">
      <c r="A510"/>
      <c r="B510"/>
    </row>
    <row r="511" spans="1:2" x14ac:dyDescent="0.2">
      <c r="A511"/>
      <c r="B511"/>
    </row>
    <row r="512" spans="1:2" x14ac:dyDescent="0.2">
      <c r="A512"/>
      <c r="B512"/>
    </row>
    <row r="513" spans="1:2" x14ac:dyDescent="0.2">
      <c r="A513"/>
      <c r="B513"/>
    </row>
    <row r="514" spans="1:2" x14ac:dyDescent="0.2">
      <c r="A514"/>
      <c r="B514"/>
    </row>
    <row r="515" spans="1:2" x14ac:dyDescent="0.2">
      <c r="A515"/>
      <c r="B515"/>
    </row>
    <row r="516" spans="1:2" x14ac:dyDescent="0.2">
      <c r="A516"/>
      <c r="B516"/>
    </row>
    <row r="517" spans="1:2" x14ac:dyDescent="0.2">
      <c r="A517"/>
      <c r="B517"/>
    </row>
    <row r="518" spans="1:2" x14ac:dyDescent="0.2">
      <c r="A518"/>
      <c r="B518"/>
    </row>
    <row r="519" spans="1:2" x14ac:dyDescent="0.2">
      <c r="A519"/>
      <c r="B519"/>
    </row>
    <row r="520" spans="1:2" x14ac:dyDescent="0.2">
      <c r="A520"/>
      <c r="B520"/>
    </row>
    <row r="521" spans="1:2" x14ac:dyDescent="0.2">
      <c r="A521"/>
      <c r="B521"/>
    </row>
    <row r="522" spans="1:2" x14ac:dyDescent="0.2">
      <c r="A522"/>
      <c r="B522"/>
    </row>
    <row r="523" spans="1:2" x14ac:dyDescent="0.2">
      <c r="A523"/>
      <c r="B523"/>
    </row>
    <row r="524" spans="1:2" x14ac:dyDescent="0.2">
      <c r="A524"/>
      <c r="B524"/>
    </row>
    <row r="525" spans="1:2" x14ac:dyDescent="0.2">
      <c r="A525"/>
      <c r="B525"/>
    </row>
    <row r="526" spans="1:2" x14ac:dyDescent="0.2">
      <c r="A526"/>
      <c r="B526"/>
    </row>
    <row r="527" spans="1:2" x14ac:dyDescent="0.2">
      <c r="A527"/>
      <c r="B527"/>
    </row>
    <row r="528" spans="1:2" x14ac:dyDescent="0.2">
      <c r="A528"/>
      <c r="B528"/>
    </row>
    <row r="529" spans="1:2" x14ac:dyDescent="0.2">
      <c r="A529"/>
      <c r="B529"/>
    </row>
    <row r="530" spans="1:2" x14ac:dyDescent="0.2">
      <c r="A530"/>
      <c r="B530"/>
    </row>
    <row r="531" spans="1:2" x14ac:dyDescent="0.2">
      <c r="A531"/>
      <c r="B531"/>
    </row>
    <row r="532" spans="1:2" x14ac:dyDescent="0.2">
      <c r="A532"/>
      <c r="B532"/>
    </row>
    <row r="533" spans="1:2" x14ac:dyDescent="0.2">
      <c r="A533"/>
      <c r="B533"/>
    </row>
    <row r="534" spans="1:2" x14ac:dyDescent="0.2">
      <c r="A534"/>
      <c r="B534"/>
    </row>
    <row r="535" spans="1:2" x14ac:dyDescent="0.2">
      <c r="A535"/>
      <c r="B535"/>
    </row>
    <row r="536" spans="1:2" x14ac:dyDescent="0.2">
      <c r="A536"/>
      <c r="B536"/>
    </row>
    <row r="537" spans="1:2" x14ac:dyDescent="0.2">
      <c r="A537"/>
      <c r="B537"/>
    </row>
    <row r="538" spans="1:2" x14ac:dyDescent="0.2">
      <c r="A538"/>
      <c r="B538"/>
    </row>
    <row r="539" spans="1:2" x14ac:dyDescent="0.2">
      <c r="A539"/>
      <c r="B539"/>
    </row>
    <row r="540" spans="1:2" x14ac:dyDescent="0.2">
      <c r="A540"/>
      <c r="B540"/>
    </row>
    <row r="541" spans="1:2" x14ac:dyDescent="0.2">
      <c r="A541"/>
      <c r="B541"/>
    </row>
    <row r="542" spans="1:2" x14ac:dyDescent="0.2">
      <c r="A542"/>
      <c r="B542"/>
    </row>
    <row r="543" spans="1:2" x14ac:dyDescent="0.2">
      <c r="A543"/>
      <c r="B543"/>
    </row>
    <row r="544" spans="1:2" x14ac:dyDescent="0.2">
      <c r="A544"/>
      <c r="B544"/>
    </row>
    <row r="545" spans="1:2" x14ac:dyDescent="0.2">
      <c r="A545"/>
      <c r="B545"/>
    </row>
    <row r="546" spans="1:2" x14ac:dyDescent="0.2">
      <c r="A546"/>
      <c r="B546"/>
    </row>
    <row r="547" spans="1:2" x14ac:dyDescent="0.2">
      <c r="A547"/>
      <c r="B547"/>
    </row>
    <row r="548" spans="1:2" x14ac:dyDescent="0.2">
      <c r="A548"/>
      <c r="B548"/>
    </row>
    <row r="549" spans="1:2" x14ac:dyDescent="0.2">
      <c r="A549"/>
      <c r="B549"/>
    </row>
    <row r="550" spans="1:2" x14ac:dyDescent="0.2">
      <c r="A550"/>
      <c r="B550"/>
    </row>
    <row r="551" spans="1:2" x14ac:dyDescent="0.2">
      <c r="A551"/>
      <c r="B551"/>
    </row>
    <row r="552" spans="1:2" x14ac:dyDescent="0.2">
      <c r="A552"/>
      <c r="B552"/>
    </row>
    <row r="553" spans="1:2" x14ac:dyDescent="0.2">
      <c r="A553"/>
      <c r="B553"/>
    </row>
    <row r="554" spans="1:2" x14ac:dyDescent="0.2">
      <c r="A554"/>
      <c r="B554"/>
    </row>
    <row r="555" spans="1:2" x14ac:dyDescent="0.2">
      <c r="A555"/>
      <c r="B555"/>
    </row>
    <row r="556" spans="1:2" x14ac:dyDescent="0.2">
      <c r="A556"/>
      <c r="B556"/>
    </row>
    <row r="557" spans="1:2" x14ac:dyDescent="0.2">
      <c r="A557"/>
      <c r="B557"/>
    </row>
    <row r="558" spans="1:2" x14ac:dyDescent="0.2">
      <c r="A558"/>
      <c r="B558"/>
    </row>
    <row r="559" spans="1:2" x14ac:dyDescent="0.2">
      <c r="A559"/>
      <c r="B559"/>
    </row>
    <row r="560" spans="1:2" x14ac:dyDescent="0.2">
      <c r="A560"/>
      <c r="B560"/>
    </row>
    <row r="561" spans="1:2" x14ac:dyDescent="0.2">
      <c r="A561"/>
      <c r="B561"/>
    </row>
    <row r="562" spans="1:2" x14ac:dyDescent="0.2">
      <c r="A562"/>
      <c r="B562"/>
    </row>
    <row r="563" spans="1:2" x14ac:dyDescent="0.2">
      <c r="A563"/>
      <c r="B563"/>
    </row>
    <row r="564" spans="1:2" x14ac:dyDescent="0.2">
      <c r="A564"/>
      <c r="B564"/>
    </row>
    <row r="565" spans="1:2" x14ac:dyDescent="0.2">
      <c r="A565"/>
      <c r="B565"/>
    </row>
    <row r="566" spans="1:2" x14ac:dyDescent="0.2">
      <c r="A566"/>
      <c r="B566"/>
    </row>
    <row r="567" spans="1:2" x14ac:dyDescent="0.2">
      <c r="A567"/>
      <c r="B567"/>
    </row>
    <row r="568" spans="1:2" x14ac:dyDescent="0.2">
      <c r="A568"/>
      <c r="B568"/>
    </row>
    <row r="569" spans="1:2" x14ac:dyDescent="0.2">
      <c r="A569"/>
      <c r="B569"/>
    </row>
    <row r="570" spans="1:2" x14ac:dyDescent="0.2">
      <c r="A570"/>
      <c r="B570"/>
    </row>
    <row r="571" spans="1:2" x14ac:dyDescent="0.2">
      <c r="A571"/>
      <c r="B571"/>
    </row>
    <row r="572" spans="1:2" x14ac:dyDescent="0.2">
      <c r="A572"/>
      <c r="B572"/>
    </row>
    <row r="573" spans="1:2" x14ac:dyDescent="0.2">
      <c r="A573"/>
      <c r="B573"/>
    </row>
    <row r="574" spans="1:2" x14ac:dyDescent="0.2">
      <c r="A574"/>
      <c r="B574"/>
    </row>
    <row r="575" spans="1:2" x14ac:dyDescent="0.2">
      <c r="A575"/>
      <c r="B575"/>
    </row>
    <row r="576" spans="1:2" x14ac:dyDescent="0.2">
      <c r="A576"/>
      <c r="B576"/>
    </row>
    <row r="577" spans="1:2" x14ac:dyDescent="0.2">
      <c r="A577"/>
      <c r="B577"/>
    </row>
    <row r="578" spans="1:2" x14ac:dyDescent="0.2">
      <c r="A578"/>
      <c r="B578"/>
    </row>
    <row r="579" spans="1:2" x14ac:dyDescent="0.2">
      <c r="A579"/>
      <c r="B579"/>
    </row>
    <row r="580" spans="1:2" x14ac:dyDescent="0.2">
      <c r="A580"/>
      <c r="B580"/>
    </row>
    <row r="581" spans="1:2" x14ac:dyDescent="0.2">
      <c r="A581"/>
      <c r="B581"/>
    </row>
    <row r="582" spans="1:2" x14ac:dyDescent="0.2">
      <c r="A582"/>
      <c r="B582"/>
    </row>
    <row r="583" spans="1:2" x14ac:dyDescent="0.2">
      <c r="A583"/>
      <c r="B583"/>
    </row>
    <row r="584" spans="1:2" x14ac:dyDescent="0.2">
      <c r="A584"/>
      <c r="B584"/>
    </row>
    <row r="585" spans="1:2" x14ac:dyDescent="0.2">
      <c r="A585"/>
      <c r="B585"/>
    </row>
    <row r="586" spans="1:2" x14ac:dyDescent="0.2">
      <c r="A586"/>
      <c r="B586"/>
    </row>
    <row r="587" spans="1:2" x14ac:dyDescent="0.2">
      <c r="A587"/>
      <c r="B587"/>
    </row>
    <row r="588" spans="1:2" x14ac:dyDescent="0.2">
      <c r="A588"/>
      <c r="B588"/>
    </row>
    <row r="589" spans="1:2" x14ac:dyDescent="0.2">
      <c r="A589"/>
      <c r="B589"/>
    </row>
    <row r="590" spans="1:2" x14ac:dyDescent="0.2">
      <c r="A590"/>
      <c r="B590"/>
    </row>
    <row r="591" spans="1:2" x14ac:dyDescent="0.2">
      <c r="A591"/>
      <c r="B591"/>
    </row>
    <row r="592" spans="1:2" x14ac:dyDescent="0.2">
      <c r="A592"/>
      <c r="B592"/>
    </row>
    <row r="593" spans="1:2" x14ac:dyDescent="0.2">
      <c r="A593"/>
      <c r="B593"/>
    </row>
    <row r="594" spans="1:2" x14ac:dyDescent="0.2">
      <c r="A594"/>
      <c r="B594"/>
    </row>
    <row r="595" spans="1:2" x14ac:dyDescent="0.2">
      <c r="A595"/>
      <c r="B595"/>
    </row>
    <row r="596" spans="1:2" x14ac:dyDescent="0.2">
      <c r="A596"/>
      <c r="B596"/>
    </row>
    <row r="597" spans="1:2" x14ac:dyDescent="0.2">
      <c r="A597"/>
      <c r="B597"/>
    </row>
    <row r="598" spans="1:2" x14ac:dyDescent="0.2">
      <c r="A598"/>
      <c r="B598"/>
    </row>
    <row r="599" spans="1:2" x14ac:dyDescent="0.2">
      <c r="A599"/>
      <c r="B599"/>
    </row>
    <row r="600" spans="1:2" x14ac:dyDescent="0.2">
      <c r="A600"/>
      <c r="B600"/>
    </row>
    <row r="601" spans="1:2" x14ac:dyDescent="0.2">
      <c r="A601"/>
      <c r="B601"/>
    </row>
    <row r="602" spans="1:2" x14ac:dyDescent="0.2">
      <c r="A602"/>
      <c r="B602"/>
    </row>
    <row r="603" spans="1:2" x14ac:dyDescent="0.2">
      <c r="A603"/>
      <c r="B603"/>
    </row>
    <row r="604" spans="1:2" x14ac:dyDescent="0.2">
      <c r="A604"/>
      <c r="B604"/>
    </row>
    <row r="605" spans="1:2" x14ac:dyDescent="0.2">
      <c r="A605"/>
      <c r="B605"/>
    </row>
    <row r="606" spans="1:2" x14ac:dyDescent="0.2">
      <c r="A606"/>
      <c r="B606"/>
    </row>
    <row r="607" spans="1:2" x14ac:dyDescent="0.2">
      <c r="A607"/>
      <c r="B607"/>
    </row>
    <row r="608" spans="1:2" x14ac:dyDescent="0.2">
      <c r="A608"/>
      <c r="B608"/>
    </row>
    <row r="609" spans="1:2" x14ac:dyDescent="0.2">
      <c r="A609"/>
      <c r="B609"/>
    </row>
    <row r="610" spans="1:2" x14ac:dyDescent="0.2">
      <c r="A610"/>
      <c r="B610"/>
    </row>
    <row r="611" spans="1:2" x14ac:dyDescent="0.2">
      <c r="A611"/>
      <c r="B611"/>
    </row>
    <row r="612" spans="1:2" x14ac:dyDescent="0.2">
      <c r="A612"/>
      <c r="B612"/>
    </row>
    <row r="613" spans="1:2" x14ac:dyDescent="0.2">
      <c r="A613"/>
      <c r="B613"/>
    </row>
    <row r="614" spans="1:2" x14ac:dyDescent="0.2">
      <c r="A614"/>
      <c r="B614"/>
    </row>
    <row r="615" spans="1:2" x14ac:dyDescent="0.2">
      <c r="A615"/>
      <c r="B615"/>
    </row>
    <row r="616" spans="1:2" x14ac:dyDescent="0.2">
      <c r="A616"/>
      <c r="B616"/>
    </row>
    <row r="617" spans="1:2" x14ac:dyDescent="0.2">
      <c r="A617"/>
      <c r="B617"/>
    </row>
    <row r="618" spans="1:2" x14ac:dyDescent="0.2">
      <c r="A618"/>
      <c r="B618"/>
    </row>
    <row r="619" spans="1:2" x14ac:dyDescent="0.2">
      <c r="A619"/>
      <c r="B619"/>
    </row>
    <row r="620" spans="1:2" x14ac:dyDescent="0.2">
      <c r="A620"/>
      <c r="B620"/>
    </row>
    <row r="621" spans="1:2" x14ac:dyDescent="0.2">
      <c r="A621"/>
      <c r="B621"/>
    </row>
    <row r="622" spans="1:2" x14ac:dyDescent="0.2">
      <c r="A622"/>
      <c r="B622"/>
    </row>
    <row r="623" spans="1:2" x14ac:dyDescent="0.2">
      <c r="A623"/>
      <c r="B623"/>
    </row>
    <row r="624" spans="1:2" x14ac:dyDescent="0.2">
      <c r="A624"/>
      <c r="B624"/>
    </row>
    <row r="625" spans="1:2" x14ac:dyDescent="0.2">
      <c r="A625"/>
      <c r="B625"/>
    </row>
    <row r="626" spans="1:2" x14ac:dyDescent="0.2">
      <c r="A626"/>
      <c r="B626"/>
    </row>
    <row r="627" spans="1:2" x14ac:dyDescent="0.2">
      <c r="A627"/>
      <c r="B627"/>
    </row>
    <row r="628" spans="1:2" x14ac:dyDescent="0.2">
      <c r="A628"/>
      <c r="B628"/>
    </row>
    <row r="629" spans="1:2" x14ac:dyDescent="0.2">
      <c r="A629"/>
      <c r="B629"/>
    </row>
    <row r="630" spans="1:2" x14ac:dyDescent="0.2">
      <c r="A630"/>
      <c r="B630"/>
    </row>
    <row r="631" spans="1:2" x14ac:dyDescent="0.2">
      <c r="A631"/>
      <c r="B631"/>
    </row>
    <row r="632" spans="1:2" x14ac:dyDescent="0.2">
      <c r="A632"/>
      <c r="B632"/>
    </row>
    <row r="633" spans="1:2" x14ac:dyDescent="0.2">
      <c r="A633"/>
      <c r="B633"/>
    </row>
    <row r="634" spans="1:2" x14ac:dyDescent="0.2">
      <c r="A634"/>
      <c r="B634"/>
    </row>
    <row r="635" spans="1:2" x14ac:dyDescent="0.2">
      <c r="A635"/>
      <c r="B635"/>
    </row>
    <row r="636" spans="1:2" x14ac:dyDescent="0.2">
      <c r="A636"/>
      <c r="B636"/>
    </row>
    <row r="637" spans="1:2" x14ac:dyDescent="0.2">
      <c r="A637"/>
      <c r="B637"/>
    </row>
    <row r="638" spans="1:2" x14ac:dyDescent="0.2">
      <c r="A638"/>
      <c r="B638"/>
    </row>
    <row r="639" spans="1:2" x14ac:dyDescent="0.2">
      <c r="A639"/>
      <c r="B639"/>
    </row>
    <row r="640" spans="1:2" x14ac:dyDescent="0.2">
      <c r="A640"/>
      <c r="B640"/>
    </row>
    <row r="641" spans="1:2" x14ac:dyDescent="0.2">
      <c r="A641"/>
      <c r="B641"/>
    </row>
    <row r="642" spans="1:2" x14ac:dyDescent="0.2">
      <c r="A642"/>
      <c r="B642"/>
    </row>
    <row r="643" spans="1:2" x14ac:dyDescent="0.2">
      <c r="A643"/>
      <c r="B643"/>
    </row>
    <row r="644" spans="1:2" x14ac:dyDescent="0.2">
      <c r="A644"/>
      <c r="B644"/>
    </row>
    <row r="645" spans="1:2" x14ac:dyDescent="0.2">
      <c r="A645"/>
      <c r="B645"/>
    </row>
    <row r="646" spans="1:2" x14ac:dyDescent="0.2">
      <c r="A646"/>
      <c r="B646"/>
    </row>
    <row r="647" spans="1:2" x14ac:dyDescent="0.2">
      <c r="A647"/>
      <c r="B647"/>
    </row>
    <row r="648" spans="1:2" x14ac:dyDescent="0.2">
      <c r="A648"/>
      <c r="B648"/>
    </row>
    <row r="649" spans="1:2" x14ac:dyDescent="0.2">
      <c r="A649"/>
      <c r="B649"/>
    </row>
    <row r="650" spans="1:2" x14ac:dyDescent="0.2">
      <c r="A650"/>
      <c r="B650"/>
    </row>
    <row r="651" spans="1:2" x14ac:dyDescent="0.2">
      <c r="A651"/>
      <c r="B651"/>
    </row>
    <row r="652" spans="1:2" x14ac:dyDescent="0.2">
      <c r="A652"/>
      <c r="B652"/>
    </row>
    <row r="653" spans="1:2" x14ac:dyDescent="0.2">
      <c r="A653"/>
      <c r="B653"/>
    </row>
    <row r="654" spans="1:2" x14ac:dyDescent="0.2">
      <c r="A654"/>
      <c r="B654"/>
    </row>
    <row r="655" spans="1:2" x14ac:dyDescent="0.2">
      <c r="A655"/>
      <c r="B655"/>
    </row>
    <row r="656" spans="1:2" x14ac:dyDescent="0.2">
      <c r="A656"/>
      <c r="B656"/>
    </row>
    <row r="657" spans="1:2" x14ac:dyDescent="0.2">
      <c r="A657"/>
      <c r="B657"/>
    </row>
    <row r="658" spans="1:2" x14ac:dyDescent="0.2">
      <c r="A658"/>
      <c r="B658"/>
    </row>
    <row r="659" spans="1:2" x14ac:dyDescent="0.2">
      <c r="A659"/>
      <c r="B659"/>
    </row>
    <row r="660" spans="1:2" x14ac:dyDescent="0.2">
      <c r="A660"/>
      <c r="B660"/>
    </row>
    <row r="661" spans="1:2" x14ac:dyDescent="0.2">
      <c r="A661"/>
      <c r="B661"/>
    </row>
    <row r="662" spans="1:2" x14ac:dyDescent="0.2">
      <c r="A662"/>
      <c r="B662"/>
    </row>
    <row r="663" spans="1:2" x14ac:dyDescent="0.2">
      <c r="A663"/>
      <c r="B663"/>
    </row>
    <row r="664" spans="1:2" x14ac:dyDescent="0.2">
      <c r="A664"/>
      <c r="B664"/>
    </row>
    <row r="665" spans="1:2" x14ac:dyDescent="0.2">
      <c r="A665"/>
      <c r="B665"/>
    </row>
    <row r="666" spans="1:2" x14ac:dyDescent="0.2">
      <c r="A666"/>
      <c r="B666"/>
    </row>
    <row r="667" spans="1:2" x14ac:dyDescent="0.2">
      <c r="A667"/>
      <c r="B667"/>
    </row>
    <row r="668" spans="1:2" x14ac:dyDescent="0.2">
      <c r="A668"/>
      <c r="B668"/>
    </row>
    <row r="669" spans="1:2" x14ac:dyDescent="0.2">
      <c r="A669"/>
      <c r="B669"/>
    </row>
    <row r="670" spans="1:2" x14ac:dyDescent="0.2">
      <c r="A670"/>
      <c r="B670"/>
    </row>
    <row r="671" spans="1:2" x14ac:dyDescent="0.2">
      <c r="A671"/>
      <c r="B671"/>
    </row>
    <row r="672" spans="1:2" x14ac:dyDescent="0.2">
      <c r="A672"/>
      <c r="B672"/>
    </row>
    <row r="673" spans="1:2" x14ac:dyDescent="0.2">
      <c r="A673"/>
      <c r="B673"/>
    </row>
    <row r="674" spans="1:2" x14ac:dyDescent="0.2">
      <c r="A674"/>
      <c r="B674"/>
    </row>
    <row r="675" spans="1:2" x14ac:dyDescent="0.2">
      <c r="A675"/>
      <c r="B675"/>
    </row>
    <row r="676" spans="1:2" x14ac:dyDescent="0.2">
      <c r="A676"/>
      <c r="B676"/>
    </row>
    <row r="677" spans="1:2" x14ac:dyDescent="0.2">
      <c r="A677"/>
      <c r="B677"/>
    </row>
    <row r="678" spans="1:2" x14ac:dyDescent="0.2">
      <c r="A678"/>
      <c r="B678"/>
    </row>
    <row r="679" spans="1:2" x14ac:dyDescent="0.2">
      <c r="A679"/>
      <c r="B679"/>
    </row>
    <row r="680" spans="1:2" x14ac:dyDescent="0.2">
      <c r="A680"/>
      <c r="B680"/>
    </row>
    <row r="681" spans="1:2" x14ac:dyDescent="0.2">
      <c r="A681"/>
      <c r="B681"/>
    </row>
    <row r="682" spans="1:2" x14ac:dyDescent="0.2">
      <c r="A682"/>
      <c r="B682"/>
    </row>
    <row r="683" spans="1:2" x14ac:dyDescent="0.2">
      <c r="A683"/>
      <c r="B683"/>
    </row>
    <row r="684" spans="1:2" x14ac:dyDescent="0.2">
      <c r="A684"/>
      <c r="B684"/>
    </row>
    <row r="685" spans="1:2" x14ac:dyDescent="0.2">
      <c r="A685"/>
      <c r="B685"/>
    </row>
    <row r="686" spans="1:2" x14ac:dyDescent="0.2">
      <c r="A686"/>
      <c r="B686"/>
    </row>
    <row r="687" spans="1:2" x14ac:dyDescent="0.2">
      <c r="A687"/>
      <c r="B687"/>
    </row>
    <row r="688" spans="1:2" x14ac:dyDescent="0.2">
      <c r="A688"/>
      <c r="B688"/>
    </row>
    <row r="689" spans="1:2" x14ac:dyDescent="0.2">
      <c r="A689"/>
      <c r="B689"/>
    </row>
    <row r="690" spans="1:2" x14ac:dyDescent="0.2">
      <c r="A690"/>
      <c r="B690"/>
    </row>
    <row r="691" spans="1:2" x14ac:dyDescent="0.2">
      <c r="A691"/>
      <c r="B691"/>
    </row>
    <row r="692" spans="1:2" x14ac:dyDescent="0.2">
      <c r="A692"/>
      <c r="B692"/>
    </row>
    <row r="693" spans="1:2" x14ac:dyDescent="0.2">
      <c r="A693"/>
      <c r="B693"/>
    </row>
    <row r="694" spans="1:2" x14ac:dyDescent="0.2">
      <c r="A694"/>
      <c r="B694"/>
    </row>
    <row r="695" spans="1:2" x14ac:dyDescent="0.2">
      <c r="A695"/>
      <c r="B695"/>
    </row>
    <row r="696" spans="1:2" x14ac:dyDescent="0.2">
      <c r="A696"/>
      <c r="B696"/>
    </row>
    <row r="697" spans="1:2" x14ac:dyDescent="0.2">
      <c r="A697"/>
      <c r="B697"/>
    </row>
    <row r="698" spans="1:2" x14ac:dyDescent="0.2">
      <c r="A698"/>
      <c r="B698"/>
    </row>
    <row r="699" spans="1:2" x14ac:dyDescent="0.2">
      <c r="A699"/>
      <c r="B699"/>
    </row>
    <row r="700" spans="1:2" x14ac:dyDescent="0.2">
      <c r="A700"/>
      <c r="B700"/>
    </row>
    <row r="701" spans="1:2" x14ac:dyDescent="0.2">
      <c r="A701"/>
      <c r="B701"/>
    </row>
    <row r="702" spans="1:2" x14ac:dyDescent="0.2">
      <c r="A702"/>
      <c r="B702"/>
    </row>
    <row r="703" spans="1:2" x14ac:dyDescent="0.2">
      <c r="A703"/>
      <c r="B703"/>
    </row>
    <row r="704" spans="1:2" x14ac:dyDescent="0.2">
      <c r="A704"/>
      <c r="B704"/>
    </row>
    <row r="705" spans="1:2" x14ac:dyDescent="0.2">
      <c r="A705"/>
      <c r="B705"/>
    </row>
    <row r="706" spans="1:2" x14ac:dyDescent="0.2">
      <c r="A706"/>
      <c r="B706"/>
    </row>
    <row r="707" spans="1:2" x14ac:dyDescent="0.2">
      <c r="A707"/>
      <c r="B707"/>
    </row>
    <row r="708" spans="1:2" x14ac:dyDescent="0.2">
      <c r="A708"/>
      <c r="B708"/>
    </row>
    <row r="709" spans="1:2" x14ac:dyDescent="0.2">
      <c r="A709"/>
      <c r="B709"/>
    </row>
    <row r="710" spans="1:2" x14ac:dyDescent="0.2">
      <c r="A710"/>
      <c r="B710"/>
    </row>
    <row r="711" spans="1:2" x14ac:dyDescent="0.2">
      <c r="A711"/>
      <c r="B711"/>
    </row>
    <row r="712" spans="1:2" x14ac:dyDescent="0.2">
      <c r="A712"/>
      <c r="B712"/>
    </row>
    <row r="713" spans="1:2" x14ac:dyDescent="0.2">
      <c r="A713"/>
      <c r="B713"/>
    </row>
    <row r="714" spans="1:2" x14ac:dyDescent="0.2">
      <c r="A714"/>
      <c r="B714"/>
    </row>
    <row r="715" spans="1:2" x14ac:dyDescent="0.2">
      <c r="A715"/>
      <c r="B715"/>
    </row>
    <row r="716" spans="1:2" x14ac:dyDescent="0.2">
      <c r="A716"/>
      <c r="B716"/>
    </row>
    <row r="717" spans="1:2" x14ac:dyDescent="0.2">
      <c r="A717"/>
      <c r="B717"/>
    </row>
    <row r="718" spans="1:2" x14ac:dyDescent="0.2">
      <c r="A718"/>
      <c r="B718"/>
    </row>
    <row r="719" spans="1:2" x14ac:dyDescent="0.2">
      <c r="A719"/>
      <c r="B719"/>
    </row>
    <row r="720" spans="1:2" x14ac:dyDescent="0.2">
      <c r="A720"/>
      <c r="B720"/>
    </row>
    <row r="721" spans="1:2" x14ac:dyDescent="0.2">
      <c r="A721"/>
      <c r="B721"/>
    </row>
    <row r="722" spans="1:2" x14ac:dyDescent="0.2">
      <c r="A722"/>
      <c r="B722"/>
    </row>
    <row r="723" spans="1:2" x14ac:dyDescent="0.2">
      <c r="A723"/>
      <c r="B723"/>
    </row>
    <row r="724" spans="1:2" x14ac:dyDescent="0.2">
      <c r="A724"/>
      <c r="B724"/>
    </row>
    <row r="725" spans="1:2" x14ac:dyDescent="0.2">
      <c r="A725"/>
      <c r="B725"/>
    </row>
    <row r="726" spans="1:2" x14ac:dyDescent="0.2">
      <c r="A726"/>
      <c r="B726"/>
    </row>
    <row r="727" spans="1:2" x14ac:dyDescent="0.2">
      <c r="A727"/>
      <c r="B727"/>
    </row>
    <row r="728" spans="1:2" x14ac:dyDescent="0.2">
      <c r="A728"/>
      <c r="B728"/>
    </row>
    <row r="729" spans="1:2" x14ac:dyDescent="0.2">
      <c r="A729"/>
      <c r="B729"/>
    </row>
    <row r="730" spans="1:2" x14ac:dyDescent="0.2">
      <c r="A730"/>
      <c r="B730"/>
    </row>
    <row r="731" spans="1:2" x14ac:dyDescent="0.2">
      <c r="A731"/>
      <c r="B731"/>
    </row>
    <row r="732" spans="1:2" x14ac:dyDescent="0.2">
      <c r="A732"/>
      <c r="B732"/>
    </row>
    <row r="733" spans="1:2" x14ac:dyDescent="0.2">
      <c r="A733"/>
      <c r="B733"/>
    </row>
    <row r="734" spans="1:2" x14ac:dyDescent="0.2">
      <c r="A734"/>
      <c r="B734"/>
    </row>
    <row r="735" spans="1:2" x14ac:dyDescent="0.2">
      <c r="A735"/>
      <c r="B735"/>
    </row>
    <row r="736" spans="1:2" x14ac:dyDescent="0.2">
      <c r="A736"/>
      <c r="B736"/>
    </row>
    <row r="737" spans="1:2" x14ac:dyDescent="0.2">
      <c r="A737"/>
      <c r="B737"/>
    </row>
    <row r="738" spans="1:2" x14ac:dyDescent="0.2">
      <c r="A738"/>
      <c r="B738"/>
    </row>
    <row r="739" spans="1:2" x14ac:dyDescent="0.2">
      <c r="A739"/>
      <c r="B739"/>
    </row>
    <row r="740" spans="1:2" x14ac:dyDescent="0.2">
      <c r="A740"/>
      <c r="B740"/>
    </row>
    <row r="741" spans="1:2" x14ac:dyDescent="0.2">
      <c r="A741"/>
      <c r="B741"/>
    </row>
    <row r="742" spans="1:2" x14ac:dyDescent="0.2">
      <c r="A742"/>
      <c r="B742"/>
    </row>
    <row r="743" spans="1:2" x14ac:dyDescent="0.2">
      <c r="A743"/>
      <c r="B743"/>
    </row>
    <row r="744" spans="1:2" x14ac:dyDescent="0.2">
      <c r="A744"/>
      <c r="B744"/>
    </row>
    <row r="745" spans="1:2" x14ac:dyDescent="0.2">
      <c r="A745"/>
      <c r="B745"/>
    </row>
    <row r="746" spans="1:2" x14ac:dyDescent="0.2">
      <c r="A746"/>
      <c r="B746"/>
    </row>
    <row r="747" spans="1:2" x14ac:dyDescent="0.2">
      <c r="A747"/>
      <c r="B747"/>
    </row>
    <row r="748" spans="1:2" x14ac:dyDescent="0.2">
      <c r="A748"/>
      <c r="B748"/>
    </row>
    <row r="749" spans="1:2" x14ac:dyDescent="0.2">
      <c r="A749"/>
      <c r="B749"/>
    </row>
    <row r="750" spans="1:2" x14ac:dyDescent="0.2">
      <c r="A750"/>
      <c r="B750"/>
    </row>
    <row r="751" spans="1:2" x14ac:dyDescent="0.2">
      <c r="A751"/>
      <c r="B751"/>
    </row>
    <row r="752" spans="1:2" x14ac:dyDescent="0.2">
      <c r="A752"/>
      <c r="B752"/>
    </row>
    <row r="753" spans="1:2" x14ac:dyDescent="0.2">
      <c r="A753"/>
      <c r="B753"/>
    </row>
    <row r="754" spans="1:2" x14ac:dyDescent="0.2">
      <c r="A754"/>
      <c r="B754"/>
    </row>
    <row r="755" spans="1:2" x14ac:dyDescent="0.2">
      <c r="A755"/>
      <c r="B755"/>
    </row>
    <row r="756" spans="1:2" x14ac:dyDescent="0.2">
      <c r="A756"/>
      <c r="B756"/>
    </row>
    <row r="757" spans="1:2" x14ac:dyDescent="0.2">
      <c r="A757"/>
      <c r="B757"/>
    </row>
    <row r="758" spans="1:2" x14ac:dyDescent="0.2">
      <c r="A758"/>
      <c r="B758"/>
    </row>
    <row r="759" spans="1:2" x14ac:dyDescent="0.2">
      <c r="A759"/>
      <c r="B759"/>
    </row>
    <row r="760" spans="1:2" x14ac:dyDescent="0.2">
      <c r="A760"/>
      <c r="B760"/>
    </row>
    <row r="761" spans="1:2" x14ac:dyDescent="0.2">
      <c r="A761"/>
      <c r="B761"/>
    </row>
    <row r="762" spans="1:2" x14ac:dyDescent="0.2">
      <c r="A762"/>
      <c r="B762"/>
    </row>
    <row r="763" spans="1:2" x14ac:dyDescent="0.2">
      <c r="A763"/>
      <c r="B763"/>
    </row>
    <row r="764" spans="1:2" x14ac:dyDescent="0.2">
      <c r="A764"/>
      <c r="B764"/>
    </row>
    <row r="765" spans="1:2" x14ac:dyDescent="0.2">
      <c r="A765"/>
      <c r="B765"/>
    </row>
    <row r="766" spans="1:2" x14ac:dyDescent="0.2">
      <c r="A766"/>
      <c r="B766"/>
    </row>
    <row r="767" spans="1:2" x14ac:dyDescent="0.2">
      <c r="A767"/>
      <c r="B767"/>
    </row>
    <row r="768" spans="1:2" x14ac:dyDescent="0.2">
      <c r="A768"/>
      <c r="B768"/>
    </row>
    <row r="769" spans="1:2" x14ac:dyDescent="0.2">
      <c r="A769"/>
      <c r="B769"/>
    </row>
    <row r="770" spans="1:2" x14ac:dyDescent="0.2">
      <c r="A770"/>
      <c r="B770"/>
    </row>
    <row r="771" spans="1:2" x14ac:dyDescent="0.2">
      <c r="A771"/>
      <c r="B771"/>
    </row>
    <row r="772" spans="1:2" x14ac:dyDescent="0.2">
      <c r="A772"/>
      <c r="B772"/>
    </row>
    <row r="773" spans="1:2" x14ac:dyDescent="0.2">
      <c r="A773"/>
      <c r="B773"/>
    </row>
    <row r="774" spans="1:2" x14ac:dyDescent="0.2">
      <c r="A774"/>
      <c r="B774"/>
    </row>
    <row r="775" spans="1:2" x14ac:dyDescent="0.2">
      <c r="A775"/>
      <c r="B775"/>
    </row>
    <row r="776" spans="1:2" x14ac:dyDescent="0.2">
      <c r="A776"/>
      <c r="B776"/>
    </row>
    <row r="777" spans="1:2" x14ac:dyDescent="0.2">
      <c r="A777"/>
      <c r="B777"/>
    </row>
    <row r="778" spans="1:2" x14ac:dyDescent="0.2">
      <c r="A778"/>
      <c r="B778"/>
    </row>
    <row r="779" spans="1:2" x14ac:dyDescent="0.2">
      <c r="A779"/>
      <c r="B779"/>
    </row>
    <row r="780" spans="1:2" x14ac:dyDescent="0.2">
      <c r="A780"/>
      <c r="B780"/>
    </row>
    <row r="781" spans="1:2" x14ac:dyDescent="0.2">
      <c r="A781"/>
      <c r="B781"/>
    </row>
    <row r="782" spans="1:2" x14ac:dyDescent="0.2">
      <c r="A782"/>
      <c r="B782"/>
    </row>
    <row r="783" spans="1:2" x14ac:dyDescent="0.2">
      <c r="A783"/>
      <c r="B783"/>
    </row>
    <row r="784" spans="1:2" x14ac:dyDescent="0.2">
      <c r="A784"/>
      <c r="B784"/>
    </row>
    <row r="785" spans="1:2" x14ac:dyDescent="0.2">
      <c r="A785"/>
      <c r="B785"/>
    </row>
    <row r="786" spans="1:2" x14ac:dyDescent="0.2">
      <c r="A786"/>
      <c r="B786"/>
    </row>
    <row r="787" spans="1:2" x14ac:dyDescent="0.2">
      <c r="A787"/>
      <c r="B787"/>
    </row>
    <row r="788" spans="1:2" x14ac:dyDescent="0.2">
      <c r="A788"/>
      <c r="B788"/>
    </row>
    <row r="789" spans="1:2" x14ac:dyDescent="0.2">
      <c r="A789"/>
      <c r="B789"/>
    </row>
    <row r="790" spans="1:2" x14ac:dyDescent="0.2">
      <c r="A790"/>
      <c r="B790"/>
    </row>
    <row r="791" spans="1:2" x14ac:dyDescent="0.2">
      <c r="A791"/>
      <c r="B791"/>
    </row>
    <row r="792" spans="1:2" x14ac:dyDescent="0.2">
      <c r="A792"/>
      <c r="B792"/>
    </row>
    <row r="793" spans="1:2" x14ac:dyDescent="0.2">
      <c r="A793"/>
      <c r="B793"/>
    </row>
    <row r="794" spans="1:2" x14ac:dyDescent="0.2">
      <c r="A794"/>
      <c r="B794"/>
    </row>
    <row r="795" spans="1:2" x14ac:dyDescent="0.2">
      <c r="A795"/>
      <c r="B795"/>
    </row>
    <row r="796" spans="1:2" x14ac:dyDescent="0.2">
      <c r="A796"/>
      <c r="B796"/>
    </row>
    <row r="797" spans="1:2" x14ac:dyDescent="0.2">
      <c r="A797"/>
      <c r="B797"/>
    </row>
    <row r="798" spans="1:2" x14ac:dyDescent="0.2">
      <c r="A798"/>
      <c r="B798"/>
    </row>
    <row r="799" spans="1:2" x14ac:dyDescent="0.2">
      <c r="A799"/>
      <c r="B799"/>
    </row>
    <row r="800" spans="1:2" x14ac:dyDescent="0.2">
      <c r="A800"/>
      <c r="B800"/>
    </row>
    <row r="801" spans="1:2" x14ac:dyDescent="0.2">
      <c r="A801"/>
      <c r="B801"/>
    </row>
    <row r="802" spans="1:2" x14ac:dyDescent="0.2">
      <c r="A802"/>
      <c r="B802"/>
    </row>
    <row r="803" spans="1:2" x14ac:dyDescent="0.2">
      <c r="A803"/>
      <c r="B803"/>
    </row>
    <row r="804" spans="1:2" x14ac:dyDescent="0.2">
      <c r="A804"/>
      <c r="B804"/>
    </row>
    <row r="805" spans="1:2" x14ac:dyDescent="0.2">
      <c r="A805"/>
      <c r="B805"/>
    </row>
    <row r="806" spans="1:2" x14ac:dyDescent="0.2">
      <c r="A806"/>
      <c r="B806"/>
    </row>
    <row r="807" spans="1:2" x14ac:dyDescent="0.2">
      <c r="A807"/>
      <c r="B807"/>
    </row>
    <row r="808" spans="1:2" x14ac:dyDescent="0.2">
      <c r="A808"/>
      <c r="B808"/>
    </row>
    <row r="809" spans="1:2" x14ac:dyDescent="0.2">
      <c r="A809"/>
      <c r="B809"/>
    </row>
    <row r="810" spans="1:2" x14ac:dyDescent="0.2">
      <c r="A810"/>
      <c r="B810"/>
    </row>
    <row r="811" spans="1:2" x14ac:dyDescent="0.2">
      <c r="A811"/>
      <c r="B811"/>
    </row>
    <row r="812" spans="1:2" x14ac:dyDescent="0.2">
      <c r="A812"/>
      <c r="B812"/>
    </row>
    <row r="813" spans="1:2" x14ac:dyDescent="0.2">
      <c r="A813"/>
      <c r="B813"/>
    </row>
    <row r="814" spans="1:2" x14ac:dyDescent="0.2">
      <c r="A814"/>
      <c r="B814"/>
    </row>
    <row r="815" spans="1:2" x14ac:dyDescent="0.2">
      <c r="A815"/>
      <c r="B815"/>
    </row>
    <row r="816" spans="1:2" x14ac:dyDescent="0.2">
      <c r="A816"/>
      <c r="B816"/>
    </row>
    <row r="817" spans="1:2" x14ac:dyDescent="0.2">
      <c r="A817"/>
      <c r="B817"/>
    </row>
    <row r="818" spans="1:2" x14ac:dyDescent="0.2">
      <c r="A818"/>
      <c r="B818"/>
    </row>
    <row r="819" spans="1:2" x14ac:dyDescent="0.2">
      <c r="A819"/>
      <c r="B819"/>
    </row>
    <row r="820" spans="1:2" x14ac:dyDescent="0.2">
      <c r="A820"/>
      <c r="B820"/>
    </row>
    <row r="821" spans="1:2" x14ac:dyDescent="0.2">
      <c r="A821"/>
      <c r="B821"/>
    </row>
    <row r="822" spans="1:2" x14ac:dyDescent="0.2">
      <c r="A822"/>
      <c r="B822"/>
    </row>
    <row r="823" spans="1:2" x14ac:dyDescent="0.2">
      <c r="A823"/>
      <c r="B823"/>
    </row>
    <row r="824" spans="1:2" x14ac:dyDescent="0.2">
      <c r="A824"/>
      <c r="B824"/>
    </row>
    <row r="825" spans="1:2" x14ac:dyDescent="0.2">
      <c r="A825"/>
      <c r="B825"/>
    </row>
    <row r="826" spans="1:2" x14ac:dyDescent="0.2">
      <c r="A826"/>
      <c r="B826"/>
    </row>
    <row r="827" spans="1:2" x14ac:dyDescent="0.2">
      <c r="A827"/>
      <c r="B827"/>
    </row>
    <row r="828" spans="1:2" x14ac:dyDescent="0.2">
      <c r="A828"/>
      <c r="B828"/>
    </row>
    <row r="829" spans="1:2" x14ac:dyDescent="0.2">
      <c r="A829"/>
      <c r="B829"/>
    </row>
    <row r="830" spans="1:2" x14ac:dyDescent="0.2">
      <c r="A830"/>
      <c r="B830"/>
    </row>
    <row r="831" spans="1:2" x14ac:dyDescent="0.2">
      <c r="A831"/>
      <c r="B831"/>
    </row>
    <row r="832" spans="1:2" x14ac:dyDescent="0.2">
      <c r="A832"/>
      <c r="B832"/>
    </row>
    <row r="833" spans="1:2" x14ac:dyDescent="0.2">
      <c r="A833"/>
      <c r="B833"/>
    </row>
    <row r="834" spans="1:2" x14ac:dyDescent="0.2">
      <c r="A834"/>
      <c r="B834"/>
    </row>
    <row r="835" spans="1:2" x14ac:dyDescent="0.2">
      <c r="A835"/>
      <c r="B835"/>
    </row>
    <row r="836" spans="1:2" x14ac:dyDescent="0.2">
      <c r="A836"/>
      <c r="B836"/>
    </row>
    <row r="837" spans="1:2" x14ac:dyDescent="0.2">
      <c r="A837"/>
      <c r="B837"/>
    </row>
    <row r="838" spans="1:2" x14ac:dyDescent="0.2">
      <c r="A838"/>
      <c r="B838"/>
    </row>
    <row r="839" spans="1:2" x14ac:dyDescent="0.2">
      <c r="A839"/>
      <c r="B839"/>
    </row>
    <row r="840" spans="1:2" x14ac:dyDescent="0.2">
      <c r="A840"/>
      <c r="B840"/>
    </row>
    <row r="841" spans="1:2" x14ac:dyDescent="0.2">
      <c r="A841"/>
      <c r="B841"/>
    </row>
    <row r="842" spans="1:2" x14ac:dyDescent="0.2">
      <c r="A842"/>
      <c r="B842"/>
    </row>
    <row r="843" spans="1:2" x14ac:dyDescent="0.2">
      <c r="A843"/>
      <c r="B843"/>
    </row>
    <row r="844" spans="1:2" x14ac:dyDescent="0.2">
      <c r="A844"/>
      <c r="B844"/>
    </row>
    <row r="845" spans="1:2" x14ac:dyDescent="0.2">
      <c r="A845"/>
      <c r="B845"/>
    </row>
    <row r="846" spans="1:2" x14ac:dyDescent="0.2">
      <c r="A846"/>
      <c r="B846"/>
    </row>
    <row r="847" spans="1:2" x14ac:dyDescent="0.2">
      <c r="A847"/>
      <c r="B847"/>
    </row>
    <row r="848" spans="1:2" x14ac:dyDescent="0.2">
      <c r="A848"/>
      <c r="B848"/>
    </row>
    <row r="849" spans="1:2" x14ac:dyDescent="0.2">
      <c r="A849"/>
      <c r="B849"/>
    </row>
    <row r="850" spans="1:2" x14ac:dyDescent="0.2">
      <c r="A850"/>
      <c r="B850"/>
    </row>
    <row r="851" spans="1:2" x14ac:dyDescent="0.2">
      <c r="A851"/>
      <c r="B851"/>
    </row>
    <row r="852" spans="1:2" x14ac:dyDescent="0.2">
      <c r="A852"/>
      <c r="B852"/>
    </row>
    <row r="853" spans="1:2" x14ac:dyDescent="0.2">
      <c r="A853"/>
      <c r="B853"/>
    </row>
    <row r="854" spans="1:2" x14ac:dyDescent="0.2">
      <c r="A854"/>
      <c r="B854"/>
    </row>
    <row r="855" spans="1:2" x14ac:dyDescent="0.2">
      <c r="A855"/>
      <c r="B855"/>
    </row>
    <row r="856" spans="1:2" x14ac:dyDescent="0.2">
      <c r="A856"/>
      <c r="B856"/>
    </row>
    <row r="857" spans="1:2" x14ac:dyDescent="0.2">
      <c r="A857"/>
      <c r="B857"/>
    </row>
    <row r="858" spans="1:2" x14ac:dyDescent="0.2">
      <c r="A858"/>
      <c r="B858"/>
    </row>
    <row r="859" spans="1:2" x14ac:dyDescent="0.2">
      <c r="A859"/>
      <c r="B859"/>
    </row>
    <row r="860" spans="1:2" x14ac:dyDescent="0.2">
      <c r="A860"/>
      <c r="B860"/>
    </row>
    <row r="861" spans="1:2" x14ac:dyDescent="0.2">
      <c r="A861"/>
      <c r="B861"/>
    </row>
    <row r="862" spans="1:2" x14ac:dyDescent="0.2">
      <c r="A862"/>
      <c r="B862"/>
    </row>
    <row r="863" spans="1:2" x14ac:dyDescent="0.2">
      <c r="A863"/>
      <c r="B863"/>
    </row>
    <row r="864" spans="1:2" x14ac:dyDescent="0.2">
      <c r="A864"/>
      <c r="B864"/>
    </row>
    <row r="865" spans="1:2" x14ac:dyDescent="0.2">
      <c r="A865"/>
      <c r="B865"/>
    </row>
    <row r="866" spans="1:2" x14ac:dyDescent="0.2">
      <c r="A866"/>
      <c r="B866"/>
    </row>
    <row r="867" spans="1:2" x14ac:dyDescent="0.2">
      <c r="A867"/>
      <c r="B867"/>
    </row>
    <row r="868" spans="1:2" x14ac:dyDescent="0.2">
      <c r="A868"/>
      <c r="B868"/>
    </row>
    <row r="869" spans="1:2" x14ac:dyDescent="0.2">
      <c r="A869"/>
      <c r="B869"/>
    </row>
    <row r="870" spans="1:2" x14ac:dyDescent="0.2">
      <c r="A870"/>
      <c r="B870"/>
    </row>
    <row r="871" spans="1:2" x14ac:dyDescent="0.2">
      <c r="A871"/>
      <c r="B871"/>
    </row>
    <row r="872" spans="1:2" x14ac:dyDescent="0.2">
      <c r="A872"/>
      <c r="B872"/>
    </row>
    <row r="873" spans="1:2" x14ac:dyDescent="0.2">
      <c r="A873"/>
      <c r="B873"/>
    </row>
    <row r="874" spans="1:2" x14ac:dyDescent="0.2">
      <c r="A874"/>
      <c r="B874"/>
    </row>
    <row r="875" spans="1:2" x14ac:dyDescent="0.2">
      <c r="A875"/>
      <c r="B875"/>
    </row>
    <row r="876" spans="1:2" x14ac:dyDescent="0.2">
      <c r="A876"/>
      <c r="B876"/>
    </row>
    <row r="877" spans="1:2" x14ac:dyDescent="0.2">
      <c r="A877"/>
      <c r="B877"/>
    </row>
    <row r="878" spans="1:2" x14ac:dyDescent="0.2">
      <c r="A878"/>
      <c r="B878"/>
    </row>
    <row r="879" spans="1:2" x14ac:dyDescent="0.2">
      <c r="A879"/>
      <c r="B879"/>
    </row>
    <row r="880" spans="1:2" x14ac:dyDescent="0.2">
      <c r="A880"/>
      <c r="B880"/>
    </row>
    <row r="881" spans="1:2" x14ac:dyDescent="0.2">
      <c r="A881"/>
      <c r="B881"/>
    </row>
    <row r="882" spans="1:2" x14ac:dyDescent="0.2">
      <c r="A882"/>
      <c r="B882"/>
    </row>
    <row r="883" spans="1:2" x14ac:dyDescent="0.2">
      <c r="A883"/>
      <c r="B883"/>
    </row>
    <row r="884" spans="1:2" x14ac:dyDescent="0.2">
      <c r="A884"/>
      <c r="B884"/>
    </row>
    <row r="885" spans="1:2" x14ac:dyDescent="0.2">
      <c r="A885"/>
      <c r="B885"/>
    </row>
    <row r="886" spans="1:2" x14ac:dyDescent="0.2">
      <c r="A886"/>
      <c r="B886"/>
    </row>
    <row r="887" spans="1:2" x14ac:dyDescent="0.2">
      <c r="A887"/>
      <c r="B887"/>
    </row>
    <row r="888" spans="1:2" x14ac:dyDescent="0.2">
      <c r="A888"/>
      <c r="B888"/>
    </row>
    <row r="889" spans="1:2" x14ac:dyDescent="0.2">
      <c r="A889"/>
      <c r="B889"/>
    </row>
    <row r="890" spans="1:2" x14ac:dyDescent="0.2">
      <c r="A890"/>
      <c r="B890"/>
    </row>
    <row r="891" spans="1:2" x14ac:dyDescent="0.2">
      <c r="A891"/>
      <c r="B891"/>
    </row>
    <row r="892" spans="1:2" x14ac:dyDescent="0.2">
      <c r="A892"/>
      <c r="B892"/>
    </row>
    <row r="893" spans="1:2" x14ac:dyDescent="0.2">
      <c r="A893"/>
      <c r="B893"/>
    </row>
    <row r="894" spans="1:2" x14ac:dyDescent="0.2">
      <c r="A894"/>
      <c r="B894"/>
    </row>
    <row r="895" spans="1:2" x14ac:dyDescent="0.2">
      <c r="A895"/>
      <c r="B895"/>
    </row>
    <row r="896" spans="1:2" x14ac:dyDescent="0.2">
      <c r="A896"/>
      <c r="B896"/>
    </row>
    <row r="897" spans="1:2" x14ac:dyDescent="0.2">
      <c r="A897"/>
      <c r="B897"/>
    </row>
    <row r="898" spans="1:2" x14ac:dyDescent="0.2">
      <c r="A898"/>
      <c r="B898"/>
    </row>
    <row r="899" spans="1:2" x14ac:dyDescent="0.2">
      <c r="A899"/>
      <c r="B899"/>
    </row>
    <row r="900" spans="1:2" x14ac:dyDescent="0.2">
      <c r="A900"/>
      <c r="B900"/>
    </row>
    <row r="901" spans="1:2" x14ac:dyDescent="0.2">
      <c r="A901"/>
      <c r="B901"/>
    </row>
    <row r="902" spans="1:2" x14ac:dyDescent="0.2">
      <c r="A902"/>
      <c r="B902"/>
    </row>
    <row r="903" spans="1:2" x14ac:dyDescent="0.2">
      <c r="A903"/>
      <c r="B903"/>
    </row>
    <row r="904" spans="1:2" x14ac:dyDescent="0.2">
      <c r="A904"/>
      <c r="B904"/>
    </row>
    <row r="905" spans="1:2" x14ac:dyDescent="0.2">
      <c r="A905"/>
      <c r="B905"/>
    </row>
    <row r="906" spans="1:2" x14ac:dyDescent="0.2">
      <c r="A906"/>
      <c r="B906"/>
    </row>
    <row r="907" spans="1:2" x14ac:dyDescent="0.2">
      <c r="A907"/>
      <c r="B907"/>
    </row>
    <row r="908" spans="1:2" x14ac:dyDescent="0.2">
      <c r="A908"/>
      <c r="B908"/>
    </row>
    <row r="909" spans="1:2" x14ac:dyDescent="0.2">
      <c r="A909"/>
      <c r="B909"/>
    </row>
    <row r="910" spans="1:2" x14ac:dyDescent="0.2">
      <c r="A910"/>
      <c r="B910"/>
    </row>
    <row r="911" spans="1:2" x14ac:dyDescent="0.2">
      <c r="A911"/>
      <c r="B911"/>
    </row>
    <row r="912" spans="1:2" x14ac:dyDescent="0.2">
      <c r="A912"/>
      <c r="B912"/>
    </row>
    <row r="913" spans="1:2" x14ac:dyDescent="0.2">
      <c r="A913"/>
      <c r="B913"/>
    </row>
    <row r="914" spans="1:2" x14ac:dyDescent="0.2">
      <c r="A914"/>
      <c r="B914"/>
    </row>
    <row r="915" spans="1:2" x14ac:dyDescent="0.2">
      <c r="A915"/>
      <c r="B915"/>
    </row>
    <row r="916" spans="1:2" x14ac:dyDescent="0.2">
      <c r="A916"/>
      <c r="B916"/>
    </row>
    <row r="917" spans="1:2" x14ac:dyDescent="0.2">
      <c r="A917"/>
      <c r="B917"/>
    </row>
    <row r="918" spans="1:2" x14ac:dyDescent="0.2">
      <c r="A918"/>
      <c r="B918"/>
    </row>
    <row r="919" spans="1:2" x14ac:dyDescent="0.2">
      <c r="A919"/>
      <c r="B919"/>
    </row>
    <row r="920" spans="1:2" x14ac:dyDescent="0.2">
      <c r="A920"/>
      <c r="B920"/>
    </row>
    <row r="921" spans="1:2" x14ac:dyDescent="0.2">
      <c r="A921"/>
      <c r="B921"/>
    </row>
    <row r="922" spans="1:2" x14ac:dyDescent="0.2">
      <c r="A922"/>
      <c r="B922"/>
    </row>
    <row r="923" spans="1:2" x14ac:dyDescent="0.2">
      <c r="A923"/>
      <c r="B923"/>
    </row>
    <row r="924" spans="1:2" x14ac:dyDescent="0.2">
      <c r="A924"/>
      <c r="B924"/>
    </row>
    <row r="925" spans="1:2" x14ac:dyDescent="0.2">
      <c r="A925"/>
      <c r="B925"/>
    </row>
    <row r="926" spans="1:2" x14ac:dyDescent="0.2">
      <c r="A926"/>
      <c r="B926"/>
    </row>
    <row r="927" spans="1:2" x14ac:dyDescent="0.2">
      <c r="A927"/>
      <c r="B927"/>
    </row>
    <row r="928" spans="1:2" x14ac:dyDescent="0.2">
      <c r="A928"/>
      <c r="B928"/>
    </row>
    <row r="929" spans="1:2" x14ac:dyDescent="0.2">
      <c r="A929"/>
      <c r="B929"/>
    </row>
    <row r="930" spans="1:2" x14ac:dyDescent="0.2">
      <c r="A930"/>
      <c r="B930"/>
    </row>
    <row r="931" spans="1:2" x14ac:dyDescent="0.2">
      <c r="A931"/>
      <c r="B931"/>
    </row>
    <row r="932" spans="1:2" x14ac:dyDescent="0.2">
      <c r="A932"/>
      <c r="B932"/>
    </row>
    <row r="933" spans="1:2" x14ac:dyDescent="0.2">
      <c r="A933"/>
      <c r="B933"/>
    </row>
    <row r="934" spans="1:2" x14ac:dyDescent="0.2">
      <c r="A934"/>
      <c r="B934"/>
    </row>
    <row r="935" spans="1:2" x14ac:dyDescent="0.2">
      <c r="A935"/>
      <c r="B935"/>
    </row>
    <row r="936" spans="1:2" x14ac:dyDescent="0.2">
      <c r="A936"/>
      <c r="B936"/>
    </row>
    <row r="937" spans="1:2" x14ac:dyDescent="0.2">
      <c r="A937"/>
      <c r="B937"/>
    </row>
    <row r="938" spans="1:2" x14ac:dyDescent="0.2">
      <c r="A938"/>
      <c r="B938"/>
    </row>
    <row r="939" spans="1:2" x14ac:dyDescent="0.2">
      <c r="A939"/>
      <c r="B939"/>
    </row>
    <row r="940" spans="1:2" x14ac:dyDescent="0.2">
      <c r="A940"/>
      <c r="B940"/>
    </row>
    <row r="941" spans="1:2" x14ac:dyDescent="0.2">
      <c r="A941"/>
      <c r="B941"/>
    </row>
    <row r="942" spans="1:2" x14ac:dyDescent="0.2">
      <c r="A942"/>
      <c r="B942"/>
    </row>
    <row r="943" spans="1:2" x14ac:dyDescent="0.2">
      <c r="A943"/>
      <c r="B943"/>
    </row>
    <row r="944" spans="1:2" x14ac:dyDescent="0.2">
      <c r="A944"/>
      <c r="B944"/>
    </row>
    <row r="945" spans="1:2" x14ac:dyDescent="0.2">
      <c r="A945"/>
      <c r="B945"/>
    </row>
    <row r="946" spans="1:2" x14ac:dyDescent="0.2">
      <c r="A946"/>
      <c r="B946"/>
    </row>
    <row r="947" spans="1:2" x14ac:dyDescent="0.2">
      <c r="A947"/>
      <c r="B947"/>
    </row>
    <row r="948" spans="1:2" x14ac:dyDescent="0.2">
      <c r="A948"/>
      <c r="B948"/>
    </row>
    <row r="949" spans="1:2" x14ac:dyDescent="0.2">
      <c r="A949"/>
      <c r="B949"/>
    </row>
    <row r="950" spans="1:2" x14ac:dyDescent="0.2">
      <c r="A950"/>
      <c r="B950"/>
    </row>
    <row r="951" spans="1:2" x14ac:dyDescent="0.2">
      <c r="A951"/>
      <c r="B951"/>
    </row>
    <row r="952" spans="1:2" x14ac:dyDescent="0.2">
      <c r="A952"/>
      <c r="B952"/>
    </row>
    <row r="953" spans="1:2" x14ac:dyDescent="0.2">
      <c r="A953"/>
      <c r="B953"/>
    </row>
    <row r="954" spans="1:2" x14ac:dyDescent="0.2">
      <c r="A954"/>
      <c r="B954"/>
    </row>
    <row r="955" spans="1:2" x14ac:dyDescent="0.2">
      <c r="A955"/>
      <c r="B955"/>
    </row>
    <row r="956" spans="1:2" x14ac:dyDescent="0.2">
      <c r="A956"/>
      <c r="B956"/>
    </row>
    <row r="957" spans="1:2" x14ac:dyDescent="0.2">
      <c r="A957"/>
      <c r="B957"/>
    </row>
    <row r="958" spans="1:2" x14ac:dyDescent="0.2">
      <c r="A958"/>
      <c r="B958"/>
    </row>
    <row r="959" spans="1:2" x14ac:dyDescent="0.2">
      <c r="A959"/>
      <c r="B959"/>
    </row>
    <row r="960" spans="1:2" x14ac:dyDescent="0.2">
      <c r="A960"/>
      <c r="B960"/>
    </row>
    <row r="961" spans="1:2" x14ac:dyDescent="0.2">
      <c r="A961"/>
      <c r="B961"/>
    </row>
    <row r="962" spans="1:2" x14ac:dyDescent="0.2">
      <c r="A962"/>
      <c r="B962"/>
    </row>
    <row r="963" spans="1:2" x14ac:dyDescent="0.2">
      <c r="A963"/>
      <c r="B963"/>
    </row>
    <row r="964" spans="1:2" x14ac:dyDescent="0.2">
      <c r="A964"/>
      <c r="B964"/>
    </row>
    <row r="965" spans="1:2" x14ac:dyDescent="0.2">
      <c r="A965"/>
      <c r="B965"/>
    </row>
    <row r="966" spans="1:2" x14ac:dyDescent="0.2">
      <c r="A966"/>
      <c r="B966"/>
    </row>
    <row r="967" spans="1:2" x14ac:dyDescent="0.2">
      <c r="A967"/>
      <c r="B967"/>
    </row>
    <row r="968" spans="1:2" x14ac:dyDescent="0.2">
      <c r="A968"/>
      <c r="B968"/>
    </row>
    <row r="969" spans="1:2" x14ac:dyDescent="0.2">
      <c r="A969"/>
      <c r="B969"/>
    </row>
    <row r="970" spans="1:2" x14ac:dyDescent="0.2">
      <c r="A970"/>
      <c r="B970"/>
    </row>
    <row r="971" spans="1:2" x14ac:dyDescent="0.2">
      <c r="A971"/>
      <c r="B971"/>
    </row>
    <row r="972" spans="1:2" x14ac:dyDescent="0.2">
      <c r="A972"/>
      <c r="B972"/>
    </row>
    <row r="973" spans="1:2" x14ac:dyDescent="0.2">
      <c r="A973"/>
      <c r="B973"/>
    </row>
    <row r="974" spans="1:2" x14ac:dyDescent="0.2">
      <c r="A974"/>
      <c r="B974"/>
    </row>
    <row r="975" spans="1:2" x14ac:dyDescent="0.2">
      <c r="A975"/>
      <c r="B975"/>
    </row>
    <row r="976" spans="1:2" x14ac:dyDescent="0.2">
      <c r="A976"/>
      <c r="B976"/>
    </row>
    <row r="977" spans="1:2" x14ac:dyDescent="0.2">
      <c r="A977"/>
      <c r="B977"/>
    </row>
    <row r="978" spans="1:2" x14ac:dyDescent="0.2">
      <c r="A978"/>
      <c r="B978"/>
    </row>
    <row r="979" spans="1:2" x14ac:dyDescent="0.2">
      <c r="A979"/>
      <c r="B979"/>
    </row>
    <row r="980" spans="1:2" x14ac:dyDescent="0.2">
      <c r="A980"/>
      <c r="B980"/>
    </row>
    <row r="981" spans="1:2" x14ac:dyDescent="0.2">
      <c r="A981"/>
      <c r="B981"/>
    </row>
    <row r="982" spans="1:2" x14ac:dyDescent="0.2">
      <c r="A982"/>
      <c r="B982"/>
    </row>
    <row r="983" spans="1:2" x14ac:dyDescent="0.2">
      <c r="A983"/>
      <c r="B983"/>
    </row>
    <row r="984" spans="1:2" x14ac:dyDescent="0.2">
      <c r="A984"/>
      <c r="B984"/>
    </row>
    <row r="985" spans="1:2" x14ac:dyDescent="0.2">
      <c r="A985"/>
      <c r="B985"/>
    </row>
    <row r="986" spans="1:2" x14ac:dyDescent="0.2">
      <c r="A986"/>
      <c r="B986"/>
    </row>
    <row r="987" spans="1:2" x14ac:dyDescent="0.2">
      <c r="A987"/>
      <c r="B987"/>
    </row>
    <row r="988" spans="1:2" x14ac:dyDescent="0.2">
      <c r="A988"/>
      <c r="B988"/>
    </row>
    <row r="989" spans="1:2" x14ac:dyDescent="0.2">
      <c r="A989"/>
      <c r="B989"/>
    </row>
    <row r="990" spans="1:2" x14ac:dyDescent="0.2">
      <c r="A990"/>
      <c r="B990"/>
    </row>
    <row r="991" spans="1:2" x14ac:dyDescent="0.2">
      <c r="A991"/>
      <c r="B991"/>
    </row>
    <row r="992" spans="1:2" x14ac:dyDescent="0.2">
      <c r="A992"/>
      <c r="B992"/>
    </row>
    <row r="993" spans="1:2" x14ac:dyDescent="0.2">
      <c r="A993"/>
      <c r="B993"/>
    </row>
    <row r="994" spans="1:2" x14ac:dyDescent="0.2">
      <c r="A994"/>
      <c r="B994"/>
    </row>
    <row r="995" spans="1:2" x14ac:dyDescent="0.2">
      <c r="A995"/>
      <c r="B995"/>
    </row>
    <row r="996" spans="1:2" x14ac:dyDescent="0.2">
      <c r="A996"/>
      <c r="B996"/>
    </row>
    <row r="997" spans="1:2" x14ac:dyDescent="0.2">
      <c r="A997"/>
      <c r="B997"/>
    </row>
    <row r="998" spans="1:2" x14ac:dyDescent="0.2">
      <c r="A998"/>
      <c r="B998"/>
    </row>
    <row r="999" spans="1:2" x14ac:dyDescent="0.2">
      <c r="A999"/>
      <c r="B999"/>
    </row>
  </sheetData>
  <sheetProtection sheet="1" objects="1" scenarios="1"/>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9" tint="0.39997558519241921"/>
  </sheetPr>
  <dimension ref="A1:R23"/>
  <sheetViews>
    <sheetView tabSelected="1" zoomScale="80" zoomScaleNormal="80" workbookViewId="0">
      <pane xSplit="2" ySplit="4" topLeftCell="C5" activePane="bottomRight" state="frozen"/>
      <selection pane="topRight" activeCell="C1" sqref="C1"/>
      <selection pane="bottomLeft" activeCell="A5" sqref="A5"/>
      <selection pane="bottomRight" activeCell="G12" sqref="G12"/>
    </sheetView>
  </sheetViews>
  <sheetFormatPr defaultRowHeight="15" x14ac:dyDescent="0.2"/>
  <cols>
    <col min="1" max="1" width="18.6640625" style="58" bestFit="1" customWidth="1"/>
    <col min="2" max="2" width="21.33203125" style="58" customWidth="1"/>
    <col min="3" max="3" width="17.83203125" style="56" bestFit="1" customWidth="1"/>
    <col min="4" max="4" width="27.5" style="56" customWidth="1"/>
    <col min="5" max="5" width="80.6640625" style="58" customWidth="1"/>
    <col min="6" max="6" width="25.83203125" style="58" bestFit="1" customWidth="1"/>
    <col min="7" max="7" width="14.83203125" style="58" bestFit="1" customWidth="1"/>
    <col min="8" max="8" width="26.83203125" style="58" bestFit="1" customWidth="1"/>
    <col min="9" max="9" width="24" style="58" bestFit="1" customWidth="1"/>
    <col min="10" max="10" width="29.6640625" style="58" customWidth="1"/>
    <col min="11" max="11" width="17.6640625" style="58" customWidth="1"/>
    <col min="12" max="12" width="11.1640625" style="58" bestFit="1" customWidth="1"/>
    <col min="13" max="13" width="24.6640625" style="54" customWidth="1"/>
    <col min="14" max="14" width="8.5" style="58" bestFit="1" customWidth="1"/>
    <col min="15" max="15" width="12.33203125" style="58" bestFit="1" customWidth="1"/>
    <col min="16" max="16" width="17.5" style="58" customWidth="1"/>
    <col min="17" max="17" width="20.33203125" style="58" bestFit="1" customWidth="1"/>
    <col min="18" max="16384" width="9.33203125" style="58"/>
  </cols>
  <sheetData>
    <row r="1" spans="1:18" s="68" customFormat="1" x14ac:dyDescent="0.2">
      <c r="A1" s="67" t="s">
        <v>41</v>
      </c>
      <c r="B1" s="142" t="s">
        <v>13</v>
      </c>
      <c r="C1" s="69" t="s">
        <v>42</v>
      </c>
      <c r="D1" s="143" t="s">
        <v>109</v>
      </c>
      <c r="E1" s="67" t="s">
        <v>257</v>
      </c>
      <c r="F1" s="142" t="b">
        <v>0</v>
      </c>
      <c r="G1" s="185" t="s">
        <v>973</v>
      </c>
      <c r="H1" s="192" t="s">
        <v>923</v>
      </c>
      <c r="I1" s="185" t="s">
        <v>974</v>
      </c>
      <c r="J1" s="143"/>
      <c r="K1" s="67"/>
      <c r="L1" s="142"/>
      <c r="M1" s="67"/>
      <c r="N1" s="142"/>
      <c r="O1" s="185"/>
      <c r="P1" s="192"/>
      <c r="Q1" s="185"/>
      <c r="R1" s="192"/>
    </row>
    <row r="2" spans="1:18" s="82" customFormat="1" x14ac:dyDescent="0.25">
      <c r="A2" s="81" t="s">
        <v>353</v>
      </c>
      <c r="B2" s="109" t="s">
        <v>352</v>
      </c>
      <c r="C2" s="109" t="s">
        <v>196</v>
      </c>
      <c r="D2" s="109" t="s">
        <v>350</v>
      </c>
      <c r="F2" s="267" t="s">
        <v>283</v>
      </c>
      <c r="G2" s="268"/>
      <c r="H2" s="268"/>
      <c r="I2" s="268"/>
      <c r="J2" s="268"/>
      <c r="K2" s="269"/>
    </row>
    <row r="3" spans="1:18" s="82" customFormat="1" x14ac:dyDescent="0.25">
      <c r="A3" s="109" t="s">
        <v>389</v>
      </c>
      <c r="B3" s="109" t="s">
        <v>349</v>
      </c>
      <c r="C3" s="109" t="s">
        <v>284</v>
      </c>
      <c r="D3" s="109" t="s">
        <v>351</v>
      </c>
      <c r="F3" s="188" t="s">
        <v>284</v>
      </c>
      <c r="G3" s="189"/>
      <c r="H3" s="189"/>
      <c r="I3" s="86"/>
      <c r="J3" s="86"/>
      <c r="K3" s="86"/>
    </row>
    <row r="4" spans="1:18" s="51" customFormat="1" x14ac:dyDescent="0.2">
      <c r="A4" s="79" t="s">
        <v>5</v>
      </c>
      <c r="B4" s="79" t="s">
        <v>285</v>
      </c>
      <c r="C4" s="79" t="s">
        <v>43</v>
      </c>
      <c r="D4" s="79" t="s">
        <v>973</v>
      </c>
      <c r="E4" s="79" t="s">
        <v>974</v>
      </c>
      <c r="F4" s="233" t="s">
        <v>282</v>
      </c>
      <c r="G4" s="189"/>
      <c r="H4" s="88"/>
      <c r="I4" s="88"/>
      <c r="J4" s="88"/>
      <c r="K4" s="88"/>
    </row>
    <row r="5" spans="1:18" x14ac:dyDescent="0.2">
      <c r="A5" s="54" t="s">
        <v>9</v>
      </c>
      <c r="C5" s="56" t="s">
        <v>978</v>
      </c>
      <c r="D5" s="54" t="s">
        <v>21</v>
      </c>
      <c r="E5" s="55" t="s">
        <v>112</v>
      </c>
      <c r="F5" s="189"/>
      <c r="G5" s="88"/>
      <c r="H5" s="88"/>
      <c r="I5" s="88"/>
      <c r="J5" s="88"/>
      <c r="K5" s="88"/>
      <c r="M5" s="58"/>
    </row>
    <row r="6" spans="1:18" x14ac:dyDescent="0.2">
      <c r="A6" s="54" t="s">
        <v>2</v>
      </c>
      <c r="C6" s="56" t="s">
        <v>979</v>
      </c>
      <c r="D6" s="54" t="s">
        <v>64</v>
      </c>
      <c r="E6" s="55" t="s">
        <v>113</v>
      </c>
      <c r="F6" s="57"/>
      <c r="G6" s="88"/>
      <c r="H6" s="88"/>
      <c r="I6" s="88"/>
      <c r="J6" s="88"/>
      <c r="K6" s="88"/>
      <c r="M6" s="58"/>
    </row>
    <row r="7" spans="1:18" x14ac:dyDescent="0.2">
      <c r="A7" s="54" t="s">
        <v>6</v>
      </c>
      <c r="D7" s="54" t="s">
        <v>22</v>
      </c>
      <c r="E7" s="55" t="s">
        <v>114</v>
      </c>
      <c r="F7" s="57"/>
      <c r="G7" s="88"/>
      <c r="H7" s="88"/>
      <c r="I7" s="88"/>
      <c r="J7" s="88"/>
      <c r="K7" s="88"/>
      <c r="M7" s="58"/>
    </row>
    <row r="8" spans="1:18" x14ac:dyDescent="0.2">
      <c r="A8" s="54" t="s">
        <v>1</v>
      </c>
      <c r="D8" s="54" t="s">
        <v>60</v>
      </c>
      <c r="E8" s="55" t="s">
        <v>115</v>
      </c>
      <c r="F8" s="57"/>
      <c r="G8" s="88"/>
      <c r="H8" s="88"/>
      <c r="I8" s="88"/>
      <c r="J8" s="88"/>
      <c r="K8" s="88"/>
      <c r="M8" s="58"/>
    </row>
    <row r="9" spans="1:18" x14ac:dyDescent="0.2">
      <c r="A9" s="54" t="s">
        <v>12</v>
      </c>
      <c r="D9" s="54" t="s">
        <v>66</v>
      </c>
      <c r="E9" s="55" t="s">
        <v>116</v>
      </c>
      <c r="F9" s="57"/>
      <c r="G9" s="88"/>
      <c r="H9" s="88"/>
      <c r="I9" s="88"/>
      <c r="J9" s="88"/>
      <c r="K9" s="88"/>
      <c r="M9" s="58"/>
    </row>
    <row r="10" spans="1:18" x14ac:dyDescent="0.2">
      <c r="A10" s="54" t="s">
        <v>3</v>
      </c>
      <c r="D10" s="54" t="s">
        <v>110</v>
      </c>
      <c r="E10" s="55" t="s">
        <v>117</v>
      </c>
      <c r="F10" s="57"/>
      <c r="G10" s="88"/>
      <c r="H10" s="88"/>
      <c r="I10" s="88"/>
      <c r="J10" s="88"/>
      <c r="K10" s="88"/>
      <c r="M10" s="58"/>
    </row>
    <row r="11" spans="1:18" x14ac:dyDescent="0.2">
      <c r="A11" s="54" t="s">
        <v>0</v>
      </c>
      <c r="D11" s="54" t="s">
        <v>23</v>
      </c>
      <c r="E11" s="55" t="s">
        <v>118</v>
      </c>
      <c r="F11" s="57"/>
      <c r="G11" s="88"/>
      <c r="H11" s="88"/>
      <c r="I11" s="88"/>
      <c r="J11" s="88"/>
      <c r="K11" s="88"/>
      <c r="M11" s="58"/>
    </row>
    <row r="12" spans="1:18" ht="90" x14ac:dyDescent="0.2">
      <c r="A12" s="54" t="s">
        <v>7</v>
      </c>
      <c r="D12" s="54" t="s">
        <v>111</v>
      </c>
      <c r="E12" s="55" t="s">
        <v>940</v>
      </c>
      <c r="F12" s="57"/>
      <c r="G12" s="88"/>
      <c r="H12" s="88"/>
      <c r="I12" s="88"/>
      <c r="J12" s="88"/>
      <c r="K12" s="88"/>
      <c r="M12" s="58"/>
    </row>
    <row r="13" spans="1:18" ht="90" x14ac:dyDescent="0.2">
      <c r="A13" s="54" t="s">
        <v>10</v>
      </c>
      <c r="D13" s="54" t="s">
        <v>68</v>
      </c>
      <c r="E13" s="55" t="s">
        <v>119</v>
      </c>
      <c r="F13" s="57"/>
      <c r="G13" s="88"/>
      <c r="H13" s="88"/>
      <c r="I13" s="88"/>
      <c r="J13" s="88"/>
      <c r="K13" s="88"/>
      <c r="M13" s="58"/>
    </row>
    <row r="14" spans="1:18" x14ac:dyDescent="0.2">
      <c r="E14" s="56"/>
      <c r="F14" s="56"/>
      <c r="G14" s="56"/>
      <c r="H14" s="56"/>
      <c r="I14" s="56"/>
      <c r="J14" s="56"/>
      <c r="K14" s="56"/>
      <c r="L14" s="56"/>
      <c r="M14" s="59"/>
    </row>
    <row r="15" spans="1:18" x14ac:dyDescent="0.2">
      <c r="E15" s="56"/>
      <c r="F15" s="56"/>
      <c r="G15" s="56"/>
      <c r="H15" s="56"/>
      <c r="I15" s="56"/>
      <c r="J15" s="56"/>
      <c r="K15" s="56"/>
      <c r="L15" s="56"/>
      <c r="M15" s="59"/>
    </row>
    <row r="16" spans="1:18" x14ac:dyDescent="0.2">
      <c r="E16" s="56"/>
      <c r="F16" s="56"/>
      <c r="G16" s="56"/>
      <c r="H16" s="56"/>
      <c r="I16" s="56"/>
      <c r="J16" s="56"/>
      <c r="K16" s="56"/>
      <c r="L16" s="56"/>
      <c r="M16" s="59"/>
    </row>
    <row r="17" spans="5:13" x14ac:dyDescent="0.2">
      <c r="E17" s="56"/>
      <c r="F17" s="56"/>
      <c r="G17" s="56"/>
      <c r="H17" s="56"/>
      <c r="I17" s="56"/>
      <c r="J17" s="56"/>
      <c r="K17" s="56"/>
      <c r="L17" s="56"/>
      <c r="M17" s="59"/>
    </row>
    <row r="18" spans="5:13" x14ac:dyDescent="0.2">
      <c r="E18" s="56"/>
      <c r="F18" s="56"/>
      <c r="G18" s="56"/>
      <c r="H18" s="56"/>
      <c r="I18" s="56"/>
      <c r="J18" s="56"/>
      <c r="K18" s="56"/>
      <c r="L18" s="56"/>
      <c r="M18" s="59"/>
    </row>
    <row r="19" spans="5:13" x14ac:dyDescent="0.2">
      <c r="E19" s="56"/>
      <c r="F19" s="56"/>
      <c r="G19" s="56"/>
      <c r="H19" s="56"/>
      <c r="I19" s="56"/>
      <c r="J19" s="56"/>
      <c r="K19" s="56"/>
      <c r="L19" s="56"/>
      <c r="M19" s="59"/>
    </row>
    <row r="20" spans="5:13" x14ac:dyDescent="0.2">
      <c r="M20" s="59"/>
    </row>
    <row r="21" spans="5:13" x14ac:dyDescent="0.2">
      <c r="M21" s="59"/>
    </row>
    <row r="22" spans="5:13" x14ac:dyDescent="0.2">
      <c r="M22" s="59"/>
    </row>
    <row r="23" spans="5:13" x14ac:dyDescent="0.2">
      <c r="M23" s="59"/>
    </row>
  </sheetData>
  <customSheetViews>
    <customSheetView guid="{609B000A-3B9D-4F2C-A882-9D8FED21A0B4}" showAutoFilter="1">
      <pane xSplit="1" topLeftCell="B1" activePane="topRight" state="frozen"/>
      <selection pane="topRight" activeCell="A6" sqref="A6"/>
      <pageMargins left="0.7" right="0.7" top="0.75" bottom="0.75" header="0.3" footer="0.3"/>
      <pageSetup paperSize="9" orientation="portrait" r:id="rId1"/>
      <autoFilter ref="B1:V1"/>
    </customSheetView>
    <customSheetView guid="{E7F7CB01-84EF-4CA7-B9F6-361080D9FD6D}" showAutoFilter="1">
      <pane xSplit="1" topLeftCell="B1" activePane="topRight" state="frozen"/>
      <selection pane="topRight" activeCell="A6" sqref="A6"/>
      <pageMargins left="0.7" right="0.7" top="0.75" bottom="0.75" header="0.3" footer="0.3"/>
      <pageSetup paperSize="9" orientation="portrait" r:id="rId2"/>
      <autoFilter ref="B1:V1"/>
    </customSheetView>
    <customSheetView guid="{FC4FBBDB-A3CF-4CB2-B1C9-D5DDEB34891E}" showAutoFilter="1">
      <pane xSplit="1" topLeftCell="B1" activePane="topRight" state="frozen"/>
      <selection pane="topRight" activeCell="C10" sqref="C10"/>
      <pageMargins left="0.7" right="0.7" top="0.75" bottom="0.75" header="0.3" footer="0.3"/>
      <autoFilter ref="B1:E1"/>
    </customSheetView>
    <customSheetView guid="{ACF55590-2DD5-4F64-8513-A5656764A8B4}" showAutoFilter="1">
      <pane xSplit="1" topLeftCell="B1" activePane="topRight" state="frozen"/>
      <selection pane="topRight"/>
      <pageMargins left="0.7" right="0.7" top="0.75" bottom="0.75" header="0.3" footer="0.3"/>
      <autoFilter ref="B1:E1"/>
    </customSheetView>
    <customSheetView guid="{E66E0E75-407A-4A45-A7DD-4716A0845D40}" showAutoFilter="1">
      <pane xSplit="1" topLeftCell="B1" activePane="topRight" state="frozen"/>
      <selection pane="topRight"/>
      <pageMargins left="0.7" right="0.7" top="0.75" bottom="0.75" header="0.3" footer="0.3"/>
      <autoFilter ref="B1:E1"/>
    </customSheetView>
    <customSheetView guid="{F7C97EE9-0129-4AF7-B3C1-B3102CE6FFA5}" showPageBreaks="1" showAutoFilter="1">
      <pane xSplit="1" topLeftCell="B1" activePane="topRight" state="frozen"/>
      <selection pane="topRight" activeCell="U5" sqref="U5"/>
      <pageMargins left="0.7" right="0.7" top="0.75" bottom="0.75" header="0.3" footer="0.3"/>
      <pageSetup paperSize="9" orientation="portrait" r:id="rId3"/>
      <autoFilter ref="B1:E1"/>
    </customSheetView>
    <customSheetView guid="{AA319F07-CC98-498A-B8F0-88469E3CB718}" showAutoFilter="1">
      <pane xSplit="1" topLeftCell="B1" activePane="topRight" state="frozen"/>
      <selection pane="topRight" activeCell="A6" sqref="A6"/>
      <pageMargins left="0.7" right="0.7" top="0.75" bottom="0.75" header="0.3" footer="0.3"/>
      <pageSetup paperSize="9" orientation="portrait" r:id="rId4"/>
      <autoFilter ref="B1:V1"/>
    </customSheetView>
  </customSheetViews>
  <mergeCells count="1">
    <mergeCell ref="F2:K2"/>
  </mergeCells>
  <conditionalFormatting sqref="A5:A100">
    <cfRule type="duplicateValues" dxfId="9" priority="2"/>
  </conditionalFormatting>
  <dataValidations count="1">
    <dataValidation type="list" allowBlank="1" showInputMessage="1" showErrorMessage="1" sqref="H3">
      <formula1>DataflowIDs</formula1>
    </dataValidation>
  </dataValidations>
  <hyperlinks>
    <hyperlink ref="B2" location="'Generate SDMX-ML'!A1" display="Generate"/>
    <hyperlink ref="B3" location="'Concept Scheme'!A1" display="Concept Scheme"/>
    <hyperlink ref="D2" location="'DSD-Concept Matrix'!A1" display="Matrix"/>
    <hyperlink ref="D3" location="ConstraintsSummary!A1" display="Constraints Summary"/>
    <hyperlink ref="A3" location="'Indicator-Concept Matrix'!A1" display="Indicator Matrix"/>
    <hyperlink ref="C3" location="Dataflows!A1" display="Dataflows"/>
    <hyperlink ref="C2" location="DSDs!A1" display="DSDs"/>
  </hyperlinks>
  <pageMargins left="0.7" right="0.7" top="0.75" bottom="0.75" header="0.3" footer="0.3"/>
  <pageSetup paperSize="9"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workbookViewId="0">
      <selection activeCell="A4" sqref="A4"/>
    </sheetView>
  </sheetViews>
  <sheetFormatPr defaultRowHeight="11.25" x14ac:dyDescent="0.2"/>
  <cols>
    <col min="1" max="1" width="208.1640625" customWidth="1"/>
  </cols>
  <sheetData>
    <row r="1" spans="1:1" ht="409.5" x14ac:dyDescent="0.2">
      <c r="A1" s="41" t="s">
        <v>1012</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9" tint="0.39997558519241921"/>
  </sheetPr>
  <dimension ref="A1:R253"/>
  <sheetViews>
    <sheetView zoomScaleNormal="100" workbookViewId="0">
      <pane xSplit="6" ySplit="4" topLeftCell="G5" activePane="bottomRight" state="frozen"/>
      <selection pane="topRight" activeCell="G1" sqref="G1"/>
      <selection pane="bottomLeft" activeCell="A5" sqref="A5"/>
      <selection pane="bottomRight" activeCell="G9" sqref="G9"/>
    </sheetView>
  </sheetViews>
  <sheetFormatPr defaultRowHeight="12" x14ac:dyDescent="0.2"/>
  <cols>
    <col min="1" max="1" width="13.33203125" style="9" bestFit="1" customWidth="1"/>
    <col min="2" max="2" width="23.5" style="9" bestFit="1" customWidth="1"/>
    <col min="3" max="4" width="21.5" style="9" customWidth="1"/>
    <col min="5" max="5" width="16.5" style="13" customWidth="1"/>
    <col min="6" max="6" width="18.1640625" style="9" customWidth="1"/>
    <col min="7" max="7" width="20.83203125" style="9" customWidth="1"/>
    <col min="8" max="8" width="18.33203125" style="9" customWidth="1"/>
    <col min="9" max="9" width="18" style="9" customWidth="1"/>
    <col min="10" max="10" width="9.33203125" style="4"/>
    <col min="11" max="11" width="9.33203125" style="9"/>
    <col min="13" max="13" width="9.33203125" style="9"/>
    <col min="15" max="16384" width="9.33203125" style="9"/>
  </cols>
  <sheetData>
    <row r="1" spans="1:18" s="68" customFormat="1" ht="15" x14ac:dyDescent="0.25">
      <c r="A1" s="185" t="s">
        <v>41</v>
      </c>
      <c r="B1" s="192" t="s">
        <v>13</v>
      </c>
      <c r="C1" s="69" t="s">
        <v>42</v>
      </c>
      <c r="D1" s="143" t="s">
        <v>129</v>
      </c>
      <c r="E1" s="185" t="s">
        <v>257</v>
      </c>
      <c r="F1" s="192" t="b">
        <v>0</v>
      </c>
      <c r="G1" s="185" t="s">
        <v>973</v>
      </c>
      <c r="H1" s="193" t="s">
        <v>922</v>
      </c>
      <c r="I1" s="185" t="s">
        <v>974</v>
      </c>
      <c r="J1" s="143"/>
      <c r="K1" s="185"/>
      <c r="L1" s="192"/>
      <c r="M1" s="185"/>
      <c r="N1" s="192"/>
      <c r="O1" s="185"/>
      <c r="P1" s="192"/>
      <c r="Q1" s="185"/>
      <c r="R1" s="192"/>
    </row>
    <row r="2" spans="1:18" s="82" customFormat="1" ht="15" x14ac:dyDescent="0.25">
      <c r="A2" s="81" t="s">
        <v>353</v>
      </c>
      <c r="B2" s="109" t="s">
        <v>352</v>
      </c>
      <c r="C2" s="109" t="s">
        <v>196</v>
      </c>
      <c r="D2" s="109" t="s">
        <v>350</v>
      </c>
      <c r="F2" s="267" t="s">
        <v>283</v>
      </c>
      <c r="G2" s="268"/>
      <c r="H2" s="268"/>
      <c r="I2" s="269"/>
      <c r="J2" s="83"/>
      <c r="K2" s="84"/>
    </row>
    <row r="3" spans="1:18" s="82" customFormat="1" ht="15" x14ac:dyDescent="0.25">
      <c r="A3" s="109" t="s">
        <v>389</v>
      </c>
      <c r="B3" s="109" t="s">
        <v>349</v>
      </c>
      <c r="C3" s="109" t="s">
        <v>284</v>
      </c>
      <c r="D3" s="109" t="s">
        <v>351</v>
      </c>
      <c r="F3" s="85" t="s">
        <v>284</v>
      </c>
      <c r="G3" s="86"/>
      <c r="H3" s="86"/>
      <c r="I3" s="86"/>
      <c r="J3" s="83"/>
      <c r="K3" s="84"/>
    </row>
    <row r="4" spans="1:18" s="80" customFormat="1" ht="17.25" customHeight="1" x14ac:dyDescent="0.2">
      <c r="A4" s="77" t="s">
        <v>5</v>
      </c>
      <c r="B4" s="79" t="s">
        <v>285</v>
      </c>
      <c r="C4" s="79" t="s">
        <v>43</v>
      </c>
      <c r="D4" s="77" t="s">
        <v>973</v>
      </c>
      <c r="E4" s="78" t="s">
        <v>974</v>
      </c>
      <c r="F4" s="233" t="s">
        <v>282</v>
      </c>
      <c r="G4" s="234"/>
      <c r="H4" s="234"/>
      <c r="I4" s="234"/>
      <c r="J4" s="170"/>
      <c r="L4" s="52"/>
    </row>
    <row r="5" spans="1:18" customFormat="1" ht="15" x14ac:dyDescent="0.25">
      <c r="A5" s="168" t="s">
        <v>262</v>
      </c>
      <c r="B5" s="9"/>
      <c r="C5" s="9"/>
      <c r="D5" s="65" t="s">
        <v>263</v>
      </c>
      <c r="E5" s="235"/>
      <c r="F5" s="236"/>
      <c r="G5" s="234"/>
      <c r="H5" s="234"/>
      <c r="I5" s="234"/>
      <c r="J5" s="193"/>
    </row>
    <row r="6" spans="1:18" customFormat="1" ht="30" x14ac:dyDescent="0.25">
      <c r="A6" s="168" t="s">
        <v>264</v>
      </c>
      <c r="B6" s="9"/>
      <c r="C6" s="9"/>
      <c r="D6" s="65" t="s">
        <v>265</v>
      </c>
      <c r="E6" s="13"/>
      <c r="F6" s="236"/>
      <c r="G6" s="234"/>
      <c r="H6" s="234"/>
      <c r="I6" s="234"/>
    </row>
    <row r="7" spans="1:18" customFormat="1" ht="15" x14ac:dyDescent="0.25">
      <c r="A7" s="168" t="s">
        <v>266</v>
      </c>
      <c r="B7" s="9"/>
      <c r="C7" s="9"/>
      <c r="D7" s="65" t="s">
        <v>267</v>
      </c>
      <c r="E7" s="235"/>
      <c r="F7" s="236"/>
      <c r="G7" s="234"/>
      <c r="H7" s="234"/>
      <c r="I7" s="234"/>
    </row>
    <row r="8" spans="1:18" customFormat="1" ht="30" x14ac:dyDescent="0.25">
      <c r="A8" s="168" t="s">
        <v>444</v>
      </c>
      <c r="B8" s="9"/>
      <c r="C8" s="9"/>
      <c r="D8" s="65" t="s">
        <v>445</v>
      </c>
      <c r="E8" s="235"/>
      <c r="F8" s="236"/>
      <c r="G8" s="234"/>
      <c r="H8" s="234"/>
      <c r="I8" s="234"/>
    </row>
    <row r="9" spans="1:18" customFormat="1" ht="15" x14ac:dyDescent="0.25">
      <c r="A9" s="168" t="s">
        <v>446</v>
      </c>
      <c r="B9" s="9"/>
      <c r="D9" s="65" t="s">
        <v>447</v>
      </c>
      <c r="E9" s="235"/>
      <c r="F9" s="236"/>
      <c r="G9" s="234"/>
      <c r="H9" s="234"/>
      <c r="I9" s="234"/>
    </row>
    <row r="10" spans="1:18" customFormat="1" ht="15" x14ac:dyDescent="0.25">
      <c r="A10" s="168" t="s">
        <v>448</v>
      </c>
      <c r="B10" s="9"/>
      <c r="D10" s="65" t="s">
        <v>449</v>
      </c>
      <c r="E10" s="235"/>
      <c r="F10" s="236"/>
      <c r="G10" s="234"/>
      <c r="H10" s="234"/>
      <c r="I10" s="234"/>
    </row>
    <row r="11" spans="1:18" customFormat="1" ht="15" x14ac:dyDescent="0.25">
      <c r="A11" s="168" t="s">
        <v>450</v>
      </c>
      <c r="B11" s="9"/>
      <c r="D11" s="65" t="s">
        <v>451</v>
      </c>
      <c r="E11" s="235"/>
      <c r="F11" s="236"/>
      <c r="G11" s="234"/>
      <c r="H11" s="234"/>
      <c r="I11" s="234"/>
    </row>
    <row r="12" spans="1:18" customFormat="1" ht="15" x14ac:dyDescent="0.25">
      <c r="A12" s="168" t="s">
        <v>452</v>
      </c>
      <c r="B12" s="9"/>
      <c r="D12" s="65" t="s">
        <v>453</v>
      </c>
      <c r="E12" s="235"/>
      <c r="F12" s="236"/>
      <c r="G12" s="234"/>
      <c r="H12" s="234"/>
      <c r="I12" s="234"/>
    </row>
    <row r="13" spans="1:18" customFormat="1" ht="15" x14ac:dyDescent="0.25">
      <c r="A13" s="168" t="s">
        <v>454</v>
      </c>
      <c r="B13" s="9"/>
      <c r="D13" s="65" t="s">
        <v>455</v>
      </c>
      <c r="E13" s="235"/>
      <c r="F13" s="236"/>
      <c r="G13" s="234"/>
      <c r="H13" s="234"/>
      <c r="I13" s="234"/>
    </row>
    <row r="14" spans="1:18" customFormat="1" ht="15" x14ac:dyDescent="0.25">
      <c r="A14" s="168" t="s">
        <v>456</v>
      </c>
      <c r="B14" s="9"/>
      <c r="D14" s="65" t="s">
        <v>457</v>
      </c>
      <c r="E14" s="235"/>
      <c r="F14" s="236"/>
      <c r="G14" s="234"/>
      <c r="H14" s="234"/>
      <c r="I14" s="234"/>
    </row>
    <row r="15" spans="1:18" customFormat="1" ht="15" x14ac:dyDescent="0.25">
      <c r="A15" s="168" t="s">
        <v>458</v>
      </c>
      <c r="B15" s="9"/>
      <c r="D15" s="65" t="s">
        <v>459</v>
      </c>
      <c r="E15" s="235"/>
      <c r="F15" s="236"/>
      <c r="G15" s="234"/>
      <c r="H15" s="234"/>
      <c r="I15" s="234"/>
    </row>
    <row r="16" spans="1:18" customFormat="1" ht="15" x14ac:dyDescent="0.25">
      <c r="A16" s="168" t="s">
        <v>460</v>
      </c>
      <c r="B16" s="9"/>
      <c r="D16" s="65" t="s">
        <v>461</v>
      </c>
      <c r="E16" s="235"/>
      <c r="F16" s="236"/>
      <c r="G16" s="234"/>
      <c r="H16" s="234"/>
      <c r="I16" s="234"/>
    </row>
    <row r="17" spans="1:14" customFormat="1" ht="15" x14ac:dyDescent="0.25">
      <c r="A17" s="168" t="s">
        <v>462</v>
      </c>
      <c r="B17" s="9"/>
      <c r="D17" s="65" t="s">
        <v>463</v>
      </c>
      <c r="E17" s="235"/>
      <c r="F17" s="236"/>
      <c r="G17" s="234"/>
      <c r="H17" s="234"/>
      <c r="I17" s="234"/>
    </row>
    <row r="18" spans="1:14" customFormat="1" ht="15" x14ac:dyDescent="0.25">
      <c r="A18" s="168" t="s">
        <v>464</v>
      </c>
      <c r="B18" s="9"/>
      <c r="D18" s="65" t="s">
        <v>465</v>
      </c>
      <c r="E18" s="235"/>
      <c r="F18" s="236"/>
      <c r="G18" s="234"/>
      <c r="H18" s="234"/>
      <c r="I18" s="234"/>
    </row>
    <row r="19" spans="1:14" customFormat="1" ht="15" x14ac:dyDescent="0.25">
      <c r="A19" s="168" t="s">
        <v>466</v>
      </c>
      <c r="B19" s="9"/>
      <c r="D19" s="65" t="s">
        <v>467</v>
      </c>
      <c r="E19" s="235"/>
      <c r="F19" s="236"/>
      <c r="G19" s="234"/>
      <c r="H19" s="234"/>
      <c r="I19" s="234"/>
    </row>
    <row r="20" spans="1:14" customFormat="1" ht="15" x14ac:dyDescent="0.25">
      <c r="A20" s="168" t="s">
        <v>468</v>
      </c>
      <c r="B20" s="9"/>
      <c r="D20" s="65" t="s">
        <v>469</v>
      </c>
      <c r="E20" s="235"/>
      <c r="F20" s="236"/>
      <c r="G20" s="234"/>
      <c r="H20" s="234"/>
      <c r="I20" s="234"/>
    </row>
    <row r="21" spans="1:14" customFormat="1" ht="30" x14ac:dyDescent="0.25">
      <c r="A21" s="168" t="s">
        <v>470</v>
      </c>
      <c r="B21" s="9"/>
      <c r="D21" s="65" t="s">
        <v>471</v>
      </c>
      <c r="E21" s="235"/>
      <c r="F21" s="236"/>
      <c r="G21" s="234"/>
      <c r="H21" s="234"/>
      <c r="I21" s="234"/>
    </row>
    <row r="22" spans="1:14" customFormat="1" ht="15" x14ac:dyDescent="0.25">
      <c r="A22" s="168" t="s">
        <v>472</v>
      </c>
      <c r="B22" s="9"/>
      <c r="D22" s="65" t="s">
        <v>473</v>
      </c>
      <c r="E22" s="235"/>
      <c r="F22" s="236"/>
      <c r="G22" s="234"/>
      <c r="H22" s="234"/>
      <c r="I22" s="234"/>
    </row>
    <row r="23" spans="1:14" customFormat="1" ht="15" x14ac:dyDescent="0.25">
      <c r="A23" s="168" t="s">
        <v>474</v>
      </c>
      <c r="B23" s="9"/>
      <c r="D23" s="65" t="s">
        <v>475</v>
      </c>
      <c r="E23" s="235"/>
      <c r="F23" s="236"/>
      <c r="G23" s="234"/>
      <c r="H23" s="234"/>
      <c r="I23" s="234"/>
    </row>
    <row r="24" spans="1:14" customFormat="1" ht="15" x14ac:dyDescent="0.25">
      <c r="A24" s="168" t="s">
        <v>476</v>
      </c>
      <c r="B24" s="9"/>
      <c r="D24" s="65" t="s">
        <v>477</v>
      </c>
      <c r="E24" s="235"/>
      <c r="F24" s="236"/>
      <c r="G24" s="234"/>
      <c r="H24" s="234"/>
      <c r="I24" s="234"/>
    </row>
    <row r="25" spans="1:14" customFormat="1" ht="15" x14ac:dyDescent="0.25">
      <c r="A25" s="168" t="s">
        <v>478</v>
      </c>
      <c r="B25" s="9"/>
      <c r="D25" s="65" t="s">
        <v>479</v>
      </c>
      <c r="E25" s="235"/>
      <c r="F25" s="236"/>
      <c r="G25" s="234"/>
      <c r="H25" s="234"/>
      <c r="I25" s="234"/>
    </row>
    <row r="26" spans="1:14" customFormat="1" ht="15" x14ac:dyDescent="0.25">
      <c r="A26" s="168" t="s">
        <v>480</v>
      </c>
      <c r="B26" s="9"/>
      <c r="D26" s="65" t="s">
        <v>481</v>
      </c>
      <c r="E26" s="235"/>
      <c r="F26" s="236"/>
      <c r="G26" s="234"/>
      <c r="H26" s="234"/>
      <c r="I26" s="234"/>
    </row>
    <row r="27" spans="1:14" customFormat="1" ht="15" x14ac:dyDescent="0.25">
      <c r="A27" s="168" t="s">
        <v>482</v>
      </c>
      <c r="B27" s="9"/>
      <c r="D27" s="65" t="s">
        <v>483</v>
      </c>
      <c r="E27" s="235"/>
      <c r="F27" s="236"/>
      <c r="G27" s="234"/>
      <c r="H27" s="234"/>
      <c r="I27" s="234"/>
    </row>
    <row r="28" spans="1:14" customFormat="1" ht="15" x14ac:dyDescent="0.25">
      <c r="A28" s="168" t="s">
        <v>484</v>
      </c>
      <c r="B28" s="9"/>
      <c r="D28" s="65" t="s">
        <v>485</v>
      </c>
      <c r="E28" s="235"/>
      <c r="F28" s="236"/>
      <c r="G28" s="234"/>
      <c r="H28" s="234"/>
      <c r="I28" s="234"/>
    </row>
    <row r="29" spans="1:14" customFormat="1" ht="15" x14ac:dyDescent="0.25">
      <c r="A29" s="168" t="s">
        <v>486</v>
      </c>
      <c r="B29" s="9"/>
      <c r="D29" s="65" t="s">
        <v>487</v>
      </c>
      <c r="E29" s="235"/>
      <c r="F29" s="236"/>
      <c r="G29" s="234"/>
      <c r="H29" s="234"/>
      <c r="I29" s="234"/>
    </row>
    <row r="30" spans="1:14" customFormat="1" ht="15" x14ac:dyDescent="0.25">
      <c r="A30" s="168" t="s">
        <v>488</v>
      </c>
      <c r="B30" s="9"/>
      <c r="D30" s="65" t="s">
        <v>489</v>
      </c>
      <c r="E30" s="235"/>
      <c r="F30" s="236"/>
      <c r="G30" s="234"/>
      <c r="H30" s="234"/>
      <c r="I30" s="234"/>
    </row>
    <row r="31" spans="1:14" ht="15" x14ac:dyDescent="0.25">
      <c r="A31" s="168" t="s">
        <v>490</v>
      </c>
      <c r="C31" s="11"/>
      <c r="D31" s="65" t="s">
        <v>491</v>
      </c>
      <c r="E31" s="19"/>
      <c r="G31" s="234"/>
      <c r="H31" s="234"/>
      <c r="I31" s="234"/>
      <c r="J31" s="5"/>
      <c r="L31" s="9"/>
      <c r="N31" s="9"/>
    </row>
    <row r="32" spans="1:14" ht="15" x14ac:dyDescent="0.25">
      <c r="A32" s="168" t="s">
        <v>492</v>
      </c>
      <c r="C32" s="11"/>
      <c r="D32" s="65" t="s">
        <v>493</v>
      </c>
      <c r="E32" s="19"/>
      <c r="G32" s="234"/>
      <c r="H32" s="234"/>
      <c r="I32" s="234"/>
      <c r="J32" s="5"/>
      <c r="L32" s="9"/>
      <c r="N32" s="9"/>
    </row>
    <row r="33" spans="1:14" ht="45" x14ac:dyDescent="0.25">
      <c r="A33" s="168" t="s">
        <v>494</v>
      </c>
      <c r="C33" s="11"/>
      <c r="D33" s="65" t="s">
        <v>495</v>
      </c>
      <c r="E33" s="19"/>
      <c r="G33" s="234"/>
      <c r="H33" s="234"/>
      <c r="I33" s="234"/>
      <c r="J33" s="5"/>
      <c r="L33" s="9"/>
      <c r="N33" s="9"/>
    </row>
    <row r="34" spans="1:14" ht="30" x14ac:dyDescent="0.25">
      <c r="A34" s="168" t="s">
        <v>496</v>
      </c>
      <c r="C34" s="11"/>
      <c r="D34" s="65" t="s">
        <v>497</v>
      </c>
      <c r="E34" s="19"/>
      <c r="G34" s="234"/>
      <c r="H34" s="234"/>
      <c r="I34" s="234"/>
      <c r="J34" s="5"/>
      <c r="L34" s="9"/>
      <c r="N34" s="9"/>
    </row>
    <row r="35" spans="1:14" ht="15" x14ac:dyDescent="0.25">
      <c r="A35" s="168" t="s">
        <v>498</v>
      </c>
      <c r="C35" s="11"/>
      <c r="D35" s="65" t="s">
        <v>499</v>
      </c>
      <c r="E35" s="19"/>
      <c r="G35" s="234"/>
      <c r="H35" s="234"/>
      <c r="I35" s="234"/>
      <c r="J35" s="5"/>
      <c r="L35" s="9"/>
      <c r="N35" s="9"/>
    </row>
    <row r="36" spans="1:14" s="12" customFormat="1" ht="15" x14ac:dyDescent="0.25">
      <c r="A36" s="168" t="s">
        <v>500</v>
      </c>
      <c r="C36" s="11"/>
      <c r="D36" s="65" t="s">
        <v>501</v>
      </c>
      <c r="E36" s="19"/>
      <c r="G36" s="234"/>
      <c r="H36" s="234"/>
      <c r="I36" s="234"/>
      <c r="J36" s="5"/>
      <c r="K36" s="18"/>
    </row>
    <row r="37" spans="1:14" s="12" customFormat="1" ht="15" x14ac:dyDescent="0.25">
      <c r="A37" s="168" t="s">
        <v>502</v>
      </c>
      <c r="C37" s="11"/>
      <c r="D37" s="65" t="s">
        <v>503</v>
      </c>
      <c r="E37" s="19"/>
      <c r="G37" s="234"/>
      <c r="H37" s="234"/>
      <c r="I37" s="234"/>
      <c r="J37" s="5"/>
      <c r="K37" s="18"/>
    </row>
    <row r="38" spans="1:14" s="12" customFormat="1" ht="15" x14ac:dyDescent="0.25">
      <c r="A38" s="168" t="s">
        <v>504</v>
      </c>
      <c r="C38" s="9"/>
      <c r="D38" s="65" t="s">
        <v>505</v>
      </c>
      <c r="E38" s="19"/>
      <c r="G38" s="10"/>
      <c r="H38" s="6"/>
      <c r="I38" s="10"/>
      <c r="J38" s="5"/>
      <c r="K38" s="18"/>
    </row>
    <row r="39" spans="1:14" ht="15" x14ac:dyDescent="0.25">
      <c r="A39" s="168" t="s">
        <v>506</v>
      </c>
      <c r="C39" s="11"/>
      <c r="D39" s="65" t="s">
        <v>507</v>
      </c>
      <c r="E39" s="19"/>
      <c r="J39" s="5"/>
      <c r="L39" s="9"/>
      <c r="N39" s="9"/>
    </row>
    <row r="40" spans="1:14" s="12" customFormat="1" ht="15" x14ac:dyDescent="0.25">
      <c r="A40" s="168" t="s">
        <v>508</v>
      </c>
      <c r="C40" s="11"/>
      <c r="D40" s="65" t="s">
        <v>509</v>
      </c>
      <c r="E40" s="19"/>
      <c r="G40" s="10"/>
      <c r="H40" s="6"/>
      <c r="I40" s="10"/>
      <c r="J40" s="5"/>
      <c r="K40" s="18"/>
    </row>
    <row r="41" spans="1:14" s="12" customFormat="1" ht="15" x14ac:dyDescent="0.25">
      <c r="A41" s="168" t="s">
        <v>510</v>
      </c>
      <c r="C41" s="11"/>
      <c r="D41" s="65" t="s">
        <v>511</v>
      </c>
      <c r="E41" s="19"/>
      <c r="J41" s="5"/>
    </row>
    <row r="42" spans="1:14" ht="15" x14ac:dyDescent="0.25">
      <c r="A42" s="168" t="s">
        <v>512</v>
      </c>
      <c r="C42" s="11"/>
      <c r="D42" s="65" t="s">
        <v>513</v>
      </c>
      <c r="E42" s="19"/>
      <c r="J42" s="5"/>
      <c r="L42" s="9"/>
      <c r="N42" s="9"/>
    </row>
    <row r="43" spans="1:14" ht="30" x14ac:dyDescent="0.25">
      <c r="A43" s="168" t="s">
        <v>514</v>
      </c>
      <c r="C43" s="11"/>
      <c r="D43" s="65" t="s">
        <v>515</v>
      </c>
      <c r="E43" s="19"/>
      <c r="J43" s="5"/>
      <c r="L43" s="9"/>
      <c r="N43" s="9"/>
    </row>
    <row r="44" spans="1:14" ht="30" x14ac:dyDescent="0.25">
      <c r="A44" s="168" t="s">
        <v>516</v>
      </c>
      <c r="C44" s="11"/>
      <c r="D44" s="65" t="s">
        <v>517</v>
      </c>
      <c r="E44" s="19"/>
      <c r="J44" s="5"/>
      <c r="L44" s="9"/>
      <c r="N44" s="9"/>
    </row>
    <row r="45" spans="1:14" ht="30" x14ac:dyDescent="0.25">
      <c r="A45" s="168" t="s">
        <v>518</v>
      </c>
      <c r="C45" s="11"/>
      <c r="D45" s="65" t="s">
        <v>519</v>
      </c>
      <c r="E45" s="19"/>
      <c r="J45" s="5"/>
      <c r="L45" s="9"/>
      <c r="N45" s="9"/>
    </row>
    <row r="46" spans="1:14" ht="15" x14ac:dyDescent="0.25">
      <c r="A46" s="168" t="s">
        <v>520</v>
      </c>
      <c r="C46" s="11"/>
      <c r="D46" s="65" t="s">
        <v>521</v>
      </c>
      <c r="E46" s="19"/>
      <c r="J46" s="5"/>
      <c r="L46" s="9"/>
      <c r="N46" s="9"/>
    </row>
    <row r="47" spans="1:14" ht="15" x14ac:dyDescent="0.25">
      <c r="A47" s="168" t="s">
        <v>522</v>
      </c>
      <c r="C47" s="11"/>
      <c r="D47" s="65" t="s">
        <v>523</v>
      </c>
      <c r="E47" s="19"/>
      <c r="J47" s="5"/>
      <c r="L47" s="9"/>
      <c r="N47" s="9"/>
    </row>
    <row r="48" spans="1:14" ht="15" x14ac:dyDescent="0.25">
      <c r="A48" s="168" t="s">
        <v>524</v>
      </c>
      <c r="C48" s="11"/>
      <c r="D48" s="65" t="s">
        <v>525</v>
      </c>
      <c r="E48" s="19"/>
      <c r="J48" s="5"/>
      <c r="L48" s="9"/>
      <c r="N48" s="9"/>
    </row>
    <row r="49" spans="1:14" ht="15" x14ac:dyDescent="0.25">
      <c r="A49" s="168" t="s">
        <v>526</v>
      </c>
      <c r="C49" s="11"/>
      <c r="D49" s="65" t="s">
        <v>527</v>
      </c>
      <c r="E49" s="19"/>
      <c r="J49" s="5"/>
      <c r="L49" s="9"/>
      <c r="N49" s="9"/>
    </row>
    <row r="50" spans="1:14" ht="15" x14ac:dyDescent="0.25">
      <c r="A50" s="168" t="s">
        <v>528</v>
      </c>
      <c r="C50" s="11"/>
      <c r="D50" s="65" t="s">
        <v>529</v>
      </c>
      <c r="E50" s="19"/>
      <c r="J50" s="5"/>
      <c r="L50" s="9"/>
      <c r="N50" s="9"/>
    </row>
    <row r="51" spans="1:14" ht="15" x14ac:dyDescent="0.25">
      <c r="A51" s="168" t="s">
        <v>530</v>
      </c>
      <c r="C51" s="11"/>
      <c r="D51" s="65" t="s">
        <v>531</v>
      </c>
      <c r="E51" s="19"/>
      <c r="J51" s="5"/>
      <c r="L51" s="9"/>
      <c r="N51" s="9"/>
    </row>
    <row r="52" spans="1:14" ht="15" x14ac:dyDescent="0.25">
      <c r="A52" s="168" t="s">
        <v>532</v>
      </c>
      <c r="C52" s="11"/>
      <c r="D52" s="65" t="s">
        <v>533</v>
      </c>
      <c r="E52" s="19"/>
      <c r="J52" s="5"/>
      <c r="L52" s="9"/>
      <c r="N52" s="9"/>
    </row>
    <row r="53" spans="1:14" ht="15" x14ac:dyDescent="0.25">
      <c r="A53" s="168" t="s">
        <v>534</v>
      </c>
      <c r="C53" s="11"/>
      <c r="D53" s="65" t="s">
        <v>535</v>
      </c>
      <c r="E53" s="19"/>
      <c r="J53" s="5"/>
      <c r="L53" s="9"/>
      <c r="N53" s="9"/>
    </row>
    <row r="54" spans="1:14" ht="15" x14ac:dyDescent="0.25">
      <c r="A54" s="168" t="s">
        <v>536</v>
      </c>
      <c r="C54" s="11"/>
      <c r="D54" s="65" t="s">
        <v>537</v>
      </c>
      <c r="E54" s="19"/>
      <c r="J54" s="5"/>
      <c r="L54" s="9"/>
      <c r="N54" s="9"/>
    </row>
    <row r="55" spans="1:14" ht="15" x14ac:dyDescent="0.25">
      <c r="A55" s="168" t="s">
        <v>538</v>
      </c>
      <c r="C55" s="7"/>
      <c r="D55" s="65" t="s">
        <v>539</v>
      </c>
      <c r="E55" s="20"/>
      <c r="J55" s="5"/>
      <c r="L55" s="9"/>
      <c r="N55" s="9"/>
    </row>
    <row r="56" spans="1:14" ht="15" x14ac:dyDescent="0.25">
      <c r="A56" s="168" t="s">
        <v>540</v>
      </c>
      <c r="C56" s="11"/>
      <c r="D56" s="65" t="s">
        <v>541</v>
      </c>
      <c r="E56" s="19"/>
      <c r="J56" s="5"/>
      <c r="L56" s="9"/>
      <c r="N56" s="9"/>
    </row>
    <row r="57" spans="1:14" ht="15" x14ac:dyDescent="0.25">
      <c r="A57" s="168" t="s">
        <v>542</v>
      </c>
      <c r="C57" s="11"/>
      <c r="D57" s="65" t="s">
        <v>543</v>
      </c>
      <c r="E57" s="19"/>
      <c r="J57" s="5"/>
      <c r="L57" s="9"/>
      <c r="N57" s="9"/>
    </row>
    <row r="58" spans="1:14" ht="15" x14ac:dyDescent="0.25">
      <c r="A58" s="168" t="s">
        <v>544</v>
      </c>
      <c r="C58" s="11"/>
      <c r="D58" s="65" t="s">
        <v>545</v>
      </c>
      <c r="E58" s="19"/>
      <c r="J58" s="5"/>
      <c r="L58" s="9"/>
      <c r="N58" s="9"/>
    </row>
    <row r="59" spans="1:14" ht="15" x14ac:dyDescent="0.25">
      <c r="A59" s="168" t="s">
        <v>546</v>
      </c>
      <c r="C59" s="11"/>
      <c r="D59" s="65" t="s">
        <v>547</v>
      </c>
      <c r="E59" s="19"/>
      <c r="J59" s="5"/>
      <c r="L59" s="9"/>
      <c r="N59" s="9"/>
    </row>
    <row r="60" spans="1:14" ht="15" x14ac:dyDescent="0.25">
      <c r="A60" s="168" t="s">
        <v>548</v>
      </c>
      <c r="C60" s="11"/>
      <c r="D60" s="65" t="s">
        <v>549</v>
      </c>
      <c r="E60" s="19"/>
      <c r="J60" s="5"/>
      <c r="L60" s="9"/>
      <c r="N60" s="9"/>
    </row>
    <row r="61" spans="1:14" ht="15" x14ac:dyDescent="0.25">
      <c r="A61" s="168" t="s">
        <v>550</v>
      </c>
      <c r="C61" s="11"/>
      <c r="D61" s="65" t="s">
        <v>551</v>
      </c>
      <c r="E61" s="19"/>
      <c r="J61" s="5"/>
      <c r="L61" s="9"/>
      <c r="N61" s="9"/>
    </row>
    <row r="62" spans="1:14" ht="15" x14ac:dyDescent="0.25">
      <c r="A62" s="168" t="s">
        <v>437</v>
      </c>
      <c r="C62" s="11"/>
      <c r="D62" s="65" t="s">
        <v>552</v>
      </c>
      <c r="E62" s="19"/>
      <c r="J62" s="5"/>
      <c r="L62" s="9"/>
      <c r="N62" s="9"/>
    </row>
    <row r="63" spans="1:14" ht="15" x14ac:dyDescent="0.25">
      <c r="A63" s="168" t="s">
        <v>553</v>
      </c>
      <c r="C63" s="11"/>
      <c r="D63" s="65" t="s">
        <v>554</v>
      </c>
      <c r="E63" s="19"/>
      <c r="J63" s="5"/>
      <c r="L63" s="9"/>
      <c r="N63" s="9"/>
    </row>
    <row r="64" spans="1:14" ht="15" x14ac:dyDescent="0.25">
      <c r="A64" s="168" t="s">
        <v>555</v>
      </c>
      <c r="C64" s="11"/>
      <c r="D64" s="65" t="s">
        <v>556</v>
      </c>
      <c r="E64" s="19"/>
      <c r="J64" s="5"/>
      <c r="L64" s="9"/>
      <c r="N64" s="9"/>
    </row>
    <row r="65" spans="1:14" ht="30" x14ac:dyDescent="0.25">
      <c r="A65" s="168" t="s">
        <v>557</v>
      </c>
      <c r="C65" s="11"/>
      <c r="D65" s="65" t="s">
        <v>558</v>
      </c>
      <c r="E65" s="19"/>
      <c r="J65" s="5"/>
      <c r="L65" s="9"/>
      <c r="N65" s="9"/>
    </row>
    <row r="66" spans="1:14" ht="15" x14ac:dyDescent="0.25">
      <c r="A66" s="168" t="s">
        <v>559</v>
      </c>
      <c r="C66" s="11"/>
      <c r="D66" s="65" t="s">
        <v>560</v>
      </c>
      <c r="E66" s="19"/>
      <c r="J66" s="5"/>
      <c r="L66" s="9"/>
      <c r="N66" s="9"/>
    </row>
    <row r="67" spans="1:14" ht="15" x14ac:dyDescent="0.25">
      <c r="A67" s="168" t="s">
        <v>561</v>
      </c>
      <c r="C67" s="11"/>
      <c r="D67" s="65" t="s">
        <v>562</v>
      </c>
      <c r="E67" s="19"/>
      <c r="J67" s="5"/>
      <c r="L67" s="9"/>
      <c r="N67" s="9"/>
    </row>
    <row r="68" spans="1:14" ht="15" x14ac:dyDescent="0.25">
      <c r="A68" s="168" t="s">
        <v>563</v>
      </c>
      <c r="C68" s="11"/>
      <c r="D68" s="65" t="s">
        <v>564</v>
      </c>
      <c r="E68" s="19"/>
      <c r="J68" s="5"/>
      <c r="L68" s="9"/>
      <c r="N68" s="9"/>
    </row>
    <row r="69" spans="1:14" ht="15" x14ac:dyDescent="0.25">
      <c r="A69" s="168" t="s">
        <v>565</v>
      </c>
      <c r="C69" s="11"/>
      <c r="D69" s="65" t="s">
        <v>566</v>
      </c>
      <c r="E69" s="19"/>
      <c r="J69" s="5"/>
      <c r="L69" s="9"/>
      <c r="N69" s="9"/>
    </row>
    <row r="70" spans="1:14" ht="15" x14ac:dyDescent="0.25">
      <c r="A70" s="168" t="s">
        <v>567</v>
      </c>
      <c r="C70" s="11"/>
      <c r="D70" s="65" t="s">
        <v>568</v>
      </c>
      <c r="E70" s="19"/>
      <c r="J70" s="5"/>
      <c r="L70" s="9"/>
      <c r="N70" s="9"/>
    </row>
    <row r="71" spans="1:14" ht="15" x14ac:dyDescent="0.25">
      <c r="A71" s="168" t="s">
        <v>569</v>
      </c>
      <c r="C71" s="11"/>
      <c r="D71" s="65" t="s">
        <v>570</v>
      </c>
      <c r="E71" s="19"/>
      <c r="J71" s="5"/>
      <c r="L71" s="9"/>
      <c r="N71" s="9"/>
    </row>
    <row r="72" spans="1:14" ht="15" x14ac:dyDescent="0.25">
      <c r="A72" s="168" t="s">
        <v>436</v>
      </c>
      <c r="C72" s="11"/>
      <c r="D72" s="65" t="s">
        <v>571</v>
      </c>
      <c r="E72" s="19"/>
      <c r="J72" s="5"/>
      <c r="L72" s="9"/>
      <c r="N72" s="9"/>
    </row>
    <row r="73" spans="1:14" ht="15" x14ac:dyDescent="0.25">
      <c r="A73" s="168" t="s">
        <v>572</v>
      </c>
      <c r="C73" s="11"/>
      <c r="D73" s="65" t="s">
        <v>573</v>
      </c>
      <c r="E73" s="19"/>
      <c r="J73" s="5"/>
      <c r="L73" s="9"/>
      <c r="N73" s="9"/>
    </row>
    <row r="74" spans="1:14" ht="15" x14ac:dyDescent="0.25">
      <c r="A74" s="168" t="s">
        <v>574</v>
      </c>
      <c r="C74" s="11"/>
      <c r="D74" s="65" t="s">
        <v>575</v>
      </c>
      <c r="E74" s="19"/>
      <c r="J74" s="5"/>
      <c r="L74" s="9"/>
      <c r="N74" s="9"/>
    </row>
    <row r="75" spans="1:14" ht="15" x14ac:dyDescent="0.25">
      <c r="A75" s="168" t="s">
        <v>576</v>
      </c>
      <c r="C75" s="11"/>
      <c r="D75" s="65" t="s">
        <v>577</v>
      </c>
      <c r="E75" s="19"/>
      <c r="J75" s="5"/>
      <c r="L75" s="9"/>
      <c r="N75" s="9"/>
    </row>
    <row r="76" spans="1:14" ht="30" x14ac:dyDescent="0.25">
      <c r="A76" s="168" t="s">
        <v>578</v>
      </c>
      <c r="C76" s="11"/>
      <c r="D76" s="65" t="s">
        <v>579</v>
      </c>
      <c r="E76" s="19"/>
      <c r="J76" s="5"/>
      <c r="L76" s="9"/>
      <c r="N76" s="9"/>
    </row>
    <row r="77" spans="1:14" ht="45" x14ac:dyDescent="0.25">
      <c r="A77" s="168" t="s">
        <v>580</v>
      </c>
      <c r="C77" s="11"/>
      <c r="D77" s="65" t="s">
        <v>581</v>
      </c>
      <c r="E77" s="19"/>
      <c r="J77" s="5"/>
      <c r="L77" s="9"/>
      <c r="N77" s="9"/>
    </row>
    <row r="78" spans="1:14" ht="15" x14ac:dyDescent="0.25">
      <c r="A78" s="168" t="s">
        <v>582</v>
      </c>
      <c r="C78" s="11"/>
      <c r="D78" s="65" t="s">
        <v>583</v>
      </c>
      <c r="E78" s="19"/>
      <c r="J78" s="5"/>
      <c r="L78" s="9"/>
      <c r="N78" s="9"/>
    </row>
    <row r="79" spans="1:14" ht="15" x14ac:dyDescent="0.25">
      <c r="A79" s="168" t="s">
        <v>584</v>
      </c>
      <c r="C79" s="11"/>
      <c r="D79" s="65" t="s">
        <v>585</v>
      </c>
      <c r="E79" s="19"/>
      <c r="J79" s="5"/>
      <c r="L79" s="9"/>
      <c r="N79" s="9"/>
    </row>
    <row r="80" spans="1:14" ht="15" x14ac:dyDescent="0.25">
      <c r="A80" s="168" t="s">
        <v>586</v>
      </c>
      <c r="C80" s="11"/>
      <c r="D80" s="65" t="s">
        <v>587</v>
      </c>
      <c r="E80" s="19"/>
      <c r="J80" s="5"/>
      <c r="L80" s="9"/>
      <c r="N80" s="9"/>
    </row>
    <row r="81" spans="1:14" ht="45" x14ac:dyDescent="0.25">
      <c r="A81" s="168" t="s">
        <v>588</v>
      </c>
      <c r="C81" s="11"/>
      <c r="D81" s="65" t="s">
        <v>589</v>
      </c>
      <c r="E81" s="19"/>
      <c r="J81" s="5"/>
      <c r="L81" s="9"/>
      <c r="N81" s="9"/>
    </row>
    <row r="82" spans="1:14" ht="15" x14ac:dyDescent="0.25">
      <c r="A82" s="168" t="s">
        <v>590</v>
      </c>
      <c r="C82" s="11"/>
      <c r="D82" s="65" t="s">
        <v>591</v>
      </c>
      <c r="E82" s="19"/>
      <c r="J82" s="5"/>
      <c r="L82" s="9"/>
      <c r="N82" s="9"/>
    </row>
    <row r="83" spans="1:14" ht="15" x14ac:dyDescent="0.25">
      <c r="A83" s="168" t="s">
        <v>592</v>
      </c>
      <c r="C83" s="11"/>
      <c r="D83" s="65" t="s">
        <v>593</v>
      </c>
      <c r="E83" s="19"/>
      <c r="J83" s="5"/>
      <c r="L83" s="9"/>
      <c r="N83" s="9"/>
    </row>
    <row r="84" spans="1:14" ht="15" x14ac:dyDescent="0.25">
      <c r="A84" s="168" t="s">
        <v>594</v>
      </c>
      <c r="C84" s="11"/>
      <c r="D84" s="65" t="s">
        <v>595</v>
      </c>
      <c r="J84" s="5"/>
      <c r="L84" s="9"/>
      <c r="N84" s="9"/>
    </row>
    <row r="85" spans="1:14" ht="15" x14ac:dyDescent="0.25">
      <c r="A85" s="168" t="s">
        <v>596</v>
      </c>
      <c r="C85" s="11"/>
      <c r="D85" s="65" t="s">
        <v>597</v>
      </c>
      <c r="E85" s="19"/>
      <c r="J85" s="5"/>
      <c r="L85" s="9"/>
      <c r="N85" s="9"/>
    </row>
    <row r="86" spans="1:14" ht="15" x14ac:dyDescent="0.25">
      <c r="A86" s="168" t="s">
        <v>598</v>
      </c>
      <c r="C86" s="11"/>
      <c r="D86" s="65" t="s">
        <v>599</v>
      </c>
      <c r="E86" s="19"/>
      <c r="J86" s="5"/>
      <c r="L86" s="9"/>
      <c r="N86" s="9"/>
    </row>
    <row r="87" spans="1:14" ht="15" x14ac:dyDescent="0.25">
      <c r="A87" s="168" t="s">
        <v>600</v>
      </c>
      <c r="C87" s="11"/>
      <c r="D87" s="65" t="s">
        <v>601</v>
      </c>
      <c r="E87" s="19"/>
      <c r="J87" s="5"/>
      <c r="L87" s="9"/>
      <c r="N87" s="9"/>
    </row>
    <row r="88" spans="1:14" ht="15" x14ac:dyDescent="0.25">
      <c r="A88" s="168" t="s">
        <v>602</v>
      </c>
      <c r="C88" s="11"/>
      <c r="D88" s="65" t="s">
        <v>603</v>
      </c>
      <c r="E88" s="19"/>
      <c r="J88" s="5"/>
      <c r="L88" s="9"/>
      <c r="N88" s="9"/>
    </row>
    <row r="89" spans="1:14" ht="15" x14ac:dyDescent="0.25">
      <c r="A89" s="168" t="s">
        <v>604</v>
      </c>
      <c r="C89" s="11"/>
      <c r="D89" s="65" t="s">
        <v>605</v>
      </c>
      <c r="E89" s="19"/>
      <c r="J89" s="5"/>
      <c r="L89" s="9"/>
      <c r="N89" s="9"/>
    </row>
    <row r="90" spans="1:14" ht="15" x14ac:dyDescent="0.25">
      <c r="A90" s="168" t="s">
        <v>606</v>
      </c>
      <c r="C90" s="11"/>
      <c r="D90" s="65" t="s">
        <v>607</v>
      </c>
      <c r="E90" s="19"/>
      <c r="J90" s="5"/>
      <c r="L90" s="9"/>
      <c r="N90" s="9"/>
    </row>
    <row r="91" spans="1:14" ht="15" x14ac:dyDescent="0.25">
      <c r="A91" s="168" t="s">
        <v>608</v>
      </c>
      <c r="C91" s="11"/>
      <c r="D91" s="65" t="s">
        <v>609</v>
      </c>
      <c r="E91" s="19"/>
      <c r="J91" s="5"/>
      <c r="L91" s="9"/>
      <c r="N91" s="9"/>
    </row>
    <row r="92" spans="1:14" ht="15" x14ac:dyDescent="0.25">
      <c r="A92" s="168" t="s">
        <v>610</v>
      </c>
      <c r="C92" s="11"/>
      <c r="D92" s="65" t="s">
        <v>611</v>
      </c>
      <c r="E92" s="19"/>
      <c r="J92" s="5"/>
      <c r="L92" s="9"/>
      <c r="N92" s="9"/>
    </row>
    <row r="93" spans="1:14" ht="15" x14ac:dyDescent="0.25">
      <c r="A93" s="168" t="s">
        <v>612</v>
      </c>
      <c r="C93" s="11"/>
      <c r="D93" s="65" t="s">
        <v>613</v>
      </c>
      <c r="E93" s="19"/>
      <c r="J93" s="5"/>
      <c r="L93" s="9"/>
      <c r="N93" s="9"/>
    </row>
    <row r="94" spans="1:14" ht="45" x14ac:dyDescent="0.25">
      <c r="A94" s="168" t="s">
        <v>614</v>
      </c>
      <c r="C94" s="11"/>
      <c r="D94" s="65" t="s">
        <v>615</v>
      </c>
      <c r="E94" s="19"/>
      <c r="J94" s="5"/>
      <c r="L94" s="9"/>
      <c r="N94" s="9"/>
    </row>
    <row r="95" spans="1:14" ht="15" x14ac:dyDescent="0.25">
      <c r="A95" s="168" t="s">
        <v>616</v>
      </c>
      <c r="C95" s="11"/>
      <c r="D95" s="65" t="s">
        <v>617</v>
      </c>
      <c r="E95" s="19"/>
      <c r="J95" s="5"/>
      <c r="L95" s="9"/>
      <c r="N95" s="9"/>
    </row>
    <row r="96" spans="1:14" ht="15" x14ac:dyDescent="0.25">
      <c r="A96" s="168" t="s">
        <v>618</v>
      </c>
      <c r="C96" s="11"/>
      <c r="D96" s="65" t="s">
        <v>619</v>
      </c>
      <c r="E96" s="19"/>
      <c r="J96" s="5"/>
      <c r="L96" s="9"/>
      <c r="N96" s="9"/>
    </row>
    <row r="97" spans="1:14" ht="15" x14ac:dyDescent="0.25">
      <c r="A97" s="168" t="s">
        <v>620</v>
      </c>
      <c r="C97" s="11"/>
      <c r="D97" s="65" t="s">
        <v>621</v>
      </c>
      <c r="E97" s="19"/>
      <c r="J97" s="5"/>
      <c r="L97" s="9"/>
      <c r="N97" s="9"/>
    </row>
    <row r="98" spans="1:14" ht="15" x14ac:dyDescent="0.25">
      <c r="A98" s="168" t="s">
        <v>622</v>
      </c>
      <c r="C98" s="11"/>
      <c r="D98" s="65" t="s">
        <v>623</v>
      </c>
      <c r="E98" s="19"/>
      <c r="J98" s="5"/>
      <c r="L98" s="9"/>
      <c r="N98" s="9"/>
    </row>
    <row r="99" spans="1:14" ht="15" x14ac:dyDescent="0.25">
      <c r="A99" s="168" t="s">
        <v>624</v>
      </c>
      <c r="C99" s="11"/>
      <c r="D99" s="65" t="s">
        <v>625</v>
      </c>
      <c r="E99" s="19"/>
      <c r="J99" s="5"/>
      <c r="L99" s="9"/>
      <c r="N99" s="9"/>
    </row>
    <row r="100" spans="1:14" ht="30" x14ac:dyDescent="0.25">
      <c r="A100" s="168" t="s">
        <v>626</v>
      </c>
      <c r="C100" s="11"/>
      <c r="D100" s="65" t="s">
        <v>627</v>
      </c>
      <c r="E100" s="19"/>
      <c r="J100" s="5"/>
      <c r="L100" s="9"/>
      <c r="N100" s="9"/>
    </row>
    <row r="101" spans="1:14" ht="15" x14ac:dyDescent="0.25">
      <c r="A101" s="168" t="s">
        <v>628</v>
      </c>
      <c r="C101" s="11"/>
      <c r="D101" s="65" t="s">
        <v>629</v>
      </c>
      <c r="E101" s="19"/>
      <c r="J101" s="5"/>
      <c r="L101" s="9"/>
      <c r="N101" s="9"/>
    </row>
    <row r="102" spans="1:14" ht="12" customHeight="1" x14ac:dyDescent="0.25">
      <c r="A102" s="168" t="s">
        <v>630</v>
      </c>
      <c r="C102" s="11"/>
      <c r="D102" s="65" t="s">
        <v>631</v>
      </c>
      <c r="E102" s="19"/>
      <c r="J102" s="5"/>
      <c r="L102" s="9"/>
      <c r="N102" s="9"/>
    </row>
    <row r="103" spans="1:14" ht="12" customHeight="1" x14ac:dyDescent="0.25">
      <c r="A103" s="168" t="s">
        <v>632</v>
      </c>
      <c r="C103" s="11"/>
      <c r="D103" s="65" t="s">
        <v>633</v>
      </c>
      <c r="E103" s="19"/>
      <c r="J103" s="5"/>
      <c r="L103" s="9"/>
      <c r="N103" s="9"/>
    </row>
    <row r="104" spans="1:14" ht="15" x14ac:dyDescent="0.25">
      <c r="A104" s="168" t="s">
        <v>634</v>
      </c>
      <c r="C104" s="11"/>
      <c r="D104" s="65" t="s">
        <v>635</v>
      </c>
      <c r="E104" s="19"/>
      <c r="J104" s="5"/>
      <c r="L104" s="9"/>
      <c r="N104" s="9"/>
    </row>
    <row r="105" spans="1:14" ht="15" x14ac:dyDescent="0.25">
      <c r="A105" s="168" t="s">
        <v>235</v>
      </c>
      <c r="C105" s="11"/>
      <c r="D105" s="65" t="s">
        <v>636</v>
      </c>
      <c r="E105" s="19"/>
      <c r="J105" s="5"/>
      <c r="L105" s="9"/>
      <c r="N105" s="9"/>
    </row>
    <row r="106" spans="1:14" ht="15" x14ac:dyDescent="0.25">
      <c r="A106" s="168" t="s">
        <v>637</v>
      </c>
      <c r="C106" s="11"/>
      <c r="D106" s="65" t="s">
        <v>638</v>
      </c>
      <c r="E106" s="19"/>
      <c r="J106" s="5"/>
      <c r="L106" s="9"/>
      <c r="N106" s="9"/>
    </row>
    <row r="107" spans="1:14" ht="15" x14ac:dyDescent="0.25">
      <c r="A107" s="168" t="s">
        <v>639</v>
      </c>
      <c r="C107" s="11"/>
      <c r="D107" s="65" t="s">
        <v>640</v>
      </c>
      <c r="E107" s="19"/>
      <c r="J107" s="5"/>
      <c r="L107" s="9"/>
      <c r="N107" s="9"/>
    </row>
    <row r="108" spans="1:14" ht="15" x14ac:dyDescent="0.25">
      <c r="A108" s="168" t="s">
        <v>641</v>
      </c>
      <c r="C108" s="11"/>
      <c r="D108" s="65" t="s">
        <v>642</v>
      </c>
      <c r="E108" s="19"/>
      <c r="J108" s="5"/>
      <c r="L108" s="9"/>
      <c r="N108" s="9"/>
    </row>
    <row r="109" spans="1:14" ht="15" x14ac:dyDescent="0.25">
      <c r="A109" s="168" t="s">
        <v>643</v>
      </c>
      <c r="C109" s="11"/>
      <c r="D109" s="65" t="s">
        <v>644</v>
      </c>
      <c r="E109" s="19"/>
      <c r="J109" s="5"/>
      <c r="L109" s="9"/>
      <c r="N109" s="9"/>
    </row>
    <row r="110" spans="1:14" ht="30" x14ac:dyDescent="0.25">
      <c r="A110" s="168" t="s">
        <v>645</v>
      </c>
      <c r="C110" s="11"/>
      <c r="D110" s="65" t="s">
        <v>646</v>
      </c>
      <c r="E110" s="19"/>
      <c r="J110" s="5"/>
      <c r="L110" s="9"/>
      <c r="N110" s="9"/>
    </row>
    <row r="111" spans="1:14" ht="15" x14ac:dyDescent="0.25">
      <c r="A111" s="168" t="s">
        <v>647</v>
      </c>
      <c r="C111" s="11"/>
      <c r="D111" s="65" t="s">
        <v>648</v>
      </c>
      <c r="E111" s="19"/>
      <c r="J111" s="5"/>
      <c r="L111" s="9"/>
      <c r="N111" s="9"/>
    </row>
    <row r="112" spans="1:14" ht="30" x14ac:dyDescent="0.25">
      <c r="A112" s="168" t="s">
        <v>440</v>
      </c>
      <c r="C112" s="11"/>
      <c r="D112" s="65" t="s">
        <v>649</v>
      </c>
      <c r="E112" s="19"/>
      <c r="J112" s="5"/>
      <c r="L112" s="9"/>
      <c r="N112" s="9"/>
    </row>
    <row r="113" spans="1:14" ht="15" x14ac:dyDescent="0.25">
      <c r="A113" s="168" t="s">
        <v>650</v>
      </c>
      <c r="C113" s="11"/>
      <c r="D113" s="65" t="s">
        <v>651</v>
      </c>
      <c r="E113" s="19"/>
      <c r="J113" s="5"/>
      <c r="L113" s="9"/>
      <c r="N113" s="9"/>
    </row>
    <row r="114" spans="1:14" ht="15" x14ac:dyDescent="0.25">
      <c r="A114" s="168" t="s">
        <v>652</v>
      </c>
      <c r="C114" s="11"/>
      <c r="D114" s="65" t="s">
        <v>653</v>
      </c>
      <c r="E114" s="19"/>
      <c r="J114" s="5"/>
      <c r="L114" s="9"/>
      <c r="N114" s="9"/>
    </row>
    <row r="115" spans="1:14" ht="15" x14ac:dyDescent="0.25">
      <c r="A115" s="168" t="s">
        <v>654</v>
      </c>
      <c r="C115" s="11"/>
      <c r="D115" s="65" t="s">
        <v>655</v>
      </c>
      <c r="E115" s="19"/>
      <c r="J115" s="5"/>
      <c r="L115" s="9"/>
      <c r="N115" s="9"/>
    </row>
    <row r="116" spans="1:14" ht="15" x14ac:dyDescent="0.25">
      <c r="A116" s="168" t="s">
        <v>656</v>
      </c>
      <c r="C116" s="11"/>
      <c r="D116" s="65" t="s">
        <v>657</v>
      </c>
      <c r="E116" s="19"/>
      <c r="J116" s="5"/>
      <c r="L116" s="9"/>
      <c r="N116" s="9"/>
    </row>
    <row r="117" spans="1:14" ht="15" x14ac:dyDescent="0.25">
      <c r="A117" s="168" t="s">
        <v>658</v>
      </c>
      <c r="C117" s="11"/>
      <c r="D117" s="65" t="s">
        <v>659</v>
      </c>
      <c r="E117" s="19"/>
      <c r="J117" s="5"/>
      <c r="L117" s="9"/>
      <c r="N117" s="9"/>
    </row>
    <row r="118" spans="1:14" ht="15" x14ac:dyDescent="0.25">
      <c r="A118" s="168" t="s">
        <v>660</v>
      </c>
      <c r="C118" s="11"/>
      <c r="D118" s="65" t="s">
        <v>661</v>
      </c>
      <c r="E118" s="19"/>
      <c r="J118" s="5"/>
      <c r="L118" s="9"/>
      <c r="N118" s="9"/>
    </row>
    <row r="119" spans="1:14" ht="15" x14ac:dyDescent="0.25">
      <c r="A119" s="168" t="s">
        <v>662</v>
      </c>
      <c r="C119" s="11"/>
      <c r="D119" s="65" t="s">
        <v>663</v>
      </c>
      <c r="E119" s="19"/>
      <c r="J119" s="5"/>
      <c r="L119" s="9"/>
      <c r="N119" s="9"/>
    </row>
    <row r="120" spans="1:14" ht="15" x14ac:dyDescent="0.25">
      <c r="A120" s="168" t="s">
        <v>664</v>
      </c>
      <c r="C120" s="11"/>
      <c r="D120" s="65" t="s">
        <v>665</v>
      </c>
      <c r="E120" s="19"/>
      <c r="J120" s="5"/>
      <c r="L120" s="9"/>
      <c r="N120" s="9"/>
    </row>
    <row r="121" spans="1:14" ht="15" x14ac:dyDescent="0.25">
      <c r="A121" s="168" t="s">
        <v>666</v>
      </c>
      <c r="C121" s="11"/>
      <c r="D121" s="65" t="s">
        <v>667</v>
      </c>
      <c r="E121" s="19"/>
      <c r="J121" s="5"/>
      <c r="L121" s="9"/>
      <c r="N121" s="9"/>
    </row>
    <row r="122" spans="1:14" ht="15" x14ac:dyDescent="0.25">
      <c r="A122" s="168" t="s">
        <v>668</v>
      </c>
      <c r="C122" s="11"/>
      <c r="D122" s="65" t="s">
        <v>669</v>
      </c>
      <c r="E122" s="19"/>
      <c r="J122" s="5"/>
      <c r="L122" s="9"/>
      <c r="N122" s="9"/>
    </row>
    <row r="123" spans="1:14" ht="15" x14ac:dyDescent="0.25">
      <c r="A123" s="168" t="s">
        <v>670</v>
      </c>
      <c r="C123" s="11"/>
      <c r="D123" s="65" t="s">
        <v>671</v>
      </c>
      <c r="E123" s="19"/>
      <c r="J123" s="5"/>
      <c r="L123" s="9"/>
      <c r="N123" s="9"/>
    </row>
    <row r="124" spans="1:14" ht="30" x14ac:dyDescent="0.25">
      <c r="A124" s="168" t="s">
        <v>672</v>
      </c>
      <c r="C124" s="11"/>
      <c r="D124" s="65" t="s">
        <v>673</v>
      </c>
      <c r="E124" s="19"/>
      <c r="J124" s="5"/>
      <c r="L124" s="9"/>
      <c r="N124" s="9"/>
    </row>
    <row r="125" spans="1:14" ht="45" x14ac:dyDescent="0.25">
      <c r="A125" s="168" t="s">
        <v>674</v>
      </c>
      <c r="C125" s="11"/>
      <c r="D125" s="65" t="s">
        <v>675</v>
      </c>
      <c r="E125" s="19"/>
      <c r="J125" s="5"/>
      <c r="L125" s="9"/>
      <c r="N125" s="9"/>
    </row>
    <row r="126" spans="1:14" ht="15" x14ac:dyDescent="0.25">
      <c r="A126" s="168" t="s">
        <v>676</v>
      </c>
      <c r="C126" s="11"/>
      <c r="D126" s="65" t="s">
        <v>677</v>
      </c>
      <c r="E126" s="19"/>
      <c r="J126" s="5"/>
      <c r="L126" s="9"/>
      <c r="N126" s="9"/>
    </row>
    <row r="127" spans="1:14" ht="15" x14ac:dyDescent="0.25">
      <c r="A127" s="168" t="s">
        <v>678</v>
      </c>
      <c r="C127" s="11"/>
      <c r="D127" s="65" t="s">
        <v>679</v>
      </c>
      <c r="E127" s="19"/>
      <c r="J127" s="5"/>
      <c r="L127" s="9"/>
      <c r="N127" s="9"/>
    </row>
    <row r="128" spans="1:14" ht="15" x14ac:dyDescent="0.25">
      <c r="A128" s="168" t="s">
        <v>680</v>
      </c>
      <c r="C128" s="11"/>
      <c r="D128" s="65" t="s">
        <v>681</v>
      </c>
      <c r="E128" s="19"/>
      <c r="J128" s="5"/>
      <c r="L128" s="9"/>
      <c r="N128" s="9"/>
    </row>
    <row r="129" spans="1:14" ht="15" x14ac:dyDescent="0.25">
      <c r="A129" s="168" t="s">
        <v>682</v>
      </c>
      <c r="C129" s="11"/>
      <c r="D129" s="65" t="s">
        <v>683</v>
      </c>
      <c r="E129" s="19"/>
      <c r="J129" s="5"/>
      <c r="L129" s="9"/>
      <c r="N129" s="9"/>
    </row>
    <row r="130" spans="1:14" ht="45" x14ac:dyDescent="0.25">
      <c r="A130" s="168" t="s">
        <v>684</v>
      </c>
      <c r="C130" s="11"/>
      <c r="D130" s="65" t="s">
        <v>685</v>
      </c>
      <c r="E130" s="19"/>
      <c r="J130" s="5"/>
      <c r="L130" s="9"/>
      <c r="N130" s="9"/>
    </row>
    <row r="131" spans="1:14" ht="15" x14ac:dyDescent="0.25">
      <c r="A131" s="168" t="s">
        <v>686</v>
      </c>
      <c r="C131" s="11"/>
      <c r="D131" s="65" t="s">
        <v>687</v>
      </c>
      <c r="E131" s="19"/>
      <c r="J131" s="5"/>
      <c r="L131" s="9"/>
      <c r="N131" s="9"/>
    </row>
    <row r="132" spans="1:14" ht="15" x14ac:dyDescent="0.25">
      <c r="A132" s="168" t="s">
        <v>268</v>
      </c>
      <c r="C132" s="11"/>
      <c r="D132" s="65" t="s">
        <v>688</v>
      </c>
      <c r="E132" s="19"/>
      <c r="J132" s="5"/>
      <c r="L132" s="9"/>
      <c r="N132" s="9"/>
    </row>
    <row r="133" spans="1:14" ht="15" x14ac:dyDescent="0.25">
      <c r="A133" s="168" t="s">
        <v>689</v>
      </c>
      <c r="C133" s="11"/>
      <c r="D133" s="65" t="s">
        <v>690</v>
      </c>
      <c r="E133" s="19"/>
      <c r="J133" s="5"/>
      <c r="L133" s="9"/>
      <c r="N133" s="9"/>
    </row>
    <row r="134" spans="1:14" ht="15" x14ac:dyDescent="0.25">
      <c r="A134" s="168" t="s">
        <v>691</v>
      </c>
      <c r="C134" s="11"/>
      <c r="D134" s="65" t="s">
        <v>692</v>
      </c>
      <c r="E134" s="19"/>
      <c r="J134" s="5"/>
      <c r="L134" s="9"/>
      <c r="N134" s="9"/>
    </row>
    <row r="135" spans="1:14" ht="15" x14ac:dyDescent="0.25">
      <c r="A135" s="168" t="s">
        <v>693</v>
      </c>
      <c r="C135" s="11"/>
      <c r="D135" s="65" t="s">
        <v>694</v>
      </c>
      <c r="E135" s="19"/>
      <c r="J135" s="5"/>
      <c r="L135" s="9"/>
      <c r="N135" s="9"/>
    </row>
    <row r="136" spans="1:14" ht="15" x14ac:dyDescent="0.25">
      <c r="A136" s="168" t="s">
        <v>695</v>
      </c>
      <c r="C136" s="11"/>
      <c r="D136" s="65" t="s">
        <v>696</v>
      </c>
      <c r="E136" s="19"/>
      <c r="J136" s="5"/>
      <c r="L136" s="9"/>
      <c r="N136" s="9"/>
    </row>
    <row r="137" spans="1:14" ht="15" x14ac:dyDescent="0.25">
      <c r="A137" s="168" t="s">
        <v>697</v>
      </c>
      <c r="C137" s="11"/>
      <c r="D137" s="65" t="s">
        <v>698</v>
      </c>
      <c r="E137" s="19"/>
      <c r="J137" s="5"/>
      <c r="L137" s="9"/>
      <c r="N137" s="9"/>
    </row>
    <row r="138" spans="1:14" ht="15" x14ac:dyDescent="0.25">
      <c r="A138" s="168" t="s">
        <v>699</v>
      </c>
      <c r="C138" s="11"/>
      <c r="D138" s="65" t="s">
        <v>700</v>
      </c>
      <c r="E138" s="19"/>
      <c r="J138" s="5"/>
      <c r="L138" s="9"/>
      <c r="N138" s="9"/>
    </row>
    <row r="139" spans="1:14" ht="15" x14ac:dyDescent="0.25">
      <c r="A139" s="168" t="s">
        <v>701</v>
      </c>
      <c r="C139" s="11"/>
      <c r="D139" s="65" t="s">
        <v>702</v>
      </c>
      <c r="E139" s="19"/>
      <c r="J139" s="5"/>
      <c r="L139" s="9"/>
      <c r="N139" s="9"/>
    </row>
    <row r="140" spans="1:14" ht="15" x14ac:dyDescent="0.25">
      <c r="A140" s="168" t="s">
        <v>703</v>
      </c>
      <c r="C140" s="11"/>
      <c r="D140" s="65" t="s">
        <v>704</v>
      </c>
      <c r="E140" s="19"/>
      <c r="J140" s="5"/>
      <c r="L140" s="9"/>
      <c r="N140" s="9"/>
    </row>
    <row r="141" spans="1:14" ht="15" x14ac:dyDescent="0.25">
      <c r="A141" s="168" t="s">
        <v>705</v>
      </c>
      <c r="C141" s="11"/>
      <c r="D141" s="65" t="s">
        <v>706</v>
      </c>
      <c r="E141" s="19"/>
      <c r="J141" s="5"/>
      <c r="L141" s="9"/>
      <c r="N141" s="9"/>
    </row>
    <row r="142" spans="1:14" ht="15" x14ac:dyDescent="0.25">
      <c r="A142" s="168" t="s">
        <v>707</v>
      </c>
      <c r="C142" s="11"/>
      <c r="D142" s="65" t="s">
        <v>708</v>
      </c>
      <c r="E142" s="19"/>
      <c r="J142" s="5"/>
      <c r="L142" s="9"/>
      <c r="N142" s="9"/>
    </row>
    <row r="143" spans="1:14" ht="30" x14ac:dyDescent="0.25">
      <c r="A143" s="168" t="s">
        <v>709</v>
      </c>
      <c r="C143" s="11"/>
      <c r="D143" s="65" t="s">
        <v>710</v>
      </c>
      <c r="E143" s="19"/>
      <c r="J143" s="5"/>
      <c r="L143" s="9"/>
      <c r="N143" s="9"/>
    </row>
    <row r="144" spans="1:14" ht="15" x14ac:dyDescent="0.25">
      <c r="A144" s="168" t="s">
        <v>443</v>
      </c>
      <c r="C144" s="11"/>
      <c r="D144" s="65" t="s">
        <v>711</v>
      </c>
      <c r="E144" s="19"/>
      <c r="J144" s="5"/>
      <c r="L144" s="9"/>
      <c r="N144" s="9"/>
    </row>
    <row r="145" spans="1:14" ht="30" x14ac:dyDescent="0.25">
      <c r="A145" s="168" t="s">
        <v>712</v>
      </c>
      <c r="C145" s="11"/>
      <c r="D145" s="65" t="s">
        <v>713</v>
      </c>
      <c r="E145" s="19"/>
      <c r="J145" s="5"/>
      <c r="L145" s="9"/>
      <c r="N145" s="9"/>
    </row>
    <row r="146" spans="1:14" ht="15" x14ac:dyDescent="0.25">
      <c r="A146" s="168" t="s">
        <v>714</v>
      </c>
      <c r="C146" s="11"/>
      <c r="D146" s="65" t="s">
        <v>715</v>
      </c>
      <c r="E146" s="19"/>
      <c r="J146" s="5"/>
      <c r="L146" s="9"/>
      <c r="N146" s="9"/>
    </row>
    <row r="147" spans="1:14" ht="15" x14ac:dyDescent="0.25">
      <c r="A147" s="168" t="s">
        <v>716</v>
      </c>
      <c r="C147" s="11"/>
      <c r="D147" s="65" t="s">
        <v>717</v>
      </c>
      <c r="E147" s="19"/>
      <c r="J147" s="5"/>
      <c r="L147" s="9"/>
      <c r="N147" s="9"/>
    </row>
    <row r="148" spans="1:14" ht="45" x14ac:dyDescent="0.25">
      <c r="A148" s="168" t="s">
        <v>718</v>
      </c>
      <c r="C148" s="14"/>
      <c r="D148" s="65" t="s">
        <v>719</v>
      </c>
      <c r="E148" s="19"/>
      <c r="J148" s="5"/>
      <c r="L148" s="9"/>
      <c r="N148" s="9"/>
    </row>
    <row r="149" spans="1:14" ht="15" x14ac:dyDescent="0.25">
      <c r="A149" s="168" t="s">
        <v>720</v>
      </c>
      <c r="C149" s="11"/>
      <c r="D149" s="65" t="s">
        <v>721</v>
      </c>
      <c r="E149" s="19"/>
      <c r="J149" s="5"/>
      <c r="L149" s="9"/>
      <c r="N149" s="9"/>
    </row>
    <row r="150" spans="1:14" ht="15" x14ac:dyDescent="0.25">
      <c r="A150" s="168" t="s">
        <v>722</v>
      </c>
      <c r="C150" s="11"/>
      <c r="D150" s="65" t="s">
        <v>723</v>
      </c>
      <c r="E150" s="19"/>
      <c r="J150" s="5"/>
      <c r="L150" s="9"/>
      <c r="N150" s="9"/>
    </row>
    <row r="151" spans="1:14" ht="15" x14ac:dyDescent="0.25">
      <c r="A151" s="168" t="s">
        <v>724</v>
      </c>
      <c r="C151" s="14"/>
      <c r="D151" s="65" t="s">
        <v>725</v>
      </c>
      <c r="E151" s="19"/>
      <c r="J151" s="5"/>
      <c r="L151" s="9"/>
      <c r="N151" s="9"/>
    </row>
    <row r="152" spans="1:14" ht="15" x14ac:dyDescent="0.25">
      <c r="A152" s="168" t="s">
        <v>726</v>
      </c>
      <c r="C152" s="11"/>
      <c r="D152" s="65" t="s">
        <v>727</v>
      </c>
      <c r="E152" s="19"/>
      <c r="J152" s="5"/>
      <c r="L152" s="9"/>
      <c r="N152" s="9"/>
    </row>
    <row r="153" spans="1:14" ht="30" x14ac:dyDescent="0.25">
      <c r="A153" s="168" t="s">
        <v>728</v>
      </c>
      <c r="C153" s="11"/>
      <c r="D153" s="65" t="s">
        <v>729</v>
      </c>
      <c r="E153" s="19"/>
      <c r="J153" s="5"/>
      <c r="L153" s="9"/>
      <c r="N153" s="9"/>
    </row>
    <row r="154" spans="1:14" ht="15" x14ac:dyDescent="0.25">
      <c r="A154" s="168" t="s">
        <v>730</v>
      </c>
      <c r="C154" s="11"/>
      <c r="D154" s="65" t="s">
        <v>731</v>
      </c>
      <c r="E154" s="15"/>
      <c r="J154" s="5"/>
      <c r="L154" s="9"/>
      <c r="N154" s="9"/>
    </row>
    <row r="155" spans="1:14" ht="15" x14ac:dyDescent="0.25">
      <c r="A155" s="168" t="s">
        <v>732</v>
      </c>
      <c r="C155" s="11"/>
      <c r="D155" s="65" t="s">
        <v>733</v>
      </c>
      <c r="E155" s="15"/>
      <c r="J155" s="5"/>
      <c r="L155" s="9"/>
      <c r="N155" s="9"/>
    </row>
    <row r="156" spans="1:14" ht="15" x14ac:dyDescent="0.25">
      <c r="A156" s="168" t="s">
        <v>734</v>
      </c>
      <c r="C156" s="14"/>
      <c r="D156" s="65" t="s">
        <v>735</v>
      </c>
      <c r="E156" s="19"/>
      <c r="J156" s="5"/>
      <c r="L156" s="9"/>
      <c r="N156" s="9"/>
    </row>
    <row r="157" spans="1:14" ht="15" x14ac:dyDescent="0.25">
      <c r="A157" s="168" t="s">
        <v>736</v>
      </c>
      <c r="C157" s="11"/>
      <c r="D157" s="65" t="s">
        <v>737</v>
      </c>
      <c r="E157" s="19"/>
      <c r="J157" s="5"/>
      <c r="L157" s="9"/>
      <c r="N157" s="9"/>
    </row>
    <row r="158" spans="1:14" ht="15" x14ac:dyDescent="0.25">
      <c r="A158" s="168" t="s">
        <v>441</v>
      </c>
      <c r="C158" s="11"/>
      <c r="D158" s="65" t="s">
        <v>738</v>
      </c>
      <c r="E158" s="19"/>
      <c r="J158" s="5"/>
      <c r="L158" s="9"/>
      <c r="N158" s="9"/>
    </row>
    <row r="159" spans="1:14" ht="15" x14ac:dyDescent="0.25">
      <c r="A159" s="168" t="s">
        <v>739</v>
      </c>
      <c r="D159" s="65" t="s">
        <v>740</v>
      </c>
      <c r="E159" s="19"/>
      <c r="J159" s="5"/>
      <c r="L159" s="9"/>
      <c r="N159" s="9"/>
    </row>
    <row r="160" spans="1:14" ht="15" x14ac:dyDescent="0.25">
      <c r="A160" s="168" t="s">
        <v>435</v>
      </c>
      <c r="C160" s="11"/>
      <c r="D160" s="65" t="s">
        <v>741</v>
      </c>
      <c r="E160" s="19"/>
      <c r="J160" s="5"/>
      <c r="L160" s="9"/>
      <c r="N160" s="9"/>
    </row>
    <row r="161" spans="1:14" ht="15" x14ac:dyDescent="0.25">
      <c r="A161" s="168" t="s">
        <v>742</v>
      </c>
      <c r="C161" s="14"/>
      <c r="D161" s="65" t="s">
        <v>743</v>
      </c>
      <c r="E161" s="19"/>
      <c r="J161" s="5"/>
      <c r="L161" s="9"/>
      <c r="N161" s="9"/>
    </row>
    <row r="162" spans="1:14" ht="15" x14ac:dyDescent="0.25">
      <c r="A162" s="168" t="s">
        <v>744</v>
      </c>
      <c r="C162" s="11"/>
      <c r="D162" s="65" t="s">
        <v>745</v>
      </c>
      <c r="E162" s="19"/>
      <c r="J162" s="5"/>
      <c r="L162" s="9"/>
      <c r="N162" s="9"/>
    </row>
    <row r="163" spans="1:14" ht="15" x14ac:dyDescent="0.25">
      <c r="A163" s="168" t="s">
        <v>746</v>
      </c>
      <c r="C163" s="11"/>
      <c r="D163" s="65" t="s">
        <v>747</v>
      </c>
      <c r="E163" s="19"/>
      <c r="J163" s="5"/>
      <c r="L163" s="9"/>
      <c r="N163" s="9"/>
    </row>
    <row r="164" spans="1:14" ht="15" x14ac:dyDescent="0.25">
      <c r="A164" s="168" t="s">
        <v>748</v>
      </c>
      <c r="C164" s="11"/>
      <c r="D164" s="65" t="s">
        <v>749</v>
      </c>
      <c r="E164" s="19"/>
      <c r="J164" s="5"/>
      <c r="L164" s="9"/>
      <c r="N164" s="9"/>
    </row>
    <row r="165" spans="1:14" ht="15" x14ac:dyDescent="0.25">
      <c r="A165" s="168" t="s">
        <v>750</v>
      </c>
      <c r="C165" s="11"/>
      <c r="D165" s="65" t="s">
        <v>751</v>
      </c>
      <c r="E165" s="19"/>
      <c r="J165" s="5"/>
      <c r="L165" s="9"/>
      <c r="N165" s="9"/>
    </row>
    <row r="166" spans="1:14" ht="15" x14ac:dyDescent="0.25">
      <c r="A166" s="168" t="s">
        <v>434</v>
      </c>
      <c r="C166" s="11"/>
      <c r="D166" s="65" t="s">
        <v>752</v>
      </c>
      <c r="E166" s="19"/>
      <c r="J166" s="5"/>
      <c r="L166" s="9"/>
      <c r="N166" s="9"/>
    </row>
    <row r="167" spans="1:14" ht="15" x14ac:dyDescent="0.25">
      <c r="A167" s="168" t="s">
        <v>753</v>
      </c>
      <c r="C167" s="11"/>
      <c r="D167" s="65" t="s">
        <v>754</v>
      </c>
      <c r="E167" s="19"/>
      <c r="J167" s="5"/>
      <c r="L167" s="9"/>
      <c r="N167" s="9"/>
    </row>
    <row r="168" spans="1:14" ht="15" x14ac:dyDescent="0.25">
      <c r="A168" s="168" t="s">
        <v>755</v>
      </c>
      <c r="C168" s="11"/>
      <c r="D168" s="65" t="s">
        <v>756</v>
      </c>
      <c r="E168" s="19"/>
      <c r="J168" s="5"/>
      <c r="L168" s="9"/>
      <c r="N168" s="9"/>
    </row>
    <row r="169" spans="1:14" ht="15" x14ac:dyDescent="0.25">
      <c r="A169" s="168" t="s">
        <v>757</v>
      </c>
      <c r="C169" s="11"/>
      <c r="D169" s="65" t="s">
        <v>758</v>
      </c>
      <c r="E169" s="19"/>
      <c r="J169" s="5"/>
      <c r="L169" s="9"/>
      <c r="N169" s="9"/>
    </row>
    <row r="170" spans="1:14" ht="15" x14ac:dyDescent="0.25">
      <c r="A170" s="168" t="s">
        <v>438</v>
      </c>
      <c r="C170" s="11"/>
      <c r="D170" s="65" t="s">
        <v>759</v>
      </c>
      <c r="E170" s="19"/>
      <c r="J170" s="5"/>
      <c r="L170" s="9"/>
      <c r="N170" s="9"/>
    </row>
    <row r="171" spans="1:14" ht="15" x14ac:dyDescent="0.25">
      <c r="A171" s="168" t="s">
        <v>760</v>
      </c>
      <c r="C171" s="11"/>
      <c r="D171" s="65" t="s">
        <v>761</v>
      </c>
      <c r="E171" s="19"/>
      <c r="J171" s="5"/>
      <c r="L171" s="9"/>
      <c r="N171" s="9"/>
    </row>
    <row r="172" spans="1:14" ht="15" x14ac:dyDescent="0.25">
      <c r="A172" s="168" t="s">
        <v>762</v>
      </c>
      <c r="C172" s="11"/>
      <c r="D172" s="65" t="s">
        <v>763</v>
      </c>
      <c r="E172" s="19"/>
      <c r="J172" s="5"/>
      <c r="L172" s="9"/>
      <c r="N172" s="9"/>
    </row>
    <row r="173" spans="1:14" ht="15" x14ac:dyDescent="0.25">
      <c r="A173" s="168" t="s">
        <v>764</v>
      </c>
      <c r="C173" s="11"/>
      <c r="D173" s="65" t="s">
        <v>765</v>
      </c>
      <c r="E173" s="19"/>
      <c r="J173" s="5"/>
      <c r="L173" s="9"/>
      <c r="N173" s="9"/>
    </row>
    <row r="174" spans="1:14" ht="15" x14ac:dyDescent="0.25">
      <c r="A174" s="168" t="s">
        <v>766</v>
      </c>
      <c r="C174" s="11"/>
      <c r="D174" s="65" t="s">
        <v>767</v>
      </c>
      <c r="E174" s="19"/>
      <c r="J174" s="5"/>
      <c r="L174" s="9"/>
      <c r="N174" s="9"/>
    </row>
    <row r="175" spans="1:14" ht="15" x14ac:dyDescent="0.25">
      <c r="A175" s="168" t="s">
        <v>768</v>
      </c>
      <c r="C175" s="11"/>
      <c r="D175" s="65" t="s">
        <v>769</v>
      </c>
      <c r="E175" s="19"/>
      <c r="J175" s="5"/>
      <c r="L175" s="9"/>
      <c r="N175" s="9"/>
    </row>
    <row r="176" spans="1:14" ht="15" x14ac:dyDescent="0.25">
      <c r="A176" s="168" t="s">
        <v>770</v>
      </c>
      <c r="C176" s="11"/>
      <c r="D176" s="65" t="s">
        <v>771</v>
      </c>
      <c r="E176" s="19"/>
      <c r="J176" s="5"/>
      <c r="L176" s="9"/>
      <c r="N176" s="9"/>
    </row>
    <row r="177" spans="1:14" ht="15" x14ac:dyDescent="0.25">
      <c r="A177" s="168" t="s">
        <v>772</v>
      </c>
      <c r="C177" s="11"/>
      <c r="D177" s="65" t="s">
        <v>773</v>
      </c>
      <c r="E177" s="19"/>
      <c r="J177" s="5"/>
      <c r="L177" s="9"/>
      <c r="N177" s="9"/>
    </row>
    <row r="178" spans="1:14" ht="15" x14ac:dyDescent="0.25">
      <c r="A178" s="168" t="s">
        <v>774</v>
      </c>
      <c r="C178" s="11"/>
      <c r="D178" s="65" t="s">
        <v>775</v>
      </c>
      <c r="E178" s="19"/>
      <c r="J178" s="5"/>
      <c r="L178" s="9"/>
      <c r="N178" s="9"/>
    </row>
    <row r="179" spans="1:14" ht="15" x14ac:dyDescent="0.25">
      <c r="A179" s="168" t="s">
        <v>270</v>
      </c>
      <c r="C179" s="11"/>
      <c r="D179" s="65" t="s">
        <v>776</v>
      </c>
      <c r="E179" s="19"/>
      <c r="J179" s="5"/>
      <c r="L179" s="9"/>
      <c r="N179" s="9"/>
    </row>
    <row r="180" spans="1:14" ht="15" x14ac:dyDescent="0.25">
      <c r="A180" s="168" t="s">
        <v>777</v>
      </c>
      <c r="C180" s="11"/>
      <c r="D180" s="65" t="s">
        <v>778</v>
      </c>
      <c r="E180" s="19"/>
      <c r="J180" s="5"/>
      <c r="L180" s="9"/>
      <c r="N180" s="9"/>
    </row>
    <row r="181" spans="1:14" ht="15" x14ac:dyDescent="0.25">
      <c r="A181" s="168" t="s">
        <v>779</v>
      </c>
      <c r="C181" s="11"/>
      <c r="D181" s="65" t="s">
        <v>780</v>
      </c>
      <c r="E181" s="19"/>
      <c r="J181" s="5"/>
      <c r="L181" s="9"/>
      <c r="N181" s="9"/>
    </row>
    <row r="182" spans="1:14" ht="15" x14ac:dyDescent="0.25">
      <c r="A182" s="168" t="s">
        <v>781</v>
      </c>
      <c r="C182" s="11"/>
      <c r="D182" s="65" t="s">
        <v>782</v>
      </c>
      <c r="E182" s="19"/>
      <c r="J182" s="5"/>
      <c r="L182" s="9"/>
      <c r="N182" s="9"/>
    </row>
    <row r="183" spans="1:14" ht="15" x14ac:dyDescent="0.25">
      <c r="A183" s="168" t="s">
        <v>783</v>
      </c>
      <c r="C183" s="11"/>
      <c r="D183" s="65" t="s">
        <v>784</v>
      </c>
      <c r="E183" s="19"/>
      <c r="J183" s="5"/>
      <c r="L183" s="9"/>
      <c r="N183" s="9"/>
    </row>
    <row r="184" spans="1:14" ht="30" x14ac:dyDescent="0.25">
      <c r="A184" s="168" t="s">
        <v>785</v>
      </c>
      <c r="C184" s="11"/>
      <c r="D184" s="65" t="s">
        <v>786</v>
      </c>
      <c r="E184" s="19"/>
      <c r="J184" s="5"/>
      <c r="L184" s="9"/>
      <c r="N184" s="9"/>
    </row>
    <row r="185" spans="1:14" ht="15" x14ac:dyDescent="0.25">
      <c r="A185" s="168" t="s">
        <v>787</v>
      </c>
      <c r="C185" s="11"/>
      <c r="D185" s="65" t="s">
        <v>788</v>
      </c>
      <c r="E185" s="19"/>
      <c r="J185" s="5"/>
      <c r="L185" s="9"/>
      <c r="N185" s="9"/>
    </row>
    <row r="186" spans="1:14" ht="15" x14ac:dyDescent="0.25">
      <c r="A186" s="168" t="s">
        <v>789</v>
      </c>
      <c r="C186" s="11"/>
      <c r="D186" s="65" t="s">
        <v>790</v>
      </c>
      <c r="E186" s="19"/>
      <c r="J186" s="5"/>
      <c r="L186" s="9"/>
      <c r="N186" s="9"/>
    </row>
    <row r="187" spans="1:14" ht="15" x14ac:dyDescent="0.25">
      <c r="A187" s="168" t="s">
        <v>269</v>
      </c>
      <c r="C187" s="11"/>
      <c r="D187" s="65" t="s">
        <v>791</v>
      </c>
      <c r="E187" s="19"/>
      <c r="J187" s="5"/>
      <c r="L187" s="9"/>
      <c r="N187" s="9"/>
    </row>
    <row r="188" spans="1:14" ht="15" x14ac:dyDescent="0.25">
      <c r="A188" s="168" t="s">
        <v>792</v>
      </c>
      <c r="C188" s="11"/>
      <c r="D188" s="65" t="s">
        <v>793</v>
      </c>
      <c r="E188" s="19"/>
      <c r="J188" s="5"/>
      <c r="L188" s="9"/>
      <c r="N188" s="9"/>
    </row>
    <row r="189" spans="1:14" ht="15" x14ac:dyDescent="0.25">
      <c r="A189" s="168" t="s">
        <v>794</v>
      </c>
      <c r="C189" s="11"/>
      <c r="D189" s="65" t="s">
        <v>795</v>
      </c>
      <c r="E189" s="19"/>
      <c r="J189" s="5"/>
      <c r="L189" s="9"/>
      <c r="N189" s="9"/>
    </row>
    <row r="190" spans="1:14" ht="15" x14ac:dyDescent="0.25">
      <c r="A190" s="168" t="s">
        <v>796</v>
      </c>
      <c r="C190" s="11"/>
      <c r="D190" s="65" t="s">
        <v>797</v>
      </c>
      <c r="E190" s="19"/>
      <c r="J190" s="5"/>
      <c r="L190" s="9"/>
      <c r="N190" s="9"/>
    </row>
    <row r="191" spans="1:14" ht="15" x14ac:dyDescent="0.25">
      <c r="A191" s="168" t="s">
        <v>798</v>
      </c>
      <c r="C191" s="11"/>
      <c r="D191" s="65" t="s">
        <v>799</v>
      </c>
      <c r="E191" s="19"/>
      <c r="J191" s="5"/>
      <c r="L191" s="9"/>
      <c r="N191" s="9"/>
    </row>
    <row r="192" spans="1:14" ht="15" x14ac:dyDescent="0.25">
      <c r="A192" s="168" t="s">
        <v>800</v>
      </c>
      <c r="C192" s="11"/>
      <c r="D192" s="65" t="s">
        <v>801</v>
      </c>
      <c r="E192" s="19"/>
      <c r="J192" s="5"/>
      <c r="L192" s="9"/>
      <c r="N192" s="9"/>
    </row>
    <row r="193" spans="1:14" ht="15" x14ac:dyDescent="0.25">
      <c r="A193" s="168" t="s">
        <v>802</v>
      </c>
      <c r="C193" s="11"/>
      <c r="D193" s="65" t="s">
        <v>803</v>
      </c>
      <c r="E193" s="19"/>
      <c r="J193" s="5"/>
      <c r="L193" s="9"/>
      <c r="N193" s="9"/>
    </row>
    <row r="194" spans="1:14" ht="15" x14ac:dyDescent="0.25">
      <c r="A194" s="168" t="s">
        <v>804</v>
      </c>
      <c r="C194" s="11"/>
      <c r="D194" s="65" t="s">
        <v>805</v>
      </c>
      <c r="E194" s="19"/>
      <c r="J194" s="5"/>
      <c r="L194" s="9"/>
      <c r="N194" s="9"/>
    </row>
    <row r="195" spans="1:14" ht="15" x14ac:dyDescent="0.25">
      <c r="A195" s="168" t="s">
        <v>439</v>
      </c>
      <c r="C195" s="11"/>
      <c r="D195" s="65" t="s">
        <v>806</v>
      </c>
      <c r="E195" s="19"/>
      <c r="J195" s="5"/>
      <c r="L195" s="9"/>
      <c r="N195" s="9"/>
    </row>
    <row r="196" spans="1:14" ht="15" x14ac:dyDescent="0.25">
      <c r="A196" s="168" t="s">
        <v>807</v>
      </c>
      <c r="C196" s="11"/>
      <c r="D196" s="65" t="s">
        <v>808</v>
      </c>
      <c r="E196" s="19"/>
      <c r="J196" s="5"/>
      <c r="L196" s="9"/>
      <c r="N196" s="9"/>
    </row>
    <row r="197" spans="1:14" ht="15" x14ac:dyDescent="0.25">
      <c r="A197" s="168" t="s">
        <v>809</v>
      </c>
      <c r="C197" s="11"/>
      <c r="D197" s="65" t="s">
        <v>810</v>
      </c>
      <c r="E197" s="19"/>
      <c r="J197" s="5"/>
      <c r="L197" s="9"/>
      <c r="N197" s="9"/>
    </row>
    <row r="198" spans="1:14" ht="15" x14ac:dyDescent="0.25">
      <c r="A198" s="168" t="s">
        <v>811</v>
      </c>
      <c r="C198" s="11"/>
      <c r="D198" s="65" t="s">
        <v>812</v>
      </c>
      <c r="E198" s="19"/>
      <c r="J198" s="5"/>
      <c r="L198" s="9"/>
      <c r="N198" s="9"/>
    </row>
    <row r="199" spans="1:14" ht="15" x14ac:dyDescent="0.25">
      <c r="A199" s="168" t="s">
        <v>813</v>
      </c>
      <c r="C199" s="11"/>
      <c r="D199" s="65" t="s">
        <v>814</v>
      </c>
      <c r="E199" s="19"/>
      <c r="J199" s="5"/>
      <c r="L199" s="9"/>
      <c r="N199" s="9"/>
    </row>
    <row r="200" spans="1:14" ht="15" x14ac:dyDescent="0.25">
      <c r="A200" s="168" t="s">
        <v>815</v>
      </c>
      <c r="C200" s="11"/>
      <c r="D200" s="65" t="s">
        <v>816</v>
      </c>
      <c r="E200" s="19"/>
      <c r="J200" s="5"/>
      <c r="L200" s="9"/>
      <c r="N200" s="9"/>
    </row>
    <row r="201" spans="1:14" ht="15" x14ac:dyDescent="0.25">
      <c r="A201" s="168" t="s">
        <v>817</v>
      </c>
      <c r="C201" s="11"/>
      <c r="D201" s="65" t="s">
        <v>818</v>
      </c>
      <c r="E201" s="19"/>
      <c r="J201" s="5"/>
      <c r="L201" s="9"/>
      <c r="N201" s="9"/>
    </row>
    <row r="202" spans="1:14" ht="15" x14ac:dyDescent="0.25">
      <c r="A202" s="168" t="s">
        <v>819</v>
      </c>
      <c r="C202" s="11"/>
      <c r="D202" s="65" t="s">
        <v>820</v>
      </c>
      <c r="E202" s="19"/>
      <c r="J202" s="5"/>
      <c r="L202" s="9"/>
      <c r="N202" s="9"/>
    </row>
    <row r="203" spans="1:14" ht="45" x14ac:dyDescent="0.25">
      <c r="A203" s="168" t="s">
        <v>821</v>
      </c>
      <c r="C203" s="11"/>
      <c r="D203" s="65" t="s">
        <v>822</v>
      </c>
      <c r="E203" s="19"/>
      <c r="J203" s="5"/>
      <c r="L203" s="9"/>
      <c r="N203" s="9"/>
    </row>
    <row r="204" spans="1:14" ht="15" x14ac:dyDescent="0.25">
      <c r="A204" s="168" t="s">
        <v>823</v>
      </c>
      <c r="C204" s="11"/>
      <c r="D204" s="65" t="s">
        <v>824</v>
      </c>
      <c r="E204" s="19"/>
      <c r="J204" s="5"/>
      <c r="L204" s="9"/>
      <c r="N204" s="9"/>
    </row>
    <row r="205" spans="1:14" ht="30" x14ac:dyDescent="0.25">
      <c r="A205" s="168" t="s">
        <v>825</v>
      </c>
      <c r="C205" s="11"/>
      <c r="D205" s="65" t="s">
        <v>826</v>
      </c>
      <c r="E205" s="19"/>
      <c r="J205" s="5"/>
      <c r="L205" s="9"/>
      <c r="N205" s="9"/>
    </row>
    <row r="206" spans="1:14" ht="15" x14ac:dyDescent="0.25">
      <c r="A206" s="168" t="s">
        <v>827</v>
      </c>
      <c r="C206" s="11"/>
      <c r="D206" s="65" t="s">
        <v>828</v>
      </c>
      <c r="E206" s="19"/>
      <c r="J206" s="5"/>
      <c r="L206" s="9"/>
      <c r="N206" s="9"/>
    </row>
    <row r="207" spans="1:14" ht="15" x14ac:dyDescent="0.25">
      <c r="A207" s="168" t="s">
        <v>829</v>
      </c>
      <c r="C207" s="11"/>
      <c r="D207" s="65" t="s">
        <v>830</v>
      </c>
      <c r="E207" s="19"/>
      <c r="J207" s="5"/>
      <c r="L207" s="9"/>
      <c r="N207" s="9"/>
    </row>
    <row r="208" spans="1:14" ht="15" x14ac:dyDescent="0.25">
      <c r="A208" s="168" t="s">
        <v>831</v>
      </c>
      <c r="C208" s="11"/>
      <c r="D208" s="65" t="s">
        <v>832</v>
      </c>
      <c r="E208" s="19"/>
      <c r="J208" s="5"/>
      <c r="L208" s="9"/>
      <c r="N208" s="9"/>
    </row>
    <row r="209" spans="1:14" ht="15" x14ac:dyDescent="0.25">
      <c r="A209" s="168" t="s">
        <v>833</v>
      </c>
      <c r="C209" s="11"/>
      <c r="D209" s="65" t="s">
        <v>834</v>
      </c>
      <c r="E209" s="19"/>
      <c r="J209" s="5"/>
      <c r="L209" s="9"/>
      <c r="N209" s="9"/>
    </row>
    <row r="210" spans="1:14" ht="15" x14ac:dyDescent="0.25">
      <c r="A210" s="168" t="s">
        <v>835</v>
      </c>
      <c r="C210" s="11"/>
      <c r="D210" s="65" t="s">
        <v>836</v>
      </c>
      <c r="E210" s="19"/>
      <c r="J210" s="5"/>
      <c r="L210" s="9"/>
      <c r="N210" s="9"/>
    </row>
    <row r="211" spans="1:14" ht="15" x14ac:dyDescent="0.25">
      <c r="A211" s="168" t="s">
        <v>837</v>
      </c>
      <c r="C211" s="11"/>
      <c r="D211" s="65" t="s">
        <v>838</v>
      </c>
      <c r="E211" s="19"/>
      <c r="J211" s="5"/>
      <c r="L211" s="9"/>
      <c r="N211" s="9"/>
    </row>
    <row r="212" spans="1:14" ht="15" x14ac:dyDescent="0.25">
      <c r="A212" s="168" t="s">
        <v>839</v>
      </c>
      <c r="C212" s="11"/>
      <c r="D212" s="65" t="s">
        <v>840</v>
      </c>
      <c r="E212" s="19"/>
      <c r="J212" s="5"/>
      <c r="L212" s="9"/>
      <c r="N212" s="9"/>
    </row>
    <row r="213" spans="1:14" ht="30" x14ac:dyDescent="0.25">
      <c r="A213" s="168" t="s">
        <v>841</v>
      </c>
      <c r="C213" s="11"/>
      <c r="D213" s="65" t="s">
        <v>842</v>
      </c>
      <c r="E213" s="19"/>
      <c r="J213" s="5"/>
      <c r="L213" s="9"/>
      <c r="N213" s="9"/>
    </row>
    <row r="214" spans="1:14" ht="15" x14ac:dyDescent="0.25">
      <c r="A214" s="168" t="s">
        <v>843</v>
      </c>
      <c r="C214" s="11"/>
      <c r="D214" s="65" t="s">
        <v>844</v>
      </c>
      <c r="E214" s="19"/>
      <c r="J214" s="5"/>
      <c r="L214" s="9"/>
      <c r="N214" s="9"/>
    </row>
    <row r="215" spans="1:14" ht="30" x14ac:dyDescent="0.25">
      <c r="A215" s="168" t="s">
        <v>845</v>
      </c>
      <c r="C215" s="11"/>
      <c r="D215" s="65" t="s">
        <v>846</v>
      </c>
      <c r="E215" s="19"/>
      <c r="J215" s="5"/>
      <c r="L215" s="9"/>
      <c r="N215" s="9"/>
    </row>
    <row r="216" spans="1:14" ht="30" x14ac:dyDescent="0.25">
      <c r="A216" s="168" t="s">
        <v>847</v>
      </c>
      <c r="C216" s="11"/>
      <c r="D216" s="65" t="s">
        <v>848</v>
      </c>
      <c r="E216" s="19"/>
      <c r="J216" s="5"/>
      <c r="L216" s="9"/>
      <c r="N216" s="9"/>
    </row>
    <row r="217" spans="1:14" ht="15" x14ac:dyDescent="0.25">
      <c r="A217" s="168" t="s">
        <v>849</v>
      </c>
      <c r="C217" s="11"/>
      <c r="D217" s="65" t="s">
        <v>850</v>
      </c>
      <c r="E217" s="19"/>
      <c r="J217" s="5"/>
      <c r="L217" s="9"/>
      <c r="N217" s="9"/>
    </row>
    <row r="218" spans="1:14" ht="30" x14ac:dyDescent="0.25">
      <c r="A218" s="168" t="s">
        <v>851</v>
      </c>
      <c r="C218" s="11"/>
      <c r="D218" s="65" t="s">
        <v>852</v>
      </c>
      <c r="E218" s="19"/>
      <c r="J218" s="5"/>
      <c r="L218" s="9"/>
      <c r="N218" s="9"/>
    </row>
    <row r="219" spans="1:14" ht="15" x14ac:dyDescent="0.25">
      <c r="A219" s="168" t="s">
        <v>853</v>
      </c>
      <c r="C219" s="11"/>
      <c r="D219" s="65" t="s">
        <v>854</v>
      </c>
      <c r="E219" s="19"/>
      <c r="J219" s="5"/>
      <c r="L219" s="9"/>
      <c r="N219" s="9"/>
    </row>
    <row r="220" spans="1:14" ht="30" x14ac:dyDescent="0.25">
      <c r="A220" s="168" t="s">
        <v>855</v>
      </c>
      <c r="C220" s="11"/>
      <c r="D220" s="65" t="s">
        <v>856</v>
      </c>
      <c r="E220" s="19"/>
      <c r="J220" s="5"/>
      <c r="L220" s="9"/>
      <c r="N220" s="9"/>
    </row>
    <row r="221" spans="1:14" ht="15" x14ac:dyDescent="0.25">
      <c r="A221" s="168" t="s">
        <v>857</v>
      </c>
      <c r="C221" s="11"/>
      <c r="D221" s="65" t="s">
        <v>858</v>
      </c>
      <c r="E221" s="19"/>
      <c r="J221" s="5"/>
      <c r="L221" s="9"/>
      <c r="N221" s="9"/>
    </row>
    <row r="222" spans="1:14" ht="15" x14ac:dyDescent="0.25">
      <c r="A222" s="168" t="s">
        <v>859</v>
      </c>
      <c r="C222" s="11"/>
      <c r="D222" s="65" t="s">
        <v>860</v>
      </c>
      <c r="E222" s="19"/>
      <c r="J222" s="5"/>
      <c r="L222" s="9"/>
      <c r="N222" s="9"/>
    </row>
    <row r="223" spans="1:14" ht="15" x14ac:dyDescent="0.25">
      <c r="A223" s="168" t="s">
        <v>861</v>
      </c>
      <c r="C223" s="11"/>
      <c r="D223" s="65" t="s">
        <v>862</v>
      </c>
      <c r="E223" s="19"/>
      <c r="J223" s="5"/>
      <c r="L223" s="9"/>
      <c r="N223" s="9"/>
    </row>
    <row r="224" spans="1:14" ht="15" x14ac:dyDescent="0.25">
      <c r="A224" s="168" t="s">
        <v>863</v>
      </c>
      <c r="C224" s="11"/>
      <c r="D224" s="65" t="s">
        <v>864</v>
      </c>
      <c r="E224" s="19"/>
      <c r="J224" s="5"/>
      <c r="L224" s="9"/>
      <c r="N224" s="9"/>
    </row>
    <row r="225" spans="1:14" ht="15" x14ac:dyDescent="0.25">
      <c r="A225" s="168" t="s">
        <v>865</v>
      </c>
      <c r="C225" s="11"/>
      <c r="D225" s="65" t="s">
        <v>866</v>
      </c>
      <c r="E225" s="19"/>
      <c r="J225" s="5"/>
      <c r="L225" s="9"/>
      <c r="N225" s="9"/>
    </row>
    <row r="226" spans="1:14" ht="15" x14ac:dyDescent="0.25">
      <c r="A226" s="168" t="s">
        <v>867</v>
      </c>
      <c r="C226" s="11"/>
      <c r="D226" s="65" t="s">
        <v>868</v>
      </c>
      <c r="E226" s="19"/>
      <c r="J226" s="5"/>
      <c r="L226" s="9"/>
      <c r="N226" s="9"/>
    </row>
    <row r="227" spans="1:14" ht="15" x14ac:dyDescent="0.25">
      <c r="A227" s="168" t="s">
        <v>869</v>
      </c>
      <c r="C227" s="11"/>
      <c r="D227" s="65" t="s">
        <v>870</v>
      </c>
      <c r="E227" s="19"/>
      <c r="J227" s="5"/>
      <c r="L227" s="9"/>
      <c r="N227" s="9"/>
    </row>
    <row r="228" spans="1:14" ht="15" x14ac:dyDescent="0.25">
      <c r="A228" s="168" t="s">
        <v>871</v>
      </c>
      <c r="C228" s="11"/>
      <c r="D228" s="65" t="s">
        <v>872</v>
      </c>
      <c r="E228" s="19"/>
      <c r="J228" s="5"/>
      <c r="L228" s="9"/>
      <c r="N228" s="9"/>
    </row>
    <row r="229" spans="1:14" ht="15" x14ac:dyDescent="0.25">
      <c r="A229" s="168" t="s">
        <v>873</v>
      </c>
      <c r="C229" s="11"/>
      <c r="D229" s="65" t="s">
        <v>874</v>
      </c>
      <c r="E229" s="19"/>
      <c r="J229" s="5"/>
      <c r="L229" s="9"/>
      <c r="N229" s="9"/>
    </row>
    <row r="230" spans="1:14" ht="30" x14ac:dyDescent="0.25">
      <c r="A230" s="168" t="s">
        <v>875</v>
      </c>
      <c r="C230" s="11"/>
      <c r="D230" s="65" t="s">
        <v>876</v>
      </c>
      <c r="E230" s="19"/>
      <c r="J230" s="5"/>
      <c r="L230" s="9"/>
      <c r="N230" s="9"/>
    </row>
    <row r="231" spans="1:14" ht="15" x14ac:dyDescent="0.25">
      <c r="A231" s="168" t="s">
        <v>877</v>
      </c>
      <c r="C231" s="11"/>
      <c r="D231" s="65" t="s">
        <v>878</v>
      </c>
      <c r="E231" s="19"/>
      <c r="J231" s="5"/>
      <c r="L231" s="9"/>
      <c r="N231" s="9"/>
    </row>
    <row r="232" spans="1:14" ht="30" x14ac:dyDescent="0.25">
      <c r="A232" s="168" t="s">
        <v>879</v>
      </c>
      <c r="C232" s="11"/>
      <c r="D232" s="65" t="s">
        <v>880</v>
      </c>
      <c r="E232" s="19"/>
      <c r="J232" s="5"/>
      <c r="L232" s="9"/>
      <c r="N232" s="9"/>
    </row>
    <row r="233" spans="1:14" ht="30" x14ac:dyDescent="0.25">
      <c r="A233" s="168" t="s">
        <v>881</v>
      </c>
      <c r="C233" s="11"/>
      <c r="D233" s="65" t="s">
        <v>882</v>
      </c>
      <c r="E233" s="19"/>
      <c r="J233" s="5"/>
      <c r="L233" s="9"/>
      <c r="N233" s="9"/>
    </row>
    <row r="234" spans="1:14" ht="15" x14ac:dyDescent="0.25">
      <c r="A234" s="168" t="s">
        <v>883</v>
      </c>
      <c r="C234" s="11"/>
      <c r="D234" s="65" t="s">
        <v>884</v>
      </c>
      <c r="E234" s="19"/>
      <c r="J234" s="5"/>
      <c r="L234" s="9"/>
      <c r="N234" s="9"/>
    </row>
    <row r="235" spans="1:14" ht="15" x14ac:dyDescent="0.25">
      <c r="A235" s="168" t="s">
        <v>885</v>
      </c>
      <c r="C235" s="11"/>
      <c r="D235" s="65" t="s">
        <v>886</v>
      </c>
      <c r="E235" s="19"/>
      <c r="J235" s="5"/>
      <c r="L235" s="9"/>
      <c r="N235" s="9"/>
    </row>
    <row r="236" spans="1:14" ht="45" x14ac:dyDescent="0.25">
      <c r="A236" s="168" t="s">
        <v>887</v>
      </c>
      <c r="C236" s="11"/>
      <c r="D236" s="65" t="s">
        <v>888</v>
      </c>
      <c r="E236" s="19"/>
      <c r="J236" s="5"/>
      <c r="L236" s="9"/>
      <c r="N236" s="9"/>
    </row>
    <row r="237" spans="1:14" ht="30" x14ac:dyDescent="0.25">
      <c r="A237" s="168" t="s">
        <v>277</v>
      </c>
      <c r="C237" s="11"/>
      <c r="D237" s="65" t="s">
        <v>889</v>
      </c>
      <c r="E237" s="19"/>
      <c r="J237" s="5"/>
      <c r="L237" s="9"/>
      <c r="N237" s="9"/>
    </row>
    <row r="238" spans="1:14" ht="15" x14ac:dyDescent="0.25">
      <c r="A238" s="168" t="s">
        <v>890</v>
      </c>
      <c r="C238" s="11"/>
      <c r="D238" s="65" t="s">
        <v>891</v>
      </c>
      <c r="E238" s="19"/>
      <c r="J238" s="5"/>
      <c r="L238" s="9"/>
      <c r="N238" s="9"/>
    </row>
    <row r="239" spans="1:14" ht="15" x14ac:dyDescent="0.25">
      <c r="A239" s="168" t="s">
        <v>892</v>
      </c>
      <c r="C239" s="11"/>
      <c r="D239" s="65" t="s">
        <v>893</v>
      </c>
      <c r="E239" s="19"/>
      <c r="J239" s="5"/>
      <c r="L239" s="9"/>
      <c r="N239" s="9"/>
    </row>
    <row r="240" spans="1:14" ht="15" x14ac:dyDescent="0.25">
      <c r="A240" s="168" t="s">
        <v>894</v>
      </c>
      <c r="C240" s="11"/>
      <c r="D240" s="65" t="s">
        <v>895</v>
      </c>
      <c r="E240" s="19"/>
      <c r="J240" s="5"/>
      <c r="L240" s="9"/>
      <c r="N240" s="9"/>
    </row>
    <row r="241" spans="1:14" ht="30" x14ac:dyDescent="0.25">
      <c r="A241" s="168" t="s">
        <v>896</v>
      </c>
      <c r="C241" s="11"/>
      <c r="D241" s="65" t="s">
        <v>897</v>
      </c>
      <c r="E241" s="19"/>
      <c r="J241" s="5"/>
      <c r="L241" s="9"/>
      <c r="N241" s="9"/>
    </row>
    <row r="242" spans="1:14" ht="45" x14ac:dyDescent="0.25">
      <c r="A242" s="168" t="s">
        <v>898</v>
      </c>
      <c r="C242" s="11"/>
      <c r="D242" s="65" t="s">
        <v>899</v>
      </c>
      <c r="E242" s="19"/>
      <c r="J242" s="5"/>
      <c r="L242" s="9"/>
      <c r="N242" s="9"/>
    </row>
    <row r="243" spans="1:14" ht="30" x14ac:dyDescent="0.25">
      <c r="A243" s="168" t="s">
        <v>900</v>
      </c>
      <c r="C243" s="11"/>
      <c r="D243" s="65" t="s">
        <v>901</v>
      </c>
      <c r="E243" s="19"/>
      <c r="J243" s="5"/>
      <c r="L243" s="9"/>
      <c r="N243" s="9"/>
    </row>
    <row r="244" spans="1:14" ht="15" x14ac:dyDescent="0.25">
      <c r="A244" s="168" t="s">
        <v>902</v>
      </c>
      <c r="C244" s="14"/>
      <c r="D244" s="65" t="s">
        <v>903</v>
      </c>
      <c r="E244" s="19"/>
      <c r="J244" s="5"/>
      <c r="L244" s="9"/>
      <c r="N244" s="9"/>
    </row>
    <row r="245" spans="1:14" ht="15" x14ac:dyDescent="0.25">
      <c r="A245" s="168" t="s">
        <v>904</v>
      </c>
      <c r="C245" s="11"/>
      <c r="D245" s="65" t="s">
        <v>905</v>
      </c>
      <c r="E245" s="19"/>
      <c r="J245" s="5"/>
      <c r="L245" s="9"/>
      <c r="N245" s="9"/>
    </row>
    <row r="246" spans="1:14" ht="15" x14ac:dyDescent="0.25">
      <c r="A246" s="168" t="s">
        <v>906</v>
      </c>
      <c r="C246" s="11"/>
      <c r="D246" s="65" t="s">
        <v>907</v>
      </c>
      <c r="E246" s="19"/>
      <c r="J246" s="5"/>
      <c r="L246" s="9"/>
      <c r="N246" s="9"/>
    </row>
    <row r="247" spans="1:14" ht="15" x14ac:dyDescent="0.25">
      <c r="A247" s="168" t="s">
        <v>908</v>
      </c>
      <c r="C247" s="11"/>
      <c r="D247" s="65" t="s">
        <v>909</v>
      </c>
      <c r="E247" s="19"/>
      <c r="J247" s="5"/>
      <c r="L247" s="9"/>
      <c r="N247" s="9"/>
    </row>
    <row r="248" spans="1:14" ht="15" x14ac:dyDescent="0.25">
      <c r="A248" s="168" t="s">
        <v>910</v>
      </c>
      <c r="C248" s="11"/>
      <c r="D248" s="65" t="s">
        <v>911</v>
      </c>
      <c r="E248" s="19"/>
      <c r="J248" s="5"/>
      <c r="L248" s="9"/>
      <c r="N248" s="9"/>
    </row>
    <row r="249" spans="1:14" ht="15" x14ac:dyDescent="0.25">
      <c r="A249" s="168" t="s">
        <v>912</v>
      </c>
      <c r="C249" s="11"/>
      <c r="D249" s="65" t="s">
        <v>913</v>
      </c>
      <c r="E249" s="19"/>
      <c r="J249" s="5"/>
      <c r="L249" s="9"/>
      <c r="N249" s="9"/>
    </row>
    <row r="250" spans="1:14" ht="15" x14ac:dyDescent="0.25">
      <c r="A250" s="168" t="s">
        <v>914</v>
      </c>
      <c r="C250" s="11"/>
      <c r="D250" s="65" t="s">
        <v>915</v>
      </c>
      <c r="E250" s="19"/>
      <c r="J250" s="5"/>
      <c r="L250" s="9"/>
      <c r="N250" s="9"/>
    </row>
    <row r="251" spans="1:14" ht="15" x14ac:dyDescent="0.25">
      <c r="A251" s="168" t="s">
        <v>916</v>
      </c>
      <c r="C251" s="11"/>
      <c r="D251" s="65" t="s">
        <v>917</v>
      </c>
      <c r="E251" s="19"/>
      <c r="J251" s="5"/>
      <c r="L251" s="9"/>
      <c r="N251" s="9"/>
    </row>
    <row r="252" spans="1:14" ht="15" x14ac:dyDescent="0.25">
      <c r="A252" s="168" t="s">
        <v>918</v>
      </c>
      <c r="C252" s="11"/>
      <c r="D252" s="65" t="s">
        <v>919</v>
      </c>
      <c r="E252" s="19"/>
      <c r="J252" s="5"/>
      <c r="L252" s="9"/>
      <c r="N252" s="9"/>
    </row>
    <row r="253" spans="1:14" ht="15" x14ac:dyDescent="0.25">
      <c r="A253" s="168" t="s">
        <v>920</v>
      </c>
      <c r="C253" s="11"/>
      <c r="D253" s="65" t="s">
        <v>921</v>
      </c>
      <c r="E253" s="19"/>
      <c r="J253" s="5"/>
      <c r="L253" s="9"/>
      <c r="N253" s="9"/>
    </row>
  </sheetData>
  <customSheetViews>
    <customSheetView guid="{609B000A-3B9D-4F2C-A882-9D8FED21A0B4}" showAutoFilter="1">
      <pane xSplit="2" ySplit="1" topLeftCell="C2" activePane="bottomRight" state="frozen"/>
      <selection pane="bottomRight"/>
      <pageMargins left="0.7" right="0.7" top="0.75" bottom="0.75" header="0.3" footer="0.3"/>
      <pageSetup paperSize="9" orientation="portrait" r:id="rId1"/>
      <autoFilter ref="B1:C1"/>
    </customSheetView>
    <customSheetView guid="{E7F7CB01-84EF-4CA7-B9F6-361080D9FD6D}" showAutoFilter="1">
      <pane xSplit="1.7049952874646559" ySplit="1" topLeftCell="C2" activePane="bottomRight" state="frozen"/>
      <selection pane="bottomRight"/>
      <pageMargins left="0.7" right="0.7" top="0.75" bottom="0.75" header="0.3" footer="0.3"/>
      <pageSetup paperSize="9" orientation="portrait" r:id="rId2"/>
      <autoFilter ref="B1:C1"/>
    </customSheetView>
    <customSheetView guid="{FC4FBBDB-A3CF-4CB2-B1C9-D5DDEB34891E}" showAutoFilter="1">
      <pane xSplit="2" ySplit="1" topLeftCell="W497" activePane="bottomRight" state="frozen"/>
      <selection pane="bottomRight" activeCell="AI513" sqref="AI513"/>
      <pageMargins left="0.7" right="0.7" top="0.75" bottom="0.75" header="0.3" footer="0.3"/>
      <autoFilter ref="B1:Y1"/>
    </customSheetView>
    <customSheetView guid="{ACF55590-2DD5-4F64-8513-A5656764A8B4}" showAutoFilter="1">
      <pane xSplit="1" ySplit="1" topLeftCell="B2" activePane="bottomRight" state="frozen"/>
      <selection pane="bottomRight"/>
      <pageMargins left="0.7" right="0.7" top="0.75" bottom="0.75" header="0.3" footer="0.3"/>
      <pageSetup paperSize="9" orientation="portrait" r:id="rId3"/>
      <autoFilter ref="B1:Y1"/>
    </customSheetView>
    <customSheetView guid="{E66E0E75-407A-4A45-A7DD-4716A0845D40}" showAutoFilter="1">
      <pane xSplit="2" ySplit="1" topLeftCell="AM2" activePane="bottomRight" state="frozen"/>
      <selection pane="bottomRight"/>
      <pageMargins left="0.7" right="0.7" top="0.75" bottom="0.75" header="0.3" footer="0.3"/>
      <autoFilter ref="B1:Y1"/>
    </customSheetView>
    <customSheetView guid="{F7C97EE9-0129-4AF7-B3C1-B3102CE6FFA5}" showPageBreaks="1" showAutoFilter="1">
      <pane xSplit="2" ySplit="1" topLeftCell="AJ320" activePane="bottomRight" state="frozen"/>
      <selection pane="bottomRight" activeCell="AS332" sqref="AS332"/>
      <pageMargins left="0.7" right="0.7" top="0.75" bottom="0.75" header="0.3" footer="0.3"/>
      <pageSetup paperSize="9" orientation="portrait" r:id="rId4"/>
      <autoFilter ref="B1:Y1"/>
    </customSheetView>
    <customSheetView guid="{AA319F07-CC98-498A-B8F0-88469E3CB718}" showAutoFilter="1">
      <pane xSplit="2" ySplit="1" topLeftCell="C2" activePane="bottomRight" state="frozen"/>
      <selection pane="bottomRight"/>
      <pageMargins left="0.7" right="0.7" top="0.75" bottom="0.75" header="0.3" footer="0.3"/>
      <pageSetup paperSize="9" orientation="portrait" r:id="rId5"/>
      <autoFilter ref="B1:C1"/>
    </customSheetView>
  </customSheetViews>
  <mergeCells count="1">
    <mergeCell ref="F2:I2"/>
  </mergeCells>
  <conditionalFormatting sqref="A5:A1623">
    <cfRule type="duplicateValues" dxfId="8" priority="13"/>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39997558519241921"/>
  </sheetPr>
  <dimension ref="A1:R3599"/>
  <sheetViews>
    <sheetView zoomScaleNormal="100" workbookViewId="0">
      <pane xSplit="6" ySplit="4" topLeftCell="G5" activePane="bottomRight" state="frozen"/>
      <selection pane="topRight" activeCell="G1" sqref="G1"/>
      <selection pane="bottomLeft" activeCell="A5" sqref="A5"/>
      <selection pane="bottomRight" activeCell="D4" sqref="D4:E4"/>
    </sheetView>
  </sheetViews>
  <sheetFormatPr defaultRowHeight="12" x14ac:dyDescent="0.2"/>
  <cols>
    <col min="1" max="1" width="17" style="9" customWidth="1"/>
    <col min="2" max="2" width="54.83203125" style="9" customWidth="1"/>
    <col min="3" max="3" width="13" style="9" bestFit="1" customWidth="1"/>
    <col min="4" max="4" width="12.83203125" style="13" bestFit="1" customWidth="1"/>
    <col min="5" max="5" width="18.33203125" style="9" bestFit="1" customWidth="1"/>
    <col min="6" max="6" width="11.5" style="9" bestFit="1" customWidth="1"/>
    <col min="7" max="7" width="9.33203125" style="9"/>
    <col min="8" max="8" width="17.33203125" style="9" customWidth="1"/>
    <col min="9" max="9" width="9.33203125" style="4"/>
    <col min="10" max="10" width="9.33203125" style="9"/>
    <col min="12" max="12" width="9.33203125" style="9"/>
    <col min="14" max="16384" width="9.33203125" style="9"/>
  </cols>
  <sheetData>
    <row r="1" spans="1:18" s="68" customFormat="1" ht="15" x14ac:dyDescent="0.25">
      <c r="A1" s="185" t="s">
        <v>41</v>
      </c>
      <c r="B1" s="193" t="s">
        <v>943</v>
      </c>
      <c r="C1" s="69" t="s">
        <v>42</v>
      </c>
      <c r="D1" s="143" t="s">
        <v>129</v>
      </c>
      <c r="E1" s="185" t="s">
        <v>257</v>
      </c>
      <c r="F1" s="192" t="b">
        <v>0</v>
      </c>
      <c r="G1" s="185" t="s">
        <v>973</v>
      </c>
      <c r="H1" s="193" t="s">
        <v>924</v>
      </c>
      <c r="I1" s="185" t="s">
        <v>974</v>
      </c>
      <c r="J1" s="143"/>
      <c r="K1" s="185"/>
      <c r="L1" s="192"/>
      <c r="M1" s="185"/>
      <c r="N1" s="192"/>
      <c r="O1" s="185"/>
      <c r="P1" s="192"/>
      <c r="Q1" s="185"/>
      <c r="R1" s="192"/>
    </row>
    <row r="2" spans="1:18" s="82" customFormat="1" ht="15" x14ac:dyDescent="0.25">
      <c r="A2" s="81" t="s">
        <v>353</v>
      </c>
      <c r="B2" s="109" t="s">
        <v>352</v>
      </c>
      <c r="C2" s="109" t="s">
        <v>196</v>
      </c>
      <c r="D2" s="109" t="s">
        <v>388</v>
      </c>
      <c r="F2" s="267" t="s">
        <v>283</v>
      </c>
      <c r="G2" s="268"/>
      <c r="H2" s="268"/>
      <c r="I2" s="269"/>
      <c r="J2" s="83"/>
      <c r="K2" s="84"/>
    </row>
    <row r="3" spans="1:18" s="82" customFormat="1" ht="15" x14ac:dyDescent="0.25">
      <c r="A3" s="109" t="s">
        <v>389</v>
      </c>
      <c r="B3" s="109" t="s">
        <v>349</v>
      </c>
      <c r="C3" s="109" t="s">
        <v>284</v>
      </c>
      <c r="D3" s="109" t="s">
        <v>351</v>
      </c>
      <c r="F3" s="85" t="s">
        <v>284</v>
      </c>
      <c r="G3" s="86"/>
      <c r="H3" s="86"/>
      <c r="I3" s="86"/>
      <c r="J3" s="83"/>
      <c r="K3" s="84"/>
    </row>
    <row r="4" spans="1:18" s="39" customFormat="1" ht="15" x14ac:dyDescent="0.25">
      <c r="A4" s="77" t="s">
        <v>5</v>
      </c>
      <c r="B4" s="79" t="s">
        <v>285</v>
      </c>
      <c r="C4" s="79" t="s">
        <v>43</v>
      </c>
      <c r="D4" s="77" t="s">
        <v>973</v>
      </c>
      <c r="E4" s="78" t="s">
        <v>974</v>
      </c>
      <c r="F4" s="87" t="s">
        <v>282</v>
      </c>
      <c r="G4" s="86"/>
      <c r="H4" s="86"/>
      <c r="I4" s="86"/>
      <c r="J4" s="40"/>
    </row>
    <row r="5" spans="1:18" customFormat="1" ht="15" x14ac:dyDescent="0.25">
      <c r="A5" s="66"/>
      <c r="B5" s="66"/>
      <c r="G5" s="86"/>
      <c r="H5" s="86"/>
      <c r="I5" s="86"/>
    </row>
    <row r="6" spans="1:18" customFormat="1" ht="15" x14ac:dyDescent="0.25">
      <c r="A6" s="66"/>
      <c r="B6" s="66"/>
      <c r="G6" s="86"/>
      <c r="H6" s="86"/>
      <c r="I6" s="86"/>
    </row>
    <row r="7" spans="1:18" customFormat="1" ht="15" x14ac:dyDescent="0.25">
      <c r="A7" s="66"/>
      <c r="B7" s="9"/>
      <c r="G7" s="86"/>
      <c r="H7" s="86"/>
      <c r="I7" s="86"/>
    </row>
    <row r="8" spans="1:18" customFormat="1" ht="15" x14ac:dyDescent="0.25">
      <c r="A8" s="66"/>
      <c r="B8" s="9"/>
      <c r="G8" s="86"/>
      <c r="H8" s="86"/>
      <c r="I8" s="86"/>
    </row>
    <row r="9" spans="1:18" customFormat="1" ht="15" x14ac:dyDescent="0.25">
      <c r="A9" s="66"/>
      <c r="B9" s="66"/>
      <c r="G9" s="86"/>
      <c r="H9" s="86"/>
      <c r="I9" s="86"/>
    </row>
    <row r="10" spans="1:18" customFormat="1" ht="15" x14ac:dyDescent="0.25">
      <c r="A10" s="66"/>
      <c r="B10" s="66"/>
      <c r="G10" s="86"/>
      <c r="H10" s="86"/>
      <c r="I10" s="86"/>
    </row>
    <row r="11" spans="1:18" customFormat="1" ht="15" x14ac:dyDescent="0.25">
      <c r="A11" s="66"/>
      <c r="B11" s="66"/>
      <c r="G11" s="86"/>
      <c r="H11" s="86"/>
      <c r="I11" s="86"/>
    </row>
    <row r="12" spans="1:18" customFormat="1" ht="15" x14ac:dyDescent="0.25">
      <c r="A12" s="66"/>
      <c r="B12" s="66"/>
      <c r="G12" s="86"/>
      <c r="H12" s="86"/>
      <c r="I12" s="86"/>
    </row>
    <row r="13" spans="1:18" customFormat="1" ht="15" x14ac:dyDescent="0.25">
      <c r="A13" s="66"/>
      <c r="B13" s="66"/>
      <c r="G13" s="86"/>
      <c r="H13" s="86"/>
      <c r="I13" s="86"/>
    </row>
    <row r="14" spans="1:18" customFormat="1" ht="15" x14ac:dyDescent="0.25">
      <c r="A14" s="66"/>
      <c r="B14" s="66"/>
      <c r="G14" s="86"/>
      <c r="H14" s="86"/>
      <c r="I14" s="86"/>
    </row>
    <row r="15" spans="1:18" customFormat="1" ht="15" x14ac:dyDescent="0.25">
      <c r="A15" s="66"/>
      <c r="B15" s="66"/>
      <c r="G15" s="86"/>
      <c r="H15" s="86"/>
      <c r="I15" s="86"/>
    </row>
    <row r="16" spans="1:18" customFormat="1" ht="15" x14ac:dyDescent="0.25">
      <c r="A16" s="66"/>
      <c r="B16" s="66"/>
      <c r="G16" s="86"/>
      <c r="H16" s="86"/>
      <c r="I16" s="86"/>
    </row>
    <row r="17" spans="1:9" customFormat="1" ht="15" x14ac:dyDescent="0.25">
      <c r="A17" s="66"/>
      <c r="B17" s="66"/>
      <c r="G17" s="86"/>
      <c r="H17" s="86"/>
      <c r="I17" s="86"/>
    </row>
    <row r="18" spans="1:9" customFormat="1" ht="15" x14ac:dyDescent="0.25">
      <c r="A18" s="66"/>
      <c r="B18" s="66"/>
      <c r="G18" s="86"/>
      <c r="H18" s="86"/>
      <c r="I18" s="86"/>
    </row>
    <row r="19" spans="1:9" customFormat="1" ht="15" x14ac:dyDescent="0.25">
      <c r="A19" s="66"/>
      <c r="B19" s="66"/>
      <c r="G19" s="86"/>
      <c r="H19" s="86"/>
      <c r="I19" s="86"/>
    </row>
    <row r="20" spans="1:9" customFormat="1" ht="15" x14ac:dyDescent="0.25">
      <c r="A20" s="66"/>
      <c r="B20" s="66"/>
      <c r="G20" s="86"/>
      <c r="H20" s="86"/>
      <c r="I20" s="86"/>
    </row>
    <row r="21" spans="1:9" customFormat="1" ht="15" x14ac:dyDescent="0.25">
      <c r="A21" s="66"/>
      <c r="B21" s="66"/>
      <c r="G21" s="86"/>
      <c r="H21" s="86"/>
      <c r="I21" s="86"/>
    </row>
    <row r="22" spans="1:9" customFormat="1" ht="15" x14ac:dyDescent="0.25">
      <c r="A22" s="66"/>
      <c r="B22" s="66"/>
      <c r="G22" s="86"/>
      <c r="H22" s="86"/>
      <c r="I22" s="86"/>
    </row>
    <row r="23" spans="1:9" customFormat="1" ht="15" x14ac:dyDescent="0.25">
      <c r="A23" s="66"/>
      <c r="B23" s="66"/>
      <c r="G23" s="86"/>
      <c r="H23" s="86"/>
      <c r="I23" s="86"/>
    </row>
    <row r="24" spans="1:9" customFormat="1" ht="15" x14ac:dyDescent="0.25">
      <c r="A24" s="66"/>
      <c r="B24" s="66"/>
      <c r="G24" s="86"/>
      <c r="H24" s="86"/>
      <c r="I24" s="86"/>
    </row>
    <row r="25" spans="1:9" customFormat="1" ht="15" x14ac:dyDescent="0.25">
      <c r="A25" s="66"/>
      <c r="B25" s="66"/>
      <c r="G25" s="86"/>
      <c r="H25" s="86"/>
      <c r="I25" s="86"/>
    </row>
    <row r="26" spans="1:9" customFormat="1" ht="15" x14ac:dyDescent="0.25">
      <c r="A26" s="66"/>
      <c r="B26" s="66"/>
      <c r="G26" s="86"/>
      <c r="H26" s="86"/>
      <c r="I26" s="86"/>
    </row>
    <row r="27" spans="1:9" customFormat="1" ht="15" x14ac:dyDescent="0.25">
      <c r="A27" s="66"/>
      <c r="B27" s="66"/>
      <c r="G27" s="86"/>
      <c r="H27" s="86"/>
      <c r="I27" s="86"/>
    </row>
    <row r="28" spans="1:9" customFormat="1" ht="15" x14ac:dyDescent="0.25">
      <c r="A28" s="66"/>
      <c r="B28" s="66"/>
      <c r="G28" s="86"/>
      <c r="H28" s="86"/>
      <c r="I28" s="86"/>
    </row>
    <row r="29" spans="1:9" customFormat="1" ht="15" x14ac:dyDescent="0.25">
      <c r="A29" s="66"/>
      <c r="B29" s="66"/>
      <c r="G29" s="86"/>
      <c r="H29" s="86"/>
      <c r="I29" s="86"/>
    </row>
    <row r="30" spans="1:9" ht="15" x14ac:dyDescent="0.25">
      <c r="A30" s="66"/>
      <c r="B30" s="66"/>
      <c r="C30" s="11"/>
      <c r="D30" s="19"/>
      <c r="G30" s="86"/>
      <c r="H30" s="86"/>
      <c r="I30" s="86"/>
    </row>
    <row r="31" spans="1:9" ht="15" x14ac:dyDescent="0.25">
      <c r="A31" s="66"/>
      <c r="B31" s="66"/>
      <c r="C31" s="11"/>
      <c r="D31" s="19"/>
      <c r="G31" s="86"/>
      <c r="H31" s="86"/>
      <c r="I31" s="86"/>
    </row>
    <row r="32" spans="1:9" ht="15" x14ac:dyDescent="0.25">
      <c r="A32" s="66"/>
      <c r="B32" s="66"/>
      <c r="C32" s="11"/>
      <c r="D32" s="19"/>
      <c r="G32" s="86"/>
      <c r="H32" s="86"/>
      <c r="I32" s="86"/>
    </row>
    <row r="33" spans="1:10" ht="15" x14ac:dyDescent="0.25">
      <c r="A33" s="66"/>
      <c r="B33" s="66"/>
      <c r="C33" s="11"/>
      <c r="D33" s="19"/>
      <c r="G33" s="86"/>
      <c r="H33" s="86"/>
      <c r="I33" s="86"/>
    </row>
    <row r="34" spans="1:10" ht="15" x14ac:dyDescent="0.25">
      <c r="A34" s="66"/>
      <c r="B34" s="66"/>
      <c r="C34" s="11"/>
      <c r="D34" s="19"/>
      <c r="G34" s="86"/>
      <c r="H34" s="86"/>
      <c r="I34" s="86"/>
    </row>
    <row r="35" spans="1:10" s="12" customFormat="1" ht="15" x14ac:dyDescent="0.25">
      <c r="A35" s="66"/>
      <c r="B35" s="66"/>
      <c r="C35" s="11"/>
      <c r="D35" s="19"/>
      <c r="F35" s="10"/>
      <c r="G35" s="86"/>
      <c r="H35" s="86"/>
      <c r="I35" s="86"/>
      <c r="J35" s="18"/>
    </row>
    <row r="36" spans="1:10" s="12" customFormat="1" ht="15" x14ac:dyDescent="0.25">
      <c r="A36" s="66"/>
      <c r="B36" s="66"/>
      <c r="C36" s="11"/>
      <c r="D36" s="19"/>
      <c r="F36" s="10"/>
      <c r="G36" s="86"/>
      <c r="H36" s="86"/>
      <c r="I36" s="86"/>
      <c r="J36" s="18"/>
    </row>
    <row r="37" spans="1:10" s="12" customFormat="1" ht="15" x14ac:dyDescent="0.25">
      <c r="A37" s="66"/>
      <c r="B37" s="66"/>
      <c r="C37" s="9"/>
      <c r="D37" s="19"/>
      <c r="F37" s="10"/>
      <c r="G37" s="86"/>
      <c r="H37" s="86"/>
      <c r="I37" s="86"/>
      <c r="J37" s="18"/>
    </row>
    <row r="38" spans="1:10" x14ac:dyDescent="0.2">
      <c r="A38" s="11"/>
      <c r="B38" s="11"/>
      <c r="C38" s="11"/>
      <c r="D38" s="19"/>
      <c r="I38" s="27"/>
    </row>
    <row r="39" spans="1:10" x14ac:dyDescent="0.2">
      <c r="A39" s="11"/>
      <c r="B39" s="11"/>
      <c r="C39" s="11"/>
      <c r="D39" s="19"/>
      <c r="I39" s="27"/>
    </row>
    <row r="40" spans="1:10" x14ac:dyDescent="0.2">
      <c r="A40" s="11"/>
      <c r="B40" s="11"/>
      <c r="C40" s="11"/>
      <c r="D40" s="19"/>
      <c r="I40" s="27"/>
    </row>
    <row r="41" spans="1:10" x14ac:dyDescent="0.2">
      <c r="A41" s="11"/>
      <c r="B41" s="11"/>
      <c r="C41" s="11"/>
      <c r="D41" s="19"/>
      <c r="I41" s="27"/>
    </row>
    <row r="42" spans="1:10" x14ac:dyDescent="0.2">
      <c r="A42" s="11"/>
      <c r="B42" s="11"/>
      <c r="C42" s="11"/>
      <c r="D42" s="19"/>
      <c r="I42" s="27"/>
    </row>
    <row r="43" spans="1:10" x14ac:dyDescent="0.2">
      <c r="A43" s="11"/>
      <c r="B43" s="11"/>
      <c r="C43" s="11"/>
      <c r="D43" s="19"/>
      <c r="I43" s="27"/>
    </row>
    <row r="44" spans="1:10" x14ac:dyDescent="0.2">
      <c r="A44" s="11"/>
      <c r="B44" s="11"/>
      <c r="C44" s="11"/>
      <c r="D44" s="19"/>
      <c r="I44" s="27"/>
    </row>
    <row r="45" spans="1:10" x14ac:dyDescent="0.2">
      <c r="A45" s="11"/>
      <c r="B45" s="11"/>
      <c r="C45" s="11"/>
      <c r="D45" s="19"/>
      <c r="I45" s="27"/>
    </row>
    <row r="46" spans="1:10" x14ac:dyDescent="0.2">
      <c r="A46" s="11"/>
      <c r="B46" s="11"/>
      <c r="C46" s="11"/>
      <c r="D46" s="19"/>
      <c r="I46" s="27"/>
    </row>
    <row r="47" spans="1:10" x14ac:dyDescent="0.2">
      <c r="A47" s="11"/>
      <c r="B47" s="11"/>
      <c r="C47" s="11"/>
      <c r="D47" s="19"/>
      <c r="I47" s="27"/>
    </row>
    <row r="48" spans="1:10" x14ac:dyDescent="0.2">
      <c r="A48" s="11"/>
      <c r="B48" s="11"/>
      <c r="C48" s="11"/>
      <c r="D48" s="19"/>
      <c r="I48" s="27"/>
    </row>
    <row r="49" spans="1:9" x14ac:dyDescent="0.2">
      <c r="A49" s="11"/>
      <c r="B49" s="11"/>
      <c r="C49" s="11"/>
      <c r="D49" s="19"/>
      <c r="I49" s="27"/>
    </row>
    <row r="50" spans="1:9" x14ac:dyDescent="0.2">
      <c r="A50" s="11"/>
      <c r="B50" s="11"/>
      <c r="C50" s="11"/>
      <c r="D50" s="19"/>
      <c r="I50" s="27"/>
    </row>
    <row r="51" spans="1:9" x14ac:dyDescent="0.2">
      <c r="A51" s="11"/>
      <c r="B51" s="11"/>
      <c r="C51" s="11"/>
      <c r="D51" s="19"/>
      <c r="I51" s="27"/>
    </row>
    <row r="52" spans="1:9" x14ac:dyDescent="0.2">
      <c r="A52" s="11"/>
      <c r="B52" s="11"/>
      <c r="C52" s="11"/>
      <c r="D52" s="19"/>
      <c r="I52" s="27"/>
    </row>
    <row r="53" spans="1:9" x14ac:dyDescent="0.2">
      <c r="A53" s="11"/>
      <c r="B53" s="11"/>
      <c r="C53" s="11"/>
      <c r="I53" s="27"/>
    </row>
    <row r="54" spans="1:9" x14ac:dyDescent="0.2">
      <c r="A54" s="11"/>
      <c r="B54" s="11"/>
      <c r="C54" s="11"/>
      <c r="D54" s="19"/>
      <c r="I54" s="27"/>
    </row>
    <row r="55" spans="1:9" x14ac:dyDescent="0.2">
      <c r="A55" s="11"/>
      <c r="B55" s="11"/>
      <c r="C55" s="11"/>
      <c r="D55" s="19"/>
      <c r="I55" s="27"/>
    </row>
    <row r="56" spans="1:9" x14ac:dyDescent="0.2">
      <c r="A56" s="11"/>
      <c r="B56" s="11"/>
      <c r="C56" s="11"/>
      <c r="D56" s="19"/>
      <c r="I56" s="27"/>
    </row>
    <row r="57" spans="1:9" x14ac:dyDescent="0.2">
      <c r="A57" s="11"/>
      <c r="B57" s="11"/>
      <c r="C57" s="11"/>
      <c r="D57" s="19"/>
      <c r="I57" s="27"/>
    </row>
    <row r="58" spans="1:9" x14ac:dyDescent="0.2">
      <c r="A58" s="11"/>
      <c r="B58" s="11"/>
      <c r="C58" s="11"/>
      <c r="D58" s="19"/>
      <c r="I58" s="27"/>
    </row>
    <row r="59" spans="1:9" x14ac:dyDescent="0.2">
      <c r="A59" s="11"/>
      <c r="B59" s="11"/>
      <c r="C59" s="11"/>
      <c r="D59" s="19"/>
      <c r="I59" s="27"/>
    </row>
    <row r="60" spans="1:9" x14ac:dyDescent="0.2">
      <c r="A60" s="11"/>
      <c r="B60" s="11"/>
      <c r="C60" s="11"/>
      <c r="D60" s="19"/>
      <c r="I60" s="27"/>
    </row>
    <row r="61" spans="1:9" x14ac:dyDescent="0.2">
      <c r="A61" s="11"/>
      <c r="B61" s="11"/>
      <c r="C61" s="11"/>
      <c r="D61" s="19"/>
      <c r="I61" s="27"/>
    </row>
    <row r="62" spans="1:9" x14ac:dyDescent="0.2">
      <c r="A62" s="11"/>
      <c r="B62" s="11"/>
      <c r="C62" s="11"/>
      <c r="D62" s="19"/>
      <c r="I62" s="27"/>
    </row>
    <row r="63" spans="1:9" x14ac:dyDescent="0.2">
      <c r="A63" s="11"/>
      <c r="B63" s="11"/>
      <c r="C63" s="11"/>
      <c r="D63" s="19"/>
      <c r="I63" s="27"/>
    </row>
    <row r="64" spans="1:9" x14ac:dyDescent="0.2">
      <c r="A64" s="11"/>
      <c r="B64" s="11"/>
      <c r="C64" s="11"/>
      <c r="D64" s="19"/>
      <c r="I64" s="27"/>
    </row>
    <row r="65" spans="1:9" x14ac:dyDescent="0.2">
      <c r="A65" s="11"/>
      <c r="B65" s="11"/>
      <c r="C65" s="11"/>
      <c r="D65" s="19"/>
      <c r="I65" s="27"/>
    </row>
    <row r="66" spans="1:9" x14ac:dyDescent="0.2">
      <c r="A66" s="11"/>
      <c r="B66" s="11"/>
      <c r="C66" s="11"/>
      <c r="D66" s="19"/>
      <c r="I66" s="27"/>
    </row>
    <row r="67" spans="1:9" x14ac:dyDescent="0.2">
      <c r="A67" s="11"/>
      <c r="B67" s="11"/>
      <c r="C67" s="11"/>
      <c r="D67" s="19"/>
      <c r="I67" s="27"/>
    </row>
    <row r="68" spans="1:9" x14ac:dyDescent="0.2">
      <c r="A68" s="11"/>
      <c r="B68" s="11"/>
      <c r="C68" s="11"/>
      <c r="D68" s="19"/>
      <c r="I68" s="27"/>
    </row>
    <row r="69" spans="1:9" x14ac:dyDescent="0.2">
      <c r="A69" s="11"/>
      <c r="B69" s="11"/>
      <c r="C69" s="11"/>
      <c r="D69" s="19"/>
      <c r="I69" s="27"/>
    </row>
    <row r="70" spans="1:9" x14ac:dyDescent="0.2">
      <c r="A70" s="11"/>
      <c r="B70" s="11"/>
      <c r="C70" s="11"/>
      <c r="D70" s="19"/>
      <c r="I70" s="27"/>
    </row>
    <row r="71" spans="1:9" ht="12" customHeight="1" x14ac:dyDescent="0.2">
      <c r="A71" s="11"/>
      <c r="B71" s="11"/>
      <c r="C71" s="11"/>
      <c r="D71" s="19"/>
      <c r="I71" s="27"/>
    </row>
    <row r="72" spans="1:9" ht="12" customHeight="1" x14ac:dyDescent="0.2">
      <c r="A72" s="11"/>
      <c r="B72" s="11"/>
      <c r="C72" s="11"/>
      <c r="D72" s="19"/>
      <c r="I72" s="27"/>
    </row>
    <row r="73" spans="1:9" x14ac:dyDescent="0.2">
      <c r="A73" s="11"/>
      <c r="B73" s="11"/>
      <c r="C73" s="11"/>
      <c r="D73" s="19"/>
      <c r="I73" s="27"/>
    </row>
    <row r="74" spans="1:9" x14ac:dyDescent="0.2">
      <c r="A74" s="11"/>
      <c r="B74" s="11"/>
      <c r="C74" s="11"/>
      <c r="D74" s="19"/>
      <c r="I74" s="27"/>
    </row>
    <row r="75" spans="1:9" x14ac:dyDescent="0.2">
      <c r="A75" s="11"/>
      <c r="B75" s="11"/>
      <c r="C75" s="11"/>
      <c r="D75" s="19"/>
      <c r="I75" s="27"/>
    </row>
    <row r="76" spans="1:9" x14ac:dyDescent="0.2">
      <c r="A76" s="11"/>
      <c r="B76" s="11"/>
      <c r="C76" s="11"/>
      <c r="D76" s="19"/>
      <c r="I76" s="27"/>
    </row>
    <row r="77" spans="1:9" x14ac:dyDescent="0.2">
      <c r="A77" s="11"/>
      <c r="B77" s="11"/>
      <c r="C77" s="11"/>
      <c r="D77" s="19"/>
      <c r="I77" s="27"/>
    </row>
    <row r="78" spans="1:9" x14ac:dyDescent="0.2">
      <c r="A78" s="11"/>
      <c r="B78" s="11"/>
      <c r="C78" s="11"/>
      <c r="D78" s="19"/>
      <c r="I78" s="27"/>
    </row>
    <row r="79" spans="1:9" x14ac:dyDescent="0.2">
      <c r="A79" s="11"/>
      <c r="B79" s="11"/>
      <c r="C79" s="11"/>
      <c r="D79" s="19"/>
      <c r="I79" s="27"/>
    </row>
    <row r="80" spans="1:9" x14ac:dyDescent="0.2">
      <c r="A80" s="11"/>
      <c r="B80" s="11"/>
      <c r="C80" s="11"/>
      <c r="D80" s="19"/>
      <c r="I80" s="27"/>
    </row>
    <row r="81" spans="1:9" x14ac:dyDescent="0.2">
      <c r="A81" s="11"/>
      <c r="B81" s="11"/>
      <c r="C81" s="11"/>
      <c r="D81" s="19"/>
      <c r="I81" s="27"/>
    </row>
    <row r="82" spans="1:9" x14ac:dyDescent="0.2">
      <c r="A82" s="11"/>
      <c r="B82" s="11"/>
      <c r="C82" s="11"/>
      <c r="D82" s="19"/>
      <c r="I82" s="27"/>
    </row>
    <row r="83" spans="1:9" x14ac:dyDescent="0.2">
      <c r="A83" s="11"/>
      <c r="B83" s="11"/>
      <c r="C83" s="11"/>
      <c r="D83" s="19"/>
      <c r="I83" s="27"/>
    </row>
    <row r="84" spans="1:9" x14ac:dyDescent="0.2">
      <c r="A84" s="11"/>
      <c r="B84" s="11"/>
      <c r="C84" s="11"/>
      <c r="D84" s="19"/>
      <c r="I84" s="27"/>
    </row>
    <row r="85" spans="1:9" x14ac:dyDescent="0.2">
      <c r="A85" s="11"/>
      <c r="B85" s="11"/>
      <c r="C85" s="11"/>
      <c r="D85" s="19"/>
      <c r="I85" s="27"/>
    </row>
    <row r="86" spans="1:9" x14ac:dyDescent="0.2">
      <c r="A86" s="11"/>
      <c r="B86" s="11"/>
      <c r="C86" s="11"/>
      <c r="D86" s="19"/>
      <c r="I86" s="27"/>
    </row>
    <row r="87" spans="1:9" x14ac:dyDescent="0.2">
      <c r="A87" s="11"/>
      <c r="B87" s="11"/>
      <c r="C87" s="11"/>
      <c r="D87" s="19"/>
      <c r="I87" s="27"/>
    </row>
    <row r="88" spans="1:9" x14ac:dyDescent="0.2">
      <c r="A88" s="11"/>
      <c r="B88" s="11"/>
      <c r="C88" s="11"/>
      <c r="D88" s="19"/>
      <c r="I88" s="27"/>
    </row>
    <row r="89" spans="1:9" x14ac:dyDescent="0.2">
      <c r="A89" s="11"/>
      <c r="B89" s="11"/>
      <c r="C89" s="11"/>
      <c r="D89" s="19"/>
      <c r="I89" s="27"/>
    </row>
    <row r="90" spans="1:9" x14ac:dyDescent="0.2">
      <c r="A90" s="11"/>
      <c r="B90" s="11"/>
      <c r="C90" s="11"/>
      <c r="D90" s="19"/>
      <c r="I90" s="27"/>
    </row>
    <row r="91" spans="1:9" x14ac:dyDescent="0.2">
      <c r="A91" s="11"/>
      <c r="B91" s="11"/>
      <c r="C91" s="11"/>
      <c r="D91" s="19"/>
      <c r="I91" s="27"/>
    </row>
    <row r="92" spans="1:9" x14ac:dyDescent="0.2">
      <c r="A92" s="11"/>
      <c r="B92" s="11"/>
      <c r="C92" s="11"/>
      <c r="D92" s="19"/>
      <c r="I92" s="27"/>
    </row>
    <row r="93" spans="1:9" x14ac:dyDescent="0.2">
      <c r="A93" s="11"/>
      <c r="B93" s="11"/>
      <c r="C93" s="11"/>
      <c r="D93" s="19"/>
      <c r="I93" s="27"/>
    </row>
    <row r="94" spans="1:9" x14ac:dyDescent="0.2">
      <c r="A94" s="11"/>
      <c r="B94" s="11"/>
      <c r="C94" s="11"/>
      <c r="D94" s="19"/>
      <c r="I94" s="27"/>
    </row>
    <row r="95" spans="1:9" x14ac:dyDescent="0.2">
      <c r="A95" s="11"/>
      <c r="B95" s="11"/>
      <c r="C95" s="11"/>
      <c r="D95" s="19"/>
      <c r="I95" s="27"/>
    </row>
    <row r="96" spans="1:9" x14ac:dyDescent="0.2">
      <c r="A96" s="11"/>
      <c r="B96" s="11"/>
      <c r="C96" s="11"/>
      <c r="D96" s="19"/>
      <c r="I96" s="27"/>
    </row>
    <row r="97" spans="1:9" x14ac:dyDescent="0.2">
      <c r="A97" s="11"/>
      <c r="B97" s="11"/>
      <c r="C97" s="11"/>
      <c r="D97" s="19"/>
      <c r="I97" s="27"/>
    </row>
    <row r="98" spans="1:9" x14ac:dyDescent="0.2">
      <c r="A98" s="11"/>
      <c r="B98" s="11"/>
      <c r="C98" s="11"/>
      <c r="D98" s="19"/>
      <c r="I98" s="27"/>
    </row>
    <row r="99" spans="1:9" x14ac:dyDescent="0.2">
      <c r="A99" s="11"/>
      <c r="B99" s="11"/>
      <c r="C99" s="11"/>
      <c r="D99" s="19"/>
      <c r="I99" s="27"/>
    </row>
    <row r="100" spans="1:9" x14ac:dyDescent="0.2">
      <c r="A100" s="11"/>
      <c r="B100" s="11"/>
      <c r="C100" s="11"/>
      <c r="D100" s="19"/>
      <c r="I100" s="27"/>
    </row>
    <row r="101" spans="1:9" x14ac:dyDescent="0.2">
      <c r="A101" s="11"/>
      <c r="B101" s="11"/>
      <c r="C101" s="11"/>
      <c r="D101" s="19"/>
      <c r="I101" s="27"/>
    </row>
    <row r="102" spans="1:9" x14ac:dyDescent="0.2">
      <c r="A102" s="11"/>
      <c r="B102" s="11"/>
      <c r="C102" s="11"/>
      <c r="D102" s="19"/>
      <c r="I102" s="27"/>
    </row>
    <row r="103" spans="1:9" x14ac:dyDescent="0.2">
      <c r="A103" s="11"/>
      <c r="B103" s="11"/>
      <c r="C103" s="11"/>
      <c r="D103" s="19"/>
      <c r="I103" s="27"/>
    </row>
    <row r="104" spans="1:9" x14ac:dyDescent="0.2">
      <c r="A104" s="11"/>
      <c r="B104" s="11"/>
      <c r="C104" s="11"/>
      <c r="D104" s="19"/>
      <c r="I104" s="27"/>
    </row>
    <row r="105" spans="1:9" x14ac:dyDescent="0.2">
      <c r="A105" s="11"/>
      <c r="B105" s="11"/>
      <c r="C105" s="11"/>
      <c r="D105" s="19"/>
      <c r="I105" s="27"/>
    </row>
    <row r="106" spans="1:9" x14ac:dyDescent="0.2">
      <c r="A106" s="11"/>
      <c r="B106" s="11"/>
      <c r="C106" s="11"/>
      <c r="D106" s="19"/>
      <c r="I106" s="27"/>
    </row>
    <row r="107" spans="1:9" x14ac:dyDescent="0.2">
      <c r="A107" s="11"/>
      <c r="B107" s="11"/>
      <c r="C107" s="11"/>
      <c r="D107" s="19"/>
      <c r="I107" s="27"/>
    </row>
    <row r="108" spans="1:9" x14ac:dyDescent="0.2">
      <c r="A108" s="11"/>
      <c r="B108" s="11"/>
      <c r="C108" s="11"/>
      <c r="D108" s="19"/>
      <c r="I108" s="27"/>
    </row>
    <row r="109" spans="1:9" x14ac:dyDescent="0.2">
      <c r="A109" s="11"/>
      <c r="B109" s="11"/>
      <c r="C109" s="11"/>
      <c r="D109" s="19"/>
      <c r="I109" s="27"/>
    </row>
    <row r="110" spans="1:9" x14ac:dyDescent="0.2">
      <c r="A110" s="11"/>
      <c r="B110" s="11"/>
      <c r="C110" s="11"/>
      <c r="D110" s="19"/>
      <c r="I110" s="27"/>
    </row>
    <row r="111" spans="1:9" x14ac:dyDescent="0.2">
      <c r="A111" s="11"/>
      <c r="B111" s="11"/>
      <c r="C111" s="11"/>
      <c r="D111" s="19"/>
      <c r="I111" s="27"/>
    </row>
    <row r="112" spans="1:9" x14ac:dyDescent="0.2">
      <c r="A112" s="11"/>
      <c r="B112" s="11"/>
      <c r="C112" s="11"/>
      <c r="D112" s="19"/>
      <c r="I112" s="27"/>
    </row>
    <row r="113" spans="1:9" x14ac:dyDescent="0.2">
      <c r="A113" s="11"/>
      <c r="B113" s="11"/>
      <c r="C113" s="11"/>
      <c r="D113" s="19"/>
      <c r="I113" s="27"/>
    </row>
    <row r="114" spans="1:9" x14ac:dyDescent="0.2">
      <c r="A114" s="11"/>
      <c r="B114" s="11"/>
      <c r="C114" s="11"/>
      <c r="D114" s="19"/>
      <c r="I114" s="27"/>
    </row>
    <row r="115" spans="1:9" x14ac:dyDescent="0.2">
      <c r="A115" s="11"/>
      <c r="B115" s="11"/>
      <c r="C115" s="11"/>
      <c r="D115" s="19"/>
      <c r="I115" s="27"/>
    </row>
    <row r="116" spans="1:9" x14ac:dyDescent="0.2">
      <c r="A116" s="11"/>
      <c r="B116" s="11"/>
      <c r="C116" s="11"/>
      <c r="D116" s="19"/>
      <c r="I116" s="27"/>
    </row>
    <row r="117" spans="1:9" x14ac:dyDescent="0.2">
      <c r="A117" s="11"/>
      <c r="B117" s="14"/>
      <c r="C117" s="14"/>
      <c r="D117" s="19"/>
      <c r="I117" s="27"/>
    </row>
    <row r="118" spans="1:9" x14ac:dyDescent="0.2">
      <c r="A118" s="11"/>
      <c r="B118" s="11"/>
      <c r="C118" s="11"/>
      <c r="D118" s="19"/>
      <c r="I118" s="27"/>
    </row>
    <row r="119" spans="1:9" x14ac:dyDescent="0.2">
      <c r="A119" s="11"/>
      <c r="B119" s="11"/>
      <c r="C119" s="11"/>
      <c r="D119" s="19"/>
      <c r="I119" s="27"/>
    </row>
    <row r="120" spans="1:9" x14ac:dyDescent="0.2">
      <c r="A120" s="11"/>
      <c r="B120" s="14"/>
      <c r="C120" s="14"/>
      <c r="D120" s="19"/>
      <c r="I120" s="27"/>
    </row>
    <row r="121" spans="1:9" x14ac:dyDescent="0.2">
      <c r="A121" s="11"/>
      <c r="B121" s="11"/>
      <c r="C121" s="11"/>
      <c r="D121" s="19"/>
      <c r="I121" s="27"/>
    </row>
    <row r="122" spans="1:9" x14ac:dyDescent="0.2">
      <c r="A122" s="11"/>
      <c r="B122" s="11"/>
      <c r="C122" s="11"/>
      <c r="D122" s="19"/>
      <c r="I122" s="27"/>
    </row>
    <row r="123" spans="1:9" x14ac:dyDescent="0.2">
      <c r="A123" s="11"/>
      <c r="B123" s="11"/>
      <c r="C123" s="11"/>
      <c r="D123" s="15"/>
      <c r="I123" s="27"/>
    </row>
    <row r="124" spans="1:9" x14ac:dyDescent="0.2">
      <c r="A124" s="11"/>
      <c r="B124" s="11"/>
      <c r="C124" s="11"/>
      <c r="D124" s="15"/>
      <c r="I124" s="27"/>
    </row>
    <row r="125" spans="1:9" x14ac:dyDescent="0.2">
      <c r="A125" s="11"/>
      <c r="B125" s="14"/>
      <c r="C125" s="14"/>
      <c r="D125" s="19"/>
      <c r="I125" s="27"/>
    </row>
    <row r="126" spans="1:9" x14ac:dyDescent="0.2">
      <c r="A126" s="11"/>
      <c r="B126" s="11"/>
      <c r="C126" s="11"/>
      <c r="D126" s="19"/>
      <c r="I126" s="27"/>
    </row>
    <row r="127" spans="1:9" x14ac:dyDescent="0.2">
      <c r="A127" s="11"/>
      <c r="B127" s="11"/>
      <c r="C127" s="11"/>
      <c r="D127" s="19"/>
      <c r="I127" s="27"/>
    </row>
    <row r="128" spans="1:9" x14ac:dyDescent="0.2">
      <c r="A128" s="16"/>
      <c r="D128" s="19"/>
      <c r="I128" s="27"/>
    </row>
    <row r="129" spans="1:9" x14ac:dyDescent="0.2">
      <c r="A129" s="11"/>
      <c r="B129" s="11"/>
      <c r="C129" s="11"/>
      <c r="D129" s="19"/>
      <c r="I129" s="27"/>
    </row>
    <row r="130" spans="1:9" x14ac:dyDescent="0.2">
      <c r="A130" s="11"/>
      <c r="B130" s="14"/>
      <c r="C130" s="14"/>
      <c r="D130" s="19"/>
      <c r="I130" s="27"/>
    </row>
    <row r="131" spans="1:9" x14ac:dyDescent="0.2">
      <c r="A131" s="11"/>
      <c r="B131" s="11"/>
      <c r="C131" s="11"/>
      <c r="D131" s="19"/>
      <c r="I131" s="27"/>
    </row>
    <row r="132" spans="1:9" x14ac:dyDescent="0.2">
      <c r="A132" s="11"/>
      <c r="B132" s="11"/>
      <c r="C132" s="11"/>
      <c r="D132" s="19"/>
      <c r="I132" s="27"/>
    </row>
    <row r="133" spans="1:9" x14ac:dyDescent="0.2">
      <c r="A133" s="11"/>
      <c r="B133" s="11"/>
      <c r="C133" s="11"/>
      <c r="D133" s="19"/>
      <c r="I133" s="27"/>
    </row>
    <row r="134" spans="1:9" x14ac:dyDescent="0.2">
      <c r="A134" s="11"/>
      <c r="B134" s="11"/>
      <c r="C134" s="11"/>
      <c r="D134" s="19"/>
      <c r="I134" s="27"/>
    </row>
    <row r="135" spans="1:9" x14ac:dyDescent="0.2">
      <c r="A135" s="11"/>
      <c r="B135" s="11"/>
      <c r="C135" s="11"/>
      <c r="D135" s="19"/>
      <c r="I135" s="27"/>
    </row>
    <row r="136" spans="1:9" x14ac:dyDescent="0.2">
      <c r="A136" s="11"/>
      <c r="B136" s="11"/>
      <c r="C136" s="11"/>
      <c r="D136" s="19"/>
      <c r="I136" s="27"/>
    </row>
    <row r="137" spans="1:9" x14ac:dyDescent="0.2">
      <c r="A137" s="11"/>
      <c r="B137" s="11"/>
      <c r="C137" s="11"/>
      <c r="D137" s="19"/>
      <c r="I137" s="27"/>
    </row>
    <row r="138" spans="1:9" x14ac:dyDescent="0.2">
      <c r="A138" s="11"/>
      <c r="B138" s="11"/>
      <c r="C138" s="11"/>
      <c r="D138" s="19"/>
      <c r="I138" s="27"/>
    </row>
    <row r="139" spans="1:9" x14ac:dyDescent="0.2">
      <c r="A139" s="11"/>
      <c r="B139" s="11"/>
      <c r="C139" s="11"/>
      <c r="D139" s="19"/>
      <c r="I139" s="27"/>
    </row>
    <row r="140" spans="1:9" x14ac:dyDescent="0.2">
      <c r="A140" s="11"/>
      <c r="B140" s="11"/>
      <c r="C140" s="11"/>
      <c r="D140" s="19"/>
      <c r="I140" s="27"/>
    </row>
    <row r="141" spans="1:9" x14ac:dyDescent="0.2">
      <c r="A141" s="11"/>
      <c r="B141" s="11"/>
      <c r="C141" s="11"/>
      <c r="D141" s="19"/>
      <c r="I141" s="27"/>
    </row>
    <row r="142" spans="1:9" x14ac:dyDescent="0.2">
      <c r="A142" s="11"/>
      <c r="B142" s="11"/>
      <c r="C142" s="11"/>
      <c r="D142" s="19"/>
      <c r="I142" s="27"/>
    </row>
    <row r="143" spans="1:9" x14ac:dyDescent="0.2">
      <c r="A143" s="11"/>
      <c r="B143" s="11"/>
      <c r="C143" s="11"/>
      <c r="D143" s="19"/>
      <c r="I143" s="27"/>
    </row>
    <row r="144" spans="1:9" x14ac:dyDescent="0.2">
      <c r="A144" s="11"/>
      <c r="B144" s="11"/>
      <c r="C144" s="11"/>
      <c r="D144" s="19"/>
      <c r="I144" s="27"/>
    </row>
    <row r="145" spans="1:9" x14ac:dyDescent="0.2">
      <c r="A145" s="11"/>
      <c r="B145" s="11"/>
      <c r="C145" s="11"/>
      <c r="D145" s="19"/>
      <c r="I145" s="27"/>
    </row>
    <row r="146" spans="1:9" x14ac:dyDescent="0.2">
      <c r="A146" s="11"/>
      <c r="B146" s="11"/>
      <c r="C146" s="11"/>
      <c r="D146" s="19"/>
      <c r="I146" s="27"/>
    </row>
    <row r="147" spans="1:9" x14ac:dyDescent="0.2">
      <c r="A147" s="11"/>
      <c r="B147" s="11"/>
      <c r="C147" s="11"/>
      <c r="D147" s="19"/>
      <c r="I147" s="27"/>
    </row>
    <row r="148" spans="1:9" x14ac:dyDescent="0.2">
      <c r="A148" s="11"/>
      <c r="B148" s="11"/>
      <c r="C148" s="11"/>
      <c r="D148" s="19"/>
      <c r="I148" s="27"/>
    </row>
    <row r="149" spans="1:9" x14ac:dyDescent="0.2">
      <c r="A149" s="11"/>
      <c r="B149" s="11"/>
      <c r="C149" s="11"/>
      <c r="D149" s="19"/>
      <c r="I149" s="27"/>
    </row>
    <row r="150" spans="1:9" x14ac:dyDescent="0.2">
      <c r="A150" s="11"/>
      <c r="B150" s="11"/>
      <c r="C150" s="11"/>
      <c r="D150" s="19"/>
      <c r="I150" s="27"/>
    </row>
    <row r="151" spans="1:9" x14ac:dyDescent="0.2">
      <c r="A151" s="11"/>
      <c r="B151" s="11"/>
      <c r="C151" s="11"/>
      <c r="D151" s="19"/>
      <c r="I151" s="27"/>
    </row>
    <row r="152" spans="1:9" x14ac:dyDescent="0.2">
      <c r="A152" s="11"/>
      <c r="B152" s="11"/>
      <c r="C152" s="11"/>
      <c r="D152" s="19"/>
      <c r="I152" s="27"/>
    </row>
    <row r="153" spans="1:9" x14ac:dyDescent="0.2">
      <c r="A153" s="11"/>
      <c r="B153" s="11"/>
      <c r="C153" s="11"/>
      <c r="D153" s="19"/>
      <c r="I153" s="27"/>
    </row>
    <row r="154" spans="1:9" x14ac:dyDescent="0.2">
      <c r="A154" s="11"/>
      <c r="B154" s="11"/>
      <c r="C154" s="11"/>
      <c r="D154" s="19"/>
      <c r="I154" s="27"/>
    </row>
    <row r="155" spans="1:9" x14ac:dyDescent="0.2">
      <c r="A155" s="11"/>
      <c r="B155" s="11"/>
      <c r="C155" s="11"/>
      <c r="D155" s="19"/>
      <c r="I155" s="27"/>
    </row>
    <row r="156" spans="1:9" x14ac:dyDescent="0.2">
      <c r="A156" s="11"/>
      <c r="B156" s="11"/>
      <c r="C156" s="11"/>
      <c r="D156" s="19"/>
      <c r="I156" s="27"/>
    </row>
    <row r="157" spans="1:9" x14ac:dyDescent="0.2">
      <c r="A157" s="11"/>
      <c r="B157" s="11"/>
      <c r="C157" s="11"/>
      <c r="D157" s="19"/>
      <c r="I157" s="27"/>
    </row>
    <row r="158" spans="1:9" x14ac:dyDescent="0.2">
      <c r="A158" s="11"/>
      <c r="B158" s="11"/>
      <c r="C158" s="11"/>
      <c r="D158" s="19"/>
      <c r="I158" s="27"/>
    </row>
    <row r="159" spans="1:9" x14ac:dyDescent="0.2">
      <c r="A159" s="11"/>
      <c r="B159" s="11"/>
      <c r="C159" s="11"/>
      <c r="D159" s="19"/>
      <c r="I159" s="27"/>
    </row>
    <row r="160" spans="1:9" x14ac:dyDescent="0.2">
      <c r="A160" s="11"/>
      <c r="B160" s="11"/>
      <c r="C160" s="11"/>
      <c r="D160" s="19"/>
      <c r="I160" s="27"/>
    </row>
    <row r="161" spans="1:9" x14ac:dyDescent="0.2">
      <c r="A161" s="11"/>
      <c r="B161" s="11"/>
      <c r="C161" s="11"/>
      <c r="D161" s="19"/>
      <c r="I161" s="27"/>
    </row>
    <row r="162" spans="1:9" x14ac:dyDescent="0.2">
      <c r="A162" s="11"/>
      <c r="B162" s="11"/>
      <c r="C162" s="11"/>
      <c r="D162" s="19"/>
      <c r="I162" s="27"/>
    </row>
    <row r="163" spans="1:9" x14ac:dyDescent="0.2">
      <c r="A163" s="11"/>
      <c r="B163" s="11"/>
      <c r="C163" s="11"/>
      <c r="D163" s="19"/>
      <c r="I163" s="27"/>
    </row>
    <row r="164" spans="1:9" x14ac:dyDescent="0.2">
      <c r="A164" s="11"/>
      <c r="B164" s="11"/>
      <c r="C164" s="11"/>
      <c r="D164" s="19"/>
      <c r="I164" s="27"/>
    </row>
    <row r="165" spans="1:9" x14ac:dyDescent="0.2">
      <c r="A165" s="11"/>
      <c r="B165" s="11"/>
      <c r="C165" s="11"/>
      <c r="D165" s="19"/>
      <c r="I165" s="27"/>
    </row>
    <row r="166" spans="1:9" x14ac:dyDescent="0.2">
      <c r="A166" s="11"/>
      <c r="B166" s="11"/>
      <c r="C166" s="11"/>
      <c r="D166" s="19"/>
      <c r="I166" s="27"/>
    </row>
    <row r="167" spans="1:9" x14ac:dyDescent="0.2">
      <c r="A167" s="11"/>
      <c r="B167" s="11"/>
      <c r="C167" s="11"/>
      <c r="D167" s="19"/>
      <c r="I167" s="27"/>
    </row>
    <row r="168" spans="1:9" x14ac:dyDescent="0.2">
      <c r="A168" s="11"/>
      <c r="B168" s="11"/>
      <c r="C168" s="11"/>
      <c r="D168" s="19"/>
      <c r="I168" s="27"/>
    </row>
    <row r="169" spans="1:9" x14ac:dyDescent="0.2">
      <c r="A169" s="11"/>
      <c r="B169" s="11"/>
      <c r="C169" s="11"/>
      <c r="D169" s="19"/>
      <c r="I169" s="27"/>
    </row>
    <row r="170" spans="1:9" x14ac:dyDescent="0.2">
      <c r="A170" s="11"/>
      <c r="B170" s="11"/>
      <c r="C170" s="11"/>
      <c r="D170" s="19"/>
      <c r="I170" s="27"/>
    </row>
    <row r="171" spans="1:9" x14ac:dyDescent="0.2">
      <c r="A171" s="11"/>
      <c r="B171" s="11"/>
      <c r="C171" s="11"/>
      <c r="D171" s="19"/>
      <c r="I171" s="27"/>
    </row>
    <row r="172" spans="1:9" x14ac:dyDescent="0.2">
      <c r="A172" s="11"/>
      <c r="B172" s="11"/>
      <c r="C172" s="11"/>
      <c r="D172" s="19"/>
      <c r="I172" s="27"/>
    </row>
    <row r="173" spans="1:9" x14ac:dyDescent="0.2">
      <c r="A173" s="11"/>
      <c r="B173" s="11"/>
      <c r="C173" s="11"/>
      <c r="D173" s="19"/>
      <c r="I173" s="27"/>
    </row>
    <row r="174" spans="1:9" x14ac:dyDescent="0.2">
      <c r="A174" s="11"/>
      <c r="B174" s="11"/>
      <c r="C174" s="11"/>
      <c r="D174" s="19"/>
      <c r="I174" s="27"/>
    </row>
    <row r="175" spans="1:9" x14ac:dyDescent="0.2">
      <c r="A175" s="11"/>
      <c r="B175" s="11"/>
      <c r="C175" s="11"/>
      <c r="D175" s="19"/>
      <c r="I175" s="27"/>
    </row>
    <row r="176" spans="1:9" x14ac:dyDescent="0.2">
      <c r="A176" s="11"/>
      <c r="B176" s="11"/>
      <c r="C176" s="11"/>
      <c r="D176" s="19"/>
      <c r="I176" s="27"/>
    </row>
    <row r="177" spans="1:9" x14ac:dyDescent="0.2">
      <c r="A177" s="11"/>
      <c r="B177" s="11"/>
      <c r="C177" s="11"/>
      <c r="D177" s="19"/>
      <c r="I177" s="27"/>
    </row>
    <row r="178" spans="1:9" x14ac:dyDescent="0.2">
      <c r="A178" s="11"/>
      <c r="B178" s="11"/>
      <c r="C178" s="11"/>
      <c r="D178" s="19"/>
      <c r="I178" s="27"/>
    </row>
    <row r="179" spans="1:9" x14ac:dyDescent="0.2">
      <c r="A179" s="11"/>
      <c r="B179" s="11"/>
      <c r="C179" s="11"/>
      <c r="D179" s="19"/>
      <c r="I179" s="27"/>
    </row>
    <row r="180" spans="1:9" x14ac:dyDescent="0.2">
      <c r="A180" s="11"/>
      <c r="B180" s="11"/>
      <c r="C180" s="11"/>
      <c r="D180" s="19"/>
      <c r="I180" s="27"/>
    </row>
    <row r="181" spans="1:9" x14ac:dyDescent="0.2">
      <c r="A181" s="11"/>
      <c r="B181" s="11"/>
      <c r="C181" s="11"/>
      <c r="D181" s="19"/>
      <c r="I181" s="27"/>
    </row>
    <row r="182" spans="1:9" x14ac:dyDescent="0.2">
      <c r="A182" s="11"/>
      <c r="B182" s="11"/>
      <c r="C182" s="11"/>
      <c r="D182" s="19"/>
      <c r="I182" s="27"/>
    </row>
    <row r="183" spans="1:9" x14ac:dyDescent="0.2">
      <c r="A183" s="11"/>
      <c r="B183" s="11"/>
      <c r="C183" s="11"/>
      <c r="D183" s="19"/>
      <c r="I183" s="27"/>
    </row>
    <row r="184" spans="1:9" x14ac:dyDescent="0.2">
      <c r="A184" s="11"/>
      <c r="B184" s="11"/>
      <c r="C184" s="11"/>
      <c r="D184" s="19"/>
      <c r="I184" s="27"/>
    </row>
    <row r="185" spans="1:9" x14ac:dyDescent="0.2">
      <c r="A185" s="11"/>
      <c r="B185" s="11"/>
      <c r="C185" s="11"/>
      <c r="D185" s="19"/>
      <c r="I185" s="27"/>
    </row>
    <row r="186" spans="1:9" x14ac:dyDescent="0.2">
      <c r="A186" s="11"/>
      <c r="B186" s="11"/>
      <c r="C186" s="11"/>
      <c r="D186" s="19"/>
      <c r="I186" s="27"/>
    </row>
    <row r="187" spans="1:9" x14ac:dyDescent="0.2">
      <c r="A187" s="11"/>
      <c r="B187" s="11"/>
      <c r="C187" s="11"/>
      <c r="D187" s="19"/>
      <c r="I187" s="27"/>
    </row>
    <row r="188" spans="1:9" x14ac:dyDescent="0.2">
      <c r="A188" s="11"/>
      <c r="B188" s="11"/>
      <c r="C188" s="11"/>
      <c r="D188" s="19"/>
      <c r="I188" s="27"/>
    </row>
    <row r="189" spans="1:9" x14ac:dyDescent="0.2">
      <c r="A189" s="11"/>
      <c r="B189" s="11"/>
      <c r="C189" s="11"/>
      <c r="D189" s="19"/>
      <c r="I189" s="27"/>
    </row>
    <row r="190" spans="1:9" x14ac:dyDescent="0.2">
      <c r="A190" s="11"/>
      <c r="B190" s="11"/>
      <c r="C190" s="11"/>
      <c r="D190" s="19"/>
      <c r="I190" s="27"/>
    </row>
    <row r="191" spans="1:9" x14ac:dyDescent="0.2">
      <c r="A191" s="11"/>
      <c r="B191" s="11"/>
      <c r="C191" s="11"/>
      <c r="D191" s="19"/>
      <c r="I191" s="27"/>
    </row>
    <row r="192" spans="1:9" x14ac:dyDescent="0.2">
      <c r="A192" s="11"/>
      <c r="B192" s="11"/>
      <c r="C192" s="11"/>
      <c r="D192" s="19"/>
      <c r="I192" s="27"/>
    </row>
    <row r="193" spans="1:9" x14ac:dyDescent="0.2">
      <c r="A193" s="11"/>
      <c r="B193" s="11"/>
      <c r="C193" s="11"/>
      <c r="D193" s="19"/>
      <c r="I193" s="27"/>
    </row>
    <row r="194" spans="1:9" x14ac:dyDescent="0.2">
      <c r="A194" s="11"/>
      <c r="B194" s="11"/>
      <c r="C194" s="11"/>
      <c r="D194" s="19"/>
      <c r="I194" s="27"/>
    </row>
    <row r="195" spans="1:9" x14ac:dyDescent="0.2">
      <c r="A195" s="11"/>
      <c r="B195" s="11"/>
      <c r="C195" s="11"/>
      <c r="D195" s="19"/>
      <c r="I195" s="27"/>
    </row>
    <row r="196" spans="1:9" x14ac:dyDescent="0.2">
      <c r="A196" s="11"/>
      <c r="B196" s="11"/>
      <c r="C196" s="11"/>
      <c r="D196" s="19"/>
      <c r="I196" s="27"/>
    </row>
    <row r="197" spans="1:9" x14ac:dyDescent="0.2">
      <c r="A197" s="11"/>
      <c r="B197" s="11"/>
      <c r="C197" s="11"/>
      <c r="D197" s="19"/>
      <c r="I197" s="27"/>
    </row>
    <row r="198" spans="1:9" x14ac:dyDescent="0.2">
      <c r="A198" s="11"/>
      <c r="B198" s="11"/>
      <c r="C198" s="11"/>
      <c r="D198" s="19"/>
      <c r="I198" s="27"/>
    </row>
    <row r="199" spans="1:9" x14ac:dyDescent="0.2">
      <c r="A199" s="11"/>
      <c r="B199" s="11"/>
      <c r="C199" s="11"/>
      <c r="D199" s="19"/>
      <c r="I199" s="27"/>
    </row>
    <row r="200" spans="1:9" x14ac:dyDescent="0.2">
      <c r="A200" s="11"/>
      <c r="B200" s="11"/>
      <c r="C200" s="11"/>
      <c r="D200" s="19"/>
      <c r="I200" s="27"/>
    </row>
    <row r="201" spans="1:9" x14ac:dyDescent="0.2">
      <c r="A201" s="11"/>
      <c r="B201" s="11"/>
      <c r="C201" s="11"/>
      <c r="D201" s="19"/>
      <c r="I201" s="27"/>
    </row>
    <row r="202" spans="1:9" x14ac:dyDescent="0.2">
      <c r="A202" s="11"/>
      <c r="B202" s="11"/>
      <c r="C202" s="11"/>
      <c r="D202" s="19"/>
      <c r="I202" s="27"/>
    </row>
    <row r="203" spans="1:9" x14ac:dyDescent="0.2">
      <c r="A203" s="11"/>
      <c r="B203" s="11"/>
      <c r="C203" s="11"/>
      <c r="D203" s="19"/>
      <c r="I203" s="27"/>
    </row>
    <row r="204" spans="1:9" x14ac:dyDescent="0.2">
      <c r="A204" s="11"/>
      <c r="B204" s="11"/>
      <c r="C204" s="11"/>
      <c r="D204" s="19"/>
      <c r="I204" s="27"/>
    </row>
    <row r="205" spans="1:9" x14ac:dyDescent="0.2">
      <c r="A205" s="11"/>
      <c r="B205" s="11"/>
      <c r="C205" s="11"/>
      <c r="D205" s="19"/>
      <c r="I205" s="27"/>
    </row>
    <row r="206" spans="1:9" x14ac:dyDescent="0.2">
      <c r="A206" s="11"/>
      <c r="B206" s="11"/>
      <c r="C206" s="11"/>
      <c r="D206" s="19"/>
      <c r="I206" s="27"/>
    </row>
    <row r="207" spans="1:9" x14ac:dyDescent="0.2">
      <c r="A207" s="11"/>
      <c r="B207" s="11"/>
      <c r="C207" s="11"/>
      <c r="D207" s="19"/>
      <c r="I207" s="27"/>
    </row>
    <row r="208" spans="1:9" x14ac:dyDescent="0.2">
      <c r="A208" s="11"/>
      <c r="B208" s="11"/>
      <c r="C208" s="11"/>
      <c r="D208" s="19"/>
      <c r="I208" s="27"/>
    </row>
    <row r="209" spans="1:9" x14ac:dyDescent="0.2">
      <c r="A209" s="11"/>
      <c r="B209" s="11"/>
      <c r="C209" s="11"/>
      <c r="D209" s="19"/>
      <c r="I209" s="27"/>
    </row>
    <row r="210" spans="1:9" x14ac:dyDescent="0.2">
      <c r="A210" s="11"/>
      <c r="B210" s="11"/>
      <c r="C210" s="11"/>
      <c r="D210" s="19"/>
      <c r="I210" s="27"/>
    </row>
    <row r="211" spans="1:9" x14ac:dyDescent="0.2">
      <c r="A211" s="11"/>
      <c r="B211" s="11"/>
      <c r="C211" s="11"/>
      <c r="D211" s="19"/>
      <c r="I211" s="27"/>
    </row>
    <row r="212" spans="1:9" x14ac:dyDescent="0.2">
      <c r="A212" s="11"/>
      <c r="B212" s="11"/>
      <c r="C212" s="11"/>
      <c r="D212" s="19"/>
      <c r="I212" s="27"/>
    </row>
    <row r="213" spans="1:9" x14ac:dyDescent="0.2">
      <c r="A213" s="11"/>
      <c r="B213" s="14"/>
      <c r="C213" s="14"/>
      <c r="D213" s="19"/>
      <c r="I213" s="27"/>
    </row>
    <row r="214" spans="1:9" x14ac:dyDescent="0.2">
      <c r="A214" s="11"/>
      <c r="B214" s="11"/>
      <c r="C214" s="11"/>
      <c r="D214" s="19"/>
      <c r="I214" s="27"/>
    </row>
    <row r="215" spans="1:9" x14ac:dyDescent="0.2">
      <c r="A215" s="11"/>
      <c r="B215" s="11"/>
      <c r="C215" s="11"/>
      <c r="D215" s="19"/>
      <c r="I215" s="27"/>
    </row>
    <row r="216" spans="1:9" x14ac:dyDescent="0.2">
      <c r="A216" s="11"/>
      <c r="B216" s="11"/>
      <c r="C216" s="11"/>
      <c r="D216" s="19"/>
      <c r="I216" s="27"/>
    </row>
    <row r="217" spans="1:9" x14ac:dyDescent="0.2">
      <c r="A217" s="11"/>
      <c r="B217" s="11"/>
      <c r="C217" s="11"/>
      <c r="D217" s="19"/>
      <c r="I217" s="27"/>
    </row>
    <row r="218" spans="1:9" x14ac:dyDescent="0.2">
      <c r="A218" s="11"/>
      <c r="B218" s="11"/>
      <c r="C218" s="11"/>
      <c r="D218" s="19"/>
      <c r="I218" s="27"/>
    </row>
    <row r="219" spans="1:9" x14ac:dyDescent="0.2">
      <c r="A219" s="11"/>
      <c r="B219" s="11"/>
      <c r="C219" s="11"/>
      <c r="D219" s="19"/>
      <c r="I219" s="27"/>
    </row>
    <row r="220" spans="1:9" x14ac:dyDescent="0.2">
      <c r="A220" s="11"/>
      <c r="B220" s="11"/>
      <c r="C220" s="11"/>
      <c r="D220" s="19"/>
      <c r="I220" s="27"/>
    </row>
    <row r="221" spans="1:9" x14ac:dyDescent="0.2">
      <c r="A221" s="11"/>
      <c r="B221" s="11"/>
      <c r="C221" s="11"/>
      <c r="D221" s="19"/>
      <c r="I221" s="27"/>
    </row>
    <row r="222" spans="1:9" x14ac:dyDescent="0.2">
      <c r="A222" s="11"/>
      <c r="B222" s="11"/>
      <c r="C222" s="11"/>
      <c r="D222" s="19"/>
      <c r="I222" s="27"/>
    </row>
    <row r="223" spans="1:9" x14ac:dyDescent="0.2">
      <c r="A223" s="11"/>
      <c r="B223" s="11"/>
      <c r="C223" s="11"/>
      <c r="D223" s="19"/>
      <c r="I223" s="27"/>
    </row>
    <row r="224" spans="1:9" x14ac:dyDescent="0.2">
      <c r="A224" s="11"/>
      <c r="B224" s="11"/>
      <c r="C224" s="11"/>
      <c r="D224" s="19"/>
      <c r="I224" s="27"/>
    </row>
    <row r="225" spans="1:9" x14ac:dyDescent="0.2">
      <c r="A225" s="11"/>
      <c r="B225" s="11"/>
      <c r="C225" s="11"/>
      <c r="D225" s="19"/>
      <c r="I225" s="27"/>
    </row>
    <row r="226" spans="1:9" x14ac:dyDescent="0.2">
      <c r="A226" s="11"/>
      <c r="B226" s="11"/>
      <c r="C226" s="11"/>
      <c r="D226" s="19"/>
      <c r="I226" s="27"/>
    </row>
    <row r="227" spans="1:9" x14ac:dyDescent="0.2">
      <c r="A227" s="11"/>
      <c r="B227" s="11"/>
      <c r="C227" s="11"/>
      <c r="D227" s="19"/>
      <c r="I227" s="27"/>
    </row>
    <row r="228" spans="1:9" x14ac:dyDescent="0.2">
      <c r="A228" s="11"/>
      <c r="B228" s="11"/>
      <c r="C228" s="11"/>
      <c r="D228" s="19"/>
      <c r="I228" s="27"/>
    </row>
    <row r="229" spans="1:9" x14ac:dyDescent="0.2">
      <c r="A229" s="11"/>
      <c r="B229" s="11"/>
      <c r="C229" s="11"/>
      <c r="D229" s="19"/>
      <c r="I229" s="27"/>
    </row>
    <row r="230" spans="1:9" x14ac:dyDescent="0.2">
      <c r="A230" s="11"/>
      <c r="B230" s="11"/>
      <c r="C230" s="11"/>
      <c r="D230" s="19"/>
      <c r="I230" s="27"/>
    </row>
    <row r="231" spans="1:9" x14ac:dyDescent="0.2">
      <c r="A231" s="11"/>
      <c r="B231" s="11"/>
      <c r="C231" s="11"/>
      <c r="D231" s="19"/>
      <c r="I231" s="27"/>
    </row>
    <row r="232" spans="1:9" x14ac:dyDescent="0.2">
      <c r="A232" s="11"/>
      <c r="B232" s="11"/>
      <c r="C232" s="11"/>
      <c r="D232" s="19"/>
      <c r="I232" s="27"/>
    </row>
    <row r="233" spans="1:9" x14ac:dyDescent="0.2">
      <c r="A233" s="11"/>
      <c r="B233" s="11"/>
      <c r="C233" s="11"/>
      <c r="D233" s="19"/>
      <c r="I233" s="27"/>
    </row>
    <row r="234" spans="1:9" x14ac:dyDescent="0.2">
      <c r="A234" s="11"/>
      <c r="B234" s="11"/>
      <c r="C234" s="11"/>
      <c r="D234" s="19"/>
      <c r="I234" s="27"/>
    </row>
    <row r="235" spans="1:9" x14ac:dyDescent="0.2">
      <c r="A235" s="11"/>
      <c r="B235" s="11"/>
      <c r="C235" s="11"/>
      <c r="D235" s="19"/>
      <c r="I235" s="27"/>
    </row>
    <row r="236" spans="1:9" x14ac:dyDescent="0.2">
      <c r="A236" s="11"/>
      <c r="B236" s="11"/>
      <c r="C236" s="11"/>
      <c r="D236" s="19"/>
      <c r="I236" s="27"/>
    </row>
    <row r="237" spans="1:9" x14ac:dyDescent="0.2">
      <c r="A237" s="11"/>
      <c r="B237" s="14"/>
      <c r="C237" s="14"/>
      <c r="D237" s="19"/>
      <c r="I237" s="27"/>
    </row>
    <row r="238" spans="1:9" x14ac:dyDescent="0.2">
      <c r="A238" s="11"/>
      <c r="B238" s="11"/>
      <c r="C238" s="11"/>
      <c r="D238" s="19"/>
      <c r="I238" s="27"/>
    </row>
    <row r="239" spans="1:9" x14ac:dyDescent="0.2">
      <c r="A239" s="11"/>
      <c r="B239" s="11"/>
      <c r="C239" s="11"/>
      <c r="D239" s="19"/>
      <c r="I239" s="27"/>
    </row>
    <row r="240" spans="1:9" x14ac:dyDescent="0.2">
      <c r="A240" s="11"/>
      <c r="B240" s="11"/>
      <c r="C240" s="11"/>
      <c r="D240" s="19"/>
      <c r="I240" s="27"/>
    </row>
    <row r="241" spans="1:9" x14ac:dyDescent="0.2">
      <c r="A241" s="11"/>
      <c r="B241" s="14"/>
      <c r="C241" s="14"/>
      <c r="D241" s="19"/>
      <c r="I241" s="27"/>
    </row>
    <row r="242" spans="1:9" x14ac:dyDescent="0.2">
      <c r="A242" s="11"/>
      <c r="B242" s="11"/>
      <c r="C242" s="11"/>
      <c r="D242" s="19"/>
      <c r="I242" s="27"/>
    </row>
    <row r="243" spans="1:9" x14ac:dyDescent="0.2">
      <c r="A243" s="11"/>
      <c r="B243" s="11"/>
      <c r="C243" s="11"/>
      <c r="D243" s="19"/>
      <c r="I243" s="27"/>
    </row>
    <row r="244" spans="1:9" x14ac:dyDescent="0.2">
      <c r="A244" s="11"/>
      <c r="B244" s="11"/>
      <c r="C244" s="11"/>
      <c r="D244" s="19"/>
      <c r="I244" s="27"/>
    </row>
    <row r="245" spans="1:9" x14ac:dyDescent="0.2">
      <c r="A245" s="11"/>
      <c r="B245" s="14"/>
      <c r="C245" s="14"/>
      <c r="D245" s="19"/>
      <c r="I245" s="27"/>
    </row>
    <row r="246" spans="1:9" x14ac:dyDescent="0.2">
      <c r="A246" s="11"/>
      <c r="B246" s="11"/>
      <c r="C246" s="11"/>
      <c r="D246" s="19"/>
      <c r="I246" s="27"/>
    </row>
    <row r="247" spans="1:9" x14ac:dyDescent="0.2">
      <c r="A247" s="11"/>
      <c r="B247" s="11"/>
      <c r="C247" s="11"/>
      <c r="D247" s="19"/>
      <c r="I247" s="27"/>
    </row>
    <row r="248" spans="1:9" x14ac:dyDescent="0.2">
      <c r="A248" s="11"/>
      <c r="B248" s="14"/>
      <c r="C248" s="14"/>
      <c r="D248" s="19"/>
      <c r="I248" s="27"/>
    </row>
    <row r="249" spans="1:9" x14ac:dyDescent="0.2">
      <c r="A249" s="11"/>
      <c r="B249" s="11"/>
      <c r="C249" s="11"/>
      <c r="D249" s="19"/>
      <c r="I249" s="27"/>
    </row>
    <row r="250" spans="1:9" x14ac:dyDescent="0.2">
      <c r="A250" s="11"/>
      <c r="B250" s="11"/>
      <c r="C250" s="11"/>
      <c r="D250" s="19"/>
      <c r="I250" s="27"/>
    </row>
    <row r="251" spans="1:9" x14ac:dyDescent="0.2">
      <c r="A251" s="11"/>
      <c r="B251" s="14"/>
      <c r="C251" s="14"/>
      <c r="D251" s="19"/>
      <c r="I251" s="27"/>
    </row>
    <row r="252" spans="1:9" x14ac:dyDescent="0.2">
      <c r="A252" s="11"/>
      <c r="B252" s="11"/>
      <c r="C252" s="11"/>
      <c r="D252" s="19"/>
      <c r="I252" s="27"/>
    </row>
    <row r="253" spans="1:9" x14ac:dyDescent="0.2">
      <c r="A253" s="11"/>
      <c r="B253" s="11"/>
      <c r="C253" s="11"/>
      <c r="D253" s="19"/>
      <c r="I253" s="27"/>
    </row>
    <row r="254" spans="1:9" x14ac:dyDescent="0.2">
      <c r="A254" s="11"/>
      <c r="B254" s="11"/>
      <c r="C254" s="11"/>
      <c r="D254" s="19"/>
      <c r="I254" s="27"/>
    </row>
    <row r="255" spans="1:9" x14ac:dyDescent="0.2">
      <c r="A255" s="11"/>
      <c r="B255" s="11"/>
      <c r="C255" s="11"/>
      <c r="D255" s="19"/>
      <c r="I255" s="27"/>
    </row>
    <row r="256" spans="1:9" x14ac:dyDescent="0.2">
      <c r="A256" s="11"/>
      <c r="B256" s="11"/>
      <c r="C256" s="11"/>
      <c r="D256" s="19"/>
      <c r="I256" s="27"/>
    </row>
    <row r="257" spans="1:9" x14ac:dyDescent="0.2">
      <c r="A257" s="11"/>
      <c r="B257" s="11"/>
      <c r="C257" s="11"/>
      <c r="D257" s="19"/>
      <c r="I257" s="27"/>
    </row>
    <row r="258" spans="1:9" x14ac:dyDescent="0.2">
      <c r="A258" s="11"/>
      <c r="B258" s="11"/>
      <c r="C258" s="11"/>
      <c r="D258" s="19"/>
      <c r="I258" s="27"/>
    </row>
    <row r="259" spans="1:9" x14ac:dyDescent="0.2">
      <c r="A259" s="11"/>
      <c r="B259" s="11"/>
      <c r="C259" s="11"/>
      <c r="D259" s="19"/>
      <c r="I259" s="27"/>
    </row>
    <row r="260" spans="1:9" x14ac:dyDescent="0.2">
      <c r="A260" s="11"/>
      <c r="B260" s="11"/>
      <c r="C260" s="11"/>
      <c r="D260" s="19"/>
      <c r="I260" s="27"/>
    </row>
    <row r="261" spans="1:9" x14ac:dyDescent="0.2">
      <c r="A261" s="11"/>
      <c r="B261" s="11"/>
      <c r="C261" s="11"/>
      <c r="D261" s="19"/>
      <c r="I261" s="27"/>
    </row>
    <row r="262" spans="1:9" x14ac:dyDescent="0.2">
      <c r="A262" s="11"/>
      <c r="B262" s="11"/>
      <c r="C262" s="11"/>
      <c r="D262" s="19"/>
      <c r="I262" s="27"/>
    </row>
    <row r="263" spans="1:9" x14ac:dyDescent="0.2">
      <c r="A263" s="11"/>
      <c r="B263" s="11"/>
      <c r="C263" s="11"/>
      <c r="D263" s="19"/>
      <c r="I263" s="27"/>
    </row>
    <row r="264" spans="1:9" x14ac:dyDescent="0.2">
      <c r="A264" s="11"/>
      <c r="B264" s="11"/>
      <c r="C264" s="11"/>
      <c r="D264" s="19"/>
      <c r="I264" s="27"/>
    </row>
    <row r="265" spans="1:9" x14ac:dyDescent="0.2">
      <c r="A265" s="11"/>
      <c r="B265" s="11"/>
      <c r="C265" s="11"/>
      <c r="D265" s="19"/>
      <c r="I265" s="27"/>
    </row>
    <row r="266" spans="1:9" x14ac:dyDescent="0.2">
      <c r="A266" s="11"/>
      <c r="B266" s="14"/>
      <c r="C266" s="14"/>
      <c r="D266" s="19"/>
      <c r="I266" s="27"/>
    </row>
    <row r="267" spans="1:9" x14ac:dyDescent="0.2">
      <c r="A267" s="11"/>
      <c r="B267" s="11"/>
      <c r="C267" s="11"/>
      <c r="D267" s="19"/>
      <c r="I267" s="27"/>
    </row>
    <row r="268" spans="1:9" x14ac:dyDescent="0.2">
      <c r="A268" s="11"/>
      <c r="B268" s="11"/>
      <c r="C268" s="11"/>
      <c r="D268" s="19"/>
      <c r="I268" s="27"/>
    </row>
    <row r="269" spans="1:9" x14ac:dyDescent="0.2">
      <c r="A269" s="11"/>
      <c r="B269" s="11"/>
      <c r="C269" s="11"/>
      <c r="D269" s="19"/>
      <c r="I269" s="27"/>
    </row>
    <row r="270" spans="1:9" x14ac:dyDescent="0.2">
      <c r="A270" s="11"/>
      <c r="B270" s="14"/>
      <c r="C270" s="14"/>
      <c r="D270" s="19"/>
      <c r="I270" s="27"/>
    </row>
    <row r="271" spans="1:9" x14ac:dyDescent="0.2">
      <c r="A271" s="11"/>
      <c r="B271" s="11"/>
      <c r="C271" s="11"/>
      <c r="D271" s="19"/>
      <c r="I271" s="27"/>
    </row>
    <row r="272" spans="1:9" x14ac:dyDescent="0.2">
      <c r="A272" s="11"/>
      <c r="B272" s="11"/>
      <c r="C272" s="11"/>
      <c r="D272" s="19"/>
      <c r="I272" s="27"/>
    </row>
    <row r="273" spans="1:9" x14ac:dyDescent="0.2">
      <c r="A273" s="11"/>
      <c r="B273" s="11"/>
      <c r="C273" s="11"/>
      <c r="D273" s="19"/>
      <c r="I273" s="27"/>
    </row>
    <row r="274" spans="1:9" x14ac:dyDescent="0.2">
      <c r="A274" s="11"/>
      <c r="B274" s="14"/>
      <c r="C274" s="14"/>
      <c r="D274" s="19"/>
      <c r="I274" s="27"/>
    </row>
    <row r="275" spans="1:9" x14ac:dyDescent="0.2">
      <c r="A275" s="11"/>
      <c r="B275" s="11"/>
      <c r="C275" s="11"/>
      <c r="D275" s="19"/>
      <c r="I275" s="27"/>
    </row>
    <row r="276" spans="1:9" x14ac:dyDescent="0.2">
      <c r="A276" s="11"/>
      <c r="B276" s="14"/>
      <c r="C276" s="14"/>
      <c r="D276" s="19"/>
      <c r="I276" s="27"/>
    </row>
    <row r="277" spans="1:9" x14ac:dyDescent="0.2">
      <c r="A277" s="11"/>
      <c r="B277" s="11"/>
      <c r="C277" s="11"/>
      <c r="D277" s="19"/>
      <c r="I277" s="27"/>
    </row>
    <row r="278" spans="1:9" x14ac:dyDescent="0.2">
      <c r="A278" s="11"/>
      <c r="B278" s="11"/>
      <c r="C278" s="11"/>
      <c r="D278" s="19"/>
      <c r="I278" s="27"/>
    </row>
    <row r="279" spans="1:9" x14ac:dyDescent="0.2">
      <c r="A279" s="11"/>
      <c r="B279" s="11"/>
      <c r="C279" s="11"/>
      <c r="D279" s="19"/>
      <c r="I279" s="27"/>
    </row>
    <row r="280" spans="1:9" x14ac:dyDescent="0.2">
      <c r="A280" s="11"/>
      <c r="B280" s="11"/>
      <c r="C280" s="11"/>
      <c r="D280" s="19"/>
      <c r="I280" s="27"/>
    </row>
    <row r="281" spans="1:9" x14ac:dyDescent="0.2">
      <c r="A281" s="11"/>
      <c r="B281" s="11"/>
      <c r="C281" s="11"/>
      <c r="D281" s="19"/>
      <c r="I281" s="27"/>
    </row>
    <row r="282" spans="1:9" x14ac:dyDescent="0.2">
      <c r="A282" s="11"/>
      <c r="B282" s="11"/>
      <c r="C282" s="11"/>
      <c r="D282" s="15"/>
      <c r="I282" s="27"/>
    </row>
    <row r="283" spans="1:9" x14ac:dyDescent="0.2">
      <c r="A283" s="11"/>
      <c r="B283" s="11"/>
      <c r="C283" s="11"/>
      <c r="D283" s="19"/>
      <c r="I283" s="27"/>
    </row>
    <row r="284" spans="1:9" x14ac:dyDescent="0.2">
      <c r="A284" s="11"/>
      <c r="B284" s="11"/>
      <c r="C284" s="11"/>
      <c r="D284" s="19"/>
      <c r="I284" s="27"/>
    </row>
    <row r="285" spans="1:9" x14ac:dyDescent="0.2">
      <c r="A285" s="11"/>
      <c r="B285" s="11"/>
      <c r="C285" s="11"/>
      <c r="D285" s="19"/>
      <c r="I285" s="27"/>
    </row>
    <row r="286" spans="1:9" x14ac:dyDescent="0.2">
      <c r="A286" s="11"/>
      <c r="B286" s="11"/>
      <c r="C286" s="11"/>
      <c r="D286" s="19"/>
      <c r="I286" s="27"/>
    </row>
    <row r="287" spans="1:9" x14ac:dyDescent="0.2">
      <c r="A287" s="11"/>
      <c r="B287" s="11"/>
      <c r="C287" s="11"/>
      <c r="D287" s="19"/>
      <c r="I287" s="27"/>
    </row>
    <row r="288" spans="1:9" x14ac:dyDescent="0.2">
      <c r="A288" s="11"/>
      <c r="B288" s="11"/>
      <c r="C288" s="11"/>
      <c r="D288" s="19"/>
      <c r="I288" s="27"/>
    </row>
    <row r="289" spans="1:9" x14ac:dyDescent="0.2">
      <c r="A289" s="11"/>
      <c r="B289" s="11"/>
      <c r="C289" s="11"/>
      <c r="D289" s="19"/>
      <c r="I289" s="27"/>
    </row>
    <row r="290" spans="1:9" x14ac:dyDescent="0.2">
      <c r="A290" s="11"/>
      <c r="B290" s="11"/>
      <c r="C290" s="11"/>
      <c r="D290" s="19"/>
      <c r="I290" s="27"/>
    </row>
    <row r="291" spans="1:9" x14ac:dyDescent="0.2">
      <c r="A291" s="11"/>
      <c r="B291" s="11"/>
      <c r="C291" s="11"/>
      <c r="D291" s="19"/>
      <c r="I291" s="27"/>
    </row>
    <row r="292" spans="1:9" x14ac:dyDescent="0.2">
      <c r="A292" s="11"/>
      <c r="B292" s="11"/>
      <c r="C292" s="11"/>
      <c r="D292" s="19"/>
      <c r="I292" s="27"/>
    </row>
    <row r="293" spans="1:9" x14ac:dyDescent="0.2">
      <c r="A293" s="11"/>
      <c r="B293" s="14"/>
      <c r="C293" s="14"/>
      <c r="D293" s="19"/>
      <c r="I293" s="27"/>
    </row>
    <row r="294" spans="1:9" x14ac:dyDescent="0.2">
      <c r="A294" s="11"/>
      <c r="B294" s="11"/>
      <c r="C294" s="11"/>
      <c r="D294" s="19"/>
      <c r="I294" s="27"/>
    </row>
    <row r="295" spans="1:9" x14ac:dyDescent="0.2">
      <c r="A295" s="11"/>
      <c r="B295" s="11"/>
      <c r="C295" s="11"/>
      <c r="D295" s="19"/>
      <c r="I295" s="27"/>
    </row>
    <row r="296" spans="1:9" x14ac:dyDescent="0.2">
      <c r="A296" s="11"/>
      <c r="B296" s="11"/>
      <c r="C296" s="11"/>
      <c r="D296" s="19"/>
      <c r="I296" s="27"/>
    </row>
    <row r="297" spans="1:9" x14ac:dyDescent="0.2">
      <c r="A297" s="11"/>
      <c r="B297" s="11"/>
      <c r="C297" s="11"/>
      <c r="D297" s="19"/>
      <c r="I297" s="27"/>
    </row>
    <row r="298" spans="1:9" x14ac:dyDescent="0.2">
      <c r="A298" s="11"/>
      <c r="B298" s="11"/>
      <c r="C298" s="11"/>
      <c r="D298" s="19"/>
      <c r="I298" s="27"/>
    </row>
    <row r="299" spans="1:9" x14ac:dyDescent="0.2">
      <c r="A299" s="11"/>
      <c r="B299" s="8"/>
      <c r="C299" s="8"/>
      <c r="D299" s="19"/>
      <c r="I299" s="27"/>
    </row>
    <row r="300" spans="1:9" x14ac:dyDescent="0.2">
      <c r="A300" s="11"/>
      <c r="B300" s="11"/>
      <c r="C300" s="11"/>
      <c r="D300" s="19"/>
      <c r="I300" s="27"/>
    </row>
    <row r="301" spans="1:9" x14ac:dyDescent="0.2">
      <c r="A301" s="11"/>
      <c r="B301" s="11"/>
      <c r="C301" s="11"/>
      <c r="D301" s="19"/>
      <c r="I301" s="27"/>
    </row>
    <row r="302" spans="1:9" x14ac:dyDescent="0.2">
      <c r="A302" s="11"/>
      <c r="B302" s="11"/>
      <c r="C302" s="11"/>
      <c r="D302" s="19"/>
      <c r="I302" s="27"/>
    </row>
    <row r="303" spans="1:9" x14ac:dyDescent="0.2">
      <c r="A303" s="11"/>
      <c r="B303" s="11"/>
      <c r="C303" s="11"/>
      <c r="D303" s="19"/>
      <c r="I303" s="27"/>
    </row>
    <row r="304" spans="1:9" x14ac:dyDescent="0.2">
      <c r="A304" s="11"/>
      <c r="B304" s="11"/>
      <c r="C304" s="11"/>
      <c r="D304" s="19"/>
      <c r="I304" s="27"/>
    </row>
    <row r="305" spans="1:9" x14ac:dyDescent="0.2">
      <c r="A305" s="11"/>
      <c r="B305" s="11"/>
      <c r="C305" s="11"/>
      <c r="D305" s="19"/>
      <c r="I305" s="27"/>
    </row>
    <row r="306" spans="1:9" x14ac:dyDescent="0.2">
      <c r="A306" s="11"/>
      <c r="B306" s="11"/>
      <c r="C306" s="11"/>
      <c r="D306" s="19"/>
      <c r="I306" s="27"/>
    </row>
    <row r="307" spans="1:9" x14ac:dyDescent="0.2">
      <c r="A307" s="11"/>
      <c r="B307" s="11"/>
      <c r="C307" s="11"/>
      <c r="D307" s="19"/>
      <c r="I307" s="27"/>
    </row>
    <row r="308" spans="1:9" x14ac:dyDescent="0.2">
      <c r="A308" s="11"/>
      <c r="B308" s="11"/>
      <c r="C308" s="11"/>
      <c r="D308" s="19"/>
      <c r="I308" s="27"/>
    </row>
    <row r="309" spans="1:9" x14ac:dyDescent="0.2">
      <c r="A309" s="11"/>
      <c r="B309" s="11"/>
      <c r="C309" s="11"/>
      <c r="D309" s="19"/>
      <c r="I309" s="27"/>
    </row>
    <row r="310" spans="1:9" x14ac:dyDescent="0.2">
      <c r="A310" s="11"/>
      <c r="B310" s="11"/>
      <c r="C310" s="11"/>
      <c r="D310" s="19"/>
      <c r="I310" s="27"/>
    </row>
    <row r="311" spans="1:9" x14ac:dyDescent="0.2">
      <c r="A311" s="11"/>
      <c r="B311" s="11"/>
      <c r="C311" s="11"/>
      <c r="D311" s="19"/>
      <c r="I311" s="27"/>
    </row>
    <row r="312" spans="1:9" x14ac:dyDescent="0.2">
      <c r="A312" s="11"/>
      <c r="B312" s="11"/>
      <c r="C312" s="11"/>
      <c r="D312" s="19"/>
      <c r="I312" s="27"/>
    </row>
    <row r="313" spans="1:9" x14ac:dyDescent="0.2">
      <c r="A313" s="11"/>
      <c r="B313" s="11"/>
      <c r="C313" s="11"/>
      <c r="D313" s="19"/>
      <c r="I313" s="27"/>
    </row>
    <row r="314" spans="1:9" x14ac:dyDescent="0.2">
      <c r="A314" s="11"/>
      <c r="B314" s="11"/>
      <c r="C314" s="11"/>
      <c r="D314" s="19"/>
      <c r="I314" s="27"/>
    </row>
    <row r="315" spans="1:9" x14ac:dyDescent="0.2">
      <c r="A315" s="11"/>
      <c r="B315" s="11"/>
      <c r="C315" s="11"/>
      <c r="D315" s="19"/>
      <c r="I315" s="27"/>
    </row>
    <row r="316" spans="1:9" x14ac:dyDescent="0.2">
      <c r="A316" s="11"/>
      <c r="B316" s="11"/>
      <c r="C316" s="11"/>
      <c r="D316" s="19"/>
      <c r="I316" s="27"/>
    </row>
    <row r="317" spans="1:9" x14ac:dyDescent="0.2">
      <c r="A317" s="11"/>
      <c r="B317" s="11"/>
      <c r="C317" s="11"/>
      <c r="D317" s="19"/>
      <c r="I317" s="27"/>
    </row>
    <row r="318" spans="1:9" x14ac:dyDescent="0.2">
      <c r="A318" s="11"/>
      <c r="B318" s="11"/>
      <c r="C318" s="11"/>
      <c r="D318" s="19"/>
      <c r="I318" s="27"/>
    </row>
    <row r="319" spans="1:9" x14ac:dyDescent="0.2">
      <c r="A319" s="11"/>
      <c r="B319" s="11"/>
      <c r="C319" s="11"/>
      <c r="D319" s="19"/>
      <c r="I319" s="27"/>
    </row>
    <row r="320" spans="1:9" x14ac:dyDescent="0.2">
      <c r="A320" s="11"/>
      <c r="B320" s="11"/>
      <c r="C320" s="11"/>
      <c r="D320" s="19"/>
      <c r="I320" s="27"/>
    </row>
    <row r="321" spans="1:9" x14ac:dyDescent="0.2">
      <c r="A321" s="11"/>
      <c r="B321" s="11"/>
      <c r="C321" s="11"/>
      <c r="D321" s="19"/>
      <c r="I321" s="27"/>
    </row>
    <row r="322" spans="1:9" x14ac:dyDescent="0.2">
      <c r="A322" s="11"/>
      <c r="B322" s="11"/>
      <c r="C322" s="11"/>
      <c r="D322" s="19"/>
      <c r="I322" s="27"/>
    </row>
    <row r="323" spans="1:9" x14ac:dyDescent="0.2">
      <c r="A323" s="11"/>
      <c r="B323" s="11"/>
      <c r="C323" s="11"/>
      <c r="D323" s="19"/>
      <c r="I323" s="27"/>
    </row>
    <row r="324" spans="1:9" x14ac:dyDescent="0.2">
      <c r="A324" s="11"/>
      <c r="B324" s="11"/>
      <c r="C324" s="11"/>
      <c r="D324" s="19"/>
      <c r="I324" s="27"/>
    </row>
    <row r="325" spans="1:9" x14ac:dyDescent="0.2">
      <c r="A325" s="11"/>
      <c r="B325" s="11"/>
      <c r="C325" s="11"/>
      <c r="D325" s="19"/>
      <c r="I325" s="27"/>
    </row>
    <row r="326" spans="1:9" x14ac:dyDescent="0.2">
      <c r="A326" s="11"/>
      <c r="B326" s="11"/>
      <c r="C326" s="11"/>
      <c r="D326" s="19"/>
      <c r="I326" s="27"/>
    </row>
    <row r="327" spans="1:9" x14ac:dyDescent="0.2">
      <c r="A327" s="11"/>
      <c r="B327" s="11"/>
      <c r="C327" s="11"/>
      <c r="D327" s="19"/>
      <c r="I327" s="27"/>
    </row>
    <row r="328" spans="1:9" x14ac:dyDescent="0.2">
      <c r="A328" s="11"/>
      <c r="B328" s="11"/>
      <c r="C328" s="11"/>
      <c r="D328" s="19"/>
      <c r="I328" s="27"/>
    </row>
    <row r="329" spans="1:9" x14ac:dyDescent="0.2">
      <c r="A329" s="11"/>
      <c r="B329" s="11"/>
      <c r="C329" s="11"/>
      <c r="D329" s="19"/>
      <c r="I329" s="27"/>
    </row>
    <row r="330" spans="1:9" x14ac:dyDescent="0.2">
      <c r="A330" s="11"/>
      <c r="B330" s="11"/>
      <c r="C330" s="11"/>
      <c r="D330" s="19"/>
      <c r="I330" s="27"/>
    </row>
    <row r="331" spans="1:9" x14ac:dyDescent="0.2">
      <c r="A331" s="11"/>
      <c r="B331" s="11"/>
      <c r="C331" s="11"/>
      <c r="D331" s="19"/>
      <c r="I331" s="27"/>
    </row>
    <row r="332" spans="1:9" x14ac:dyDescent="0.2">
      <c r="A332" s="11"/>
      <c r="B332" s="11"/>
      <c r="C332" s="11"/>
      <c r="D332" s="19"/>
      <c r="I332" s="27"/>
    </row>
    <row r="333" spans="1:9" x14ac:dyDescent="0.2">
      <c r="A333" s="11"/>
      <c r="B333" s="11"/>
      <c r="C333" s="11"/>
      <c r="D333" s="19"/>
      <c r="I333" s="27"/>
    </row>
    <row r="334" spans="1:9" x14ac:dyDescent="0.2">
      <c r="A334" s="11"/>
      <c r="B334" s="11"/>
      <c r="C334" s="11"/>
      <c r="D334" s="19"/>
      <c r="I334" s="27"/>
    </row>
    <row r="335" spans="1:9" x14ac:dyDescent="0.2">
      <c r="A335" s="11"/>
      <c r="B335" s="11"/>
      <c r="C335" s="11"/>
      <c r="D335" s="19"/>
      <c r="I335" s="27"/>
    </row>
    <row r="336" spans="1:9" x14ac:dyDescent="0.2">
      <c r="A336" s="11"/>
      <c r="B336" s="11"/>
      <c r="C336" s="11"/>
      <c r="D336" s="19"/>
      <c r="I336" s="27"/>
    </row>
    <row r="337" spans="1:9" x14ac:dyDescent="0.2">
      <c r="A337" s="11"/>
      <c r="B337" s="11"/>
      <c r="C337" s="11"/>
      <c r="D337" s="19"/>
      <c r="I337" s="27"/>
    </row>
    <row r="338" spans="1:9" x14ac:dyDescent="0.2">
      <c r="A338" s="11"/>
      <c r="B338" s="11"/>
      <c r="C338" s="11"/>
      <c r="D338" s="19"/>
      <c r="I338" s="27"/>
    </row>
    <row r="339" spans="1:9" x14ac:dyDescent="0.2">
      <c r="A339" s="11"/>
      <c r="B339" s="11"/>
      <c r="C339" s="11"/>
      <c r="D339" s="19"/>
      <c r="I339" s="27"/>
    </row>
    <row r="340" spans="1:9" x14ac:dyDescent="0.2">
      <c r="A340" s="11"/>
      <c r="B340" s="11"/>
      <c r="C340" s="11"/>
      <c r="D340" s="19"/>
      <c r="I340" s="27"/>
    </row>
    <row r="341" spans="1:9" x14ac:dyDescent="0.2">
      <c r="A341" s="11"/>
      <c r="B341" s="11"/>
      <c r="C341" s="11"/>
      <c r="D341" s="19"/>
      <c r="I341" s="27"/>
    </row>
    <row r="342" spans="1:9" x14ac:dyDescent="0.2">
      <c r="A342" s="11"/>
      <c r="B342" s="11"/>
      <c r="C342" s="11"/>
      <c r="D342" s="19"/>
      <c r="I342" s="27"/>
    </row>
    <row r="343" spans="1:9" x14ac:dyDescent="0.2">
      <c r="A343" s="11"/>
      <c r="B343" s="11"/>
      <c r="C343" s="11"/>
      <c r="D343" s="19"/>
      <c r="I343" s="27"/>
    </row>
    <row r="344" spans="1:9" x14ac:dyDescent="0.2">
      <c r="A344" s="11"/>
      <c r="B344" s="11"/>
      <c r="C344" s="11"/>
      <c r="D344" s="19"/>
      <c r="I344" s="27"/>
    </row>
    <row r="345" spans="1:9" x14ac:dyDescent="0.2">
      <c r="A345" s="11"/>
      <c r="B345" s="11"/>
      <c r="C345" s="11"/>
      <c r="D345" s="19"/>
      <c r="I345" s="27"/>
    </row>
    <row r="346" spans="1:9" x14ac:dyDescent="0.2">
      <c r="A346" s="11"/>
      <c r="B346" s="11"/>
      <c r="C346" s="11"/>
      <c r="D346" s="19"/>
      <c r="I346" s="27"/>
    </row>
    <row r="347" spans="1:9" x14ac:dyDescent="0.2">
      <c r="A347" s="11"/>
      <c r="B347" s="11"/>
      <c r="C347" s="11"/>
      <c r="D347" s="19"/>
      <c r="I347" s="27"/>
    </row>
    <row r="348" spans="1:9" x14ac:dyDescent="0.2">
      <c r="A348" s="11"/>
      <c r="B348" s="11"/>
      <c r="C348" s="11"/>
      <c r="D348" s="19"/>
      <c r="I348" s="27"/>
    </row>
    <row r="349" spans="1:9" x14ac:dyDescent="0.2">
      <c r="A349" s="11"/>
      <c r="B349" s="11"/>
      <c r="C349" s="11"/>
      <c r="D349" s="19"/>
      <c r="I349" s="27"/>
    </row>
    <row r="350" spans="1:9" x14ac:dyDescent="0.2">
      <c r="A350" s="11"/>
      <c r="B350" s="11"/>
      <c r="C350" s="11"/>
      <c r="D350" s="19"/>
      <c r="I350" s="27"/>
    </row>
    <row r="351" spans="1:9" x14ac:dyDescent="0.2">
      <c r="A351" s="11"/>
      <c r="B351" s="11"/>
      <c r="C351" s="11"/>
      <c r="D351" s="19"/>
      <c r="I351" s="27"/>
    </row>
    <row r="352" spans="1:9" x14ac:dyDescent="0.2">
      <c r="A352" s="11"/>
      <c r="B352" s="11"/>
      <c r="C352" s="11"/>
      <c r="D352" s="19"/>
      <c r="I352" s="27"/>
    </row>
    <row r="353" spans="1:9" x14ac:dyDescent="0.2">
      <c r="A353" s="11"/>
      <c r="B353" s="11"/>
      <c r="C353" s="11"/>
      <c r="D353" s="19"/>
      <c r="I353" s="27"/>
    </row>
    <row r="354" spans="1:9" x14ac:dyDescent="0.2">
      <c r="A354" s="11"/>
      <c r="B354" s="11"/>
      <c r="C354" s="11"/>
      <c r="D354" s="19"/>
      <c r="I354" s="27"/>
    </row>
    <row r="355" spans="1:9" x14ac:dyDescent="0.2">
      <c r="A355" s="11"/>
      <c r="B355" s="11"/>
      <c r="C355" s="11"/>
      <c r="D355" s="19"/>
      <c r="I355" s="27"/>
    </row>
    <row r="356" spans="1:9" x14ac:dyDescent="0.2">
      <c r="A356" s="11"/>
      <c r="B356" s="11"/>
      <c r="C356" s="11"/>
      <c r="D356" s="19"/>
      <c r="I356" s="27"/>
    </row>
    <row r="357" spans="1:9" x14ac:dyDescent="0.2">
      <c r="A357" s="11"/>
      <c r="B357" s="11"/>
      <c r="C357" s="11"/>
      <c r="D357" s="19"/>
      <c r="I357" s="27"/>
    </row>
    <row r="358" spans="1:9" x14ac:dyDescent="0.2">
      <c r="A358" s="11"/>
      <c r="B358" s="11"/>
      <c r="C358" s="11"/>
      <c r="D358" s="19"/>
      <c r="I358" s="27"/>
    </row>
    <row r="359" spans="1:9" x14ac:dyDescent="0.2">
      <c r="A359" s="11"/>
      <c r="B359" s="11"/>
      <c r="C359" s="11"/>
      <c r="D359" s="19"/>
      <c r="I359" s="27"/>
    </row>
    <row r="360" spans="1:9" x14ac:dyDescent="0.2">
      <c r="A360" s="11"/>
      <c r="B360" s="11"/>
      <c r="C360" s="11"/>
      <c r="D360" s="19"/>
      <c r="I360" s="27"/>
    </row>
    <row r="361" spans="1:9" x14ac:dyDescent="0.2">
      <c r="A361" s="11"/>
      <c r="B361" s="11"/>
      <c r="C361" s="11"/>
      <c r="D361" s="19"/>
      <c r="I361" s="27"/>
    </row>
    <row r="362" spans="1:9" x14ac:dyDescent="0.2">
      <c r="A362" s="11"/>
      <c r="B362" s="11"/>
      <c r="C362" s="11"/>
      <c r="D362" s="19"/>
      <c r="I362" s="27"/>
    </row>
    <row r="363" spans="1:9" x14ac:dyDescent="0.2">
      <c r="A363" s="11"/>
      <c r="B363" s="11"/>
      <c r="C363" s="11"/>
      <c r="D363" s="19"/>
      <c r="I363" s="27"/>
    </row>
    <row r="364" spans="1:9" x14ac:dyDescent="0.2">
      <c r="A364" s="11"/>
      <c r="B364" s="11"/>
      <c r="C364" s="11"/>
      <c r="D364" s="19"/>
      <c r="I364" s="27"/>
    </row>
    <row r="365" spans="1:9" x14ac:dyDescent="0.2">
      <c r="A365" s="11"/>
      <c r="B365" s="11"/>
      <c r="C365" s="11"/>
      <c r="D365" s="19"/>
      <c r="I365" s="27"/>
    </row>
    <row r="366" spans="1:9" x14ac:dyDescent="0.2">
      <c r="A366" s="11"/>
      <c r="B366" s="11"/>
      <c r="C366" s="11"/>
      <c r="D366" s="19"/>
      <c r="I366" s="27"/>
    </row>
    <row r="367" spans="1:9" x14ac:dyDescent="0.2">
      <c r="A367" s="11"/>
      <c r="B367" s="11"/>
      <c r="C367" s="11"/>
      <c r="D367" s="19"/>
      <c r="I367" s="27"/>
    </row>
    <row r="368" spans="1:9" x14ac:dyDescent="0.2">
      <c r="A368" s="11"/>
      <c r="B368" s="11"/>
      <c r="C368" s="11"/>
      <c r="D368" s="19"/>
      <c r="I368" s="27"/>
    </row>
    <row r="369" spans="1:9" x14ac:dyDescent="0.2">
      <c r="A369" s="11"/>
      <c r="B369" s="11"/>
      <c r="C369" s="11"/>
      <c r="D369" s="19"/>
      <c r="I369" s="27"/>
    </row>
    <row r="370" spans="1:9" x14ac:dyDescent="0.2">
      <c r="A370" s="11"/>
      <c r="B370" s="11"/>
      <c r="C370" s="11"/>
      <c r="D370" s="19"/>
      <c r="I370" s="27"/>
    </row>
    <row r="371" spans="1:9" x14ac:dyDescent="0.2">
      <c r="A371" s="11"/>
      <c r="B371" s="11"/>
      <c r="C371" s="11"/>
      <c r="D371" s="19"/>
      <c r="I371" s="27"/>
    </row>
    <row r="372" spans="1:9" x14ac:dyDescent="0.2">
      <c r="A372" s="11"/>
      <c r="B372" s="11"/>
      <c r="C372" s="11"/>
      <c r="D372" s="19"/>
      <c r="I372" s="27"/>
    </row>
    <row r="373" spans="1:9" x14ac:dyDescent="0.2">
      <c r="A373" s="11"/>
      <c r="B373" s="11"/>
      <c r="C373" s="11"/>
      <c r="D373" s="19"/>
      <c r="I373" s="27"/>
    </row>
    <row r="374" spans="1:9" x14ac:dyDescent="0.2">
      <c r="A374" s="11"/>
      <c r="B374" s="11"/>
      <c r="C374" s="11"/>
      <c r="D374" s="19"/>
      <c r="I374" s="27"/>
    </row>
    <row r="375" spans="1:9" x14ac:dyDescent="0.2">
      <c r="A375" s="11"/>
      <c r="B375" s="11"/>
      <c r="C375" s="11"/>
      <c r="D375" s="19"/>
      <c r="I375" s="27"/>
    </row>
    <row r="376" spans="1:9" x14ac:dyDescent="0.2">
      <c r="A376" s="11"/>
      <c r="B376" s="11"/>
      <c r="C376" s="11"/>
      <c r="D376" s="19"/>
      <c r="I376" s="27"/>
    </row>
    <row r="377" spans="1:9" x14ac:dyDescent="0.2">
      <c r="A377" s="11"/>
      <c r="B377" s="11"/>
      <c r="C377" s="11"/>
      <c r="D377" s="19"/>
      <c r="I377" s="27"/>
    </row>
    <row r="378" spans="1:9" x14ac:dyDescent="0.2">
      <c r="A378" s="11"/>
      <c r="B378" s="11"/>
      <c r="C378" s="11"/>
      <c r="D378" s="19"/>
      <c r="I378" s="27"/>
    </row>
    <row r="379" spans="1:9" x14ac:dyDescent="0.2">
      <c r="A379" s="11"/>
      <c r="B379" s="11"/>
      <c r="C379" s="11"/>
      <c r="D379" s="19"/>
      <c r="I379" s="27"/>
    </row>
    <row r="380" spans="1:9" x14ac:dyDescent="0.2">
      <c r="A380" s="11"/>
      <c r="B380" s="11"/>
      <c r="C380" s="11"/>
      <c r="D380" s="19"/>
      <c r="I380" s="27"/>
    </row>
    <row r="381" spans="1:9" x14ac:dyDescent="0.2">
      <c r="A381" s="11"/>
      <c r="B381" s="11"/>
      <c r="C381" s="11"/>
      <c r="D381" s="19"/>
      <c r="I381" s="27"/>
    </row>
    <row r="382" spans="1:9" x14ac:dyDescent="0.2">
      <c r="A382" s="11"/>
      <c r="B382" s="11"/>
      <c r="C382" s="11"/>
      <c r="D382" s="19"/>
      <c r="I382" s="27"/>
    </row>
    <row r="383" spans="1:9" x14ac:dyDescent="0.2">
      <c r="A383" s="11"/>
      <c r="B383" s="11"/>
      <c r="C383" s="11"/>
      <c r="D383" s="19"/>
      <c r="I383" s="27"/>
    </row>
    <row r="384" spans="1:9" x14ac:dyDescent="0.2">
      <c r="A384" s="11"/>
      <c r="B384" s="11"/>
      <c r="C384" s="11"/>
      <c r="D384" s="19"/>
      <c r="I384" s="27"/>
    </row>
    <row r="385" spans="1:9" x14ac:dyDescent="0.2">
      <c r="A385" s="11"/>
      <c r="B385" s="11"/>
      <c r="C385" s="11"/>
      <c r="D385" s="19"/>
      <c r="I385" s="27"/>
    </row>
    <row r="386" spans="1:9" x14ac:dyDescent="0.2">
      <c r="A386" s="11"/>
      <c r="B386" s="11"/>
      <c r="C386" s="11"/>
      <c r="D386" s="19"/>
      <c r="I386" s="27"/>
    </row>
    <row r="387" spans="1:9" x14ac:dyDescent="0.2">
      <c r="A387" s="11"/>
      <c r="B387" s="11"/>
      <c r="C387" s="11"/>
      <c r="D387" s="19"/>
      <c r="I387" s="27"/>
    </row>
    <row r="388" spans="1:9" x14ac:dyDescent="0.2">
      <c r="A388" s="11"/>
      <c r="B388" s="11"/>
      <c r="C388" s="11"/>
      <c r="D388" s="19"/>
      <c r="I388" s="27"/>
    </row>
    <row r="389" spans="1:9" x14ac:dyDescent="0.2">
      <c r="A389" s="11"/>
      <c r="B389" s="11"/>
      <c r="C389" s="11"/>
      <c r="D389" s="19"/>
      <c r="I389" s="27"/>
    </row>
    <row r="390" spans="1:9" x14ac:dyDescent="0.2">
      <c r="A390" s="11"/>
      <c r="B390" s="11"/>
      <c r="C390" s="11"/>
      <c r="D390" s="19"/>
      <c r="I390" s="27"/>
    </row>
    <row r="391" spans="1:9" x14ac:dyDescent="0.2">
      <c r="A391" s="11"/>
      <c r="B391" s="11"/>
      <c r="C391" s="11"/>
      <c r="D391" s="19"/>
      <c r="I391" s="27"/>
    </row>
    <row r="392" spans="1:9" x14ac:dyDescent="0.2">
      <c r="A392" s="11"/>
      <c r="B392" s="11"/>
      <c r="C392" s="11"/>
      <c r="D392" s="19"/>
      <c r="I392" s="27"/>
    </row>
    <row r="393" spans="1:9" x14ac:dyDescent="0.2">
      <c r="A393" s="11"/>
      <c r="B393" s="11"/>
      <c r="C393" s="11"/>
      <c r="D393" s="19"/>
      <c r="I393" s="27"/>
    </row>
    <row r="394" spans="1:9" x14ac:dyDescent="0.2">
      <c r="A394" s="11"/>
      <c r="B394" s="11"/>
      <c r="C394" s="11"/>
      <c r="D394" s="19"/>
      <c r="I394" s="27"/>
    </row>
    <row r="395" spans="1:9" x14ac:dyDescent="0.2">
      <c r="A395" s="11"/>
      <c r="B395" s="11"/>
      <c r="C395" s="11"/>
      <c r="D395" s="19"/>
      <c r="I395" s="27"/>
    </row>
    <row r="396" spans="1:9" x14ac:dyDescent="0.2">
      <c r="A396" s="11"/>
      <c r="B396" s="11"/>
      <c r="C396" s="11"/>
      <c r="D396" s="19"/>
      <c r="I396" s="27"/>
    </row>
    <row r="397" spans="1:9" x14ac:dyDescent="0.2">
      <c r="A397" s="11"/>
      <c r="B397" s="11"/>
      <c r="C397" s="11"/>
      <c r="D397" s="19"/>
      <c r="I397" s="27"/>
    </row>
    <row r="398" spans="1:9" x14ac:dyDescent="0.2">
      <c r="A398" s="11"/>
      <c r="B398" s="11"/>
      <c r="C398" s="11"/>
      <c r="D398" s="19"/>
      <c r="I398" s="27"/>
    </row>
    <row r="399" spans="1:9" x14ac:dyDescent="0.2">
      <c r="A399" s="11"/>
      <c r="B399" s="11"/>
      <c r="C399" s="11"/>
      <c r="D399" s="19"/>
      <c r="I399" s="27"/>
    </row>
    <row r="400" spans="1:9" x14ac:dyDescent="0.2">
      <c r="A400" s="11"/>
      <c r="B400" s="11"/>
      <c r="C400" s="11"/>
      <c r="D400" s="19"/>
      <c r="I400" s="27"/>
    </row>
    <row r="401" spans="1:9" x14ac:dyDescent="0.2">
      <c r="A401" s="11"/>
      <c r="B401" s="11"/>
      <c r="C401" s="11"/>
      <c r="D401" s="19"/>
      <c r="I401" s="27"/>
    </row>
    <row r="402" spans="1:9" x14ac:dyDescent="0.2">
      <c r="A402" s="11"/>
      <c r="B402" s="11"/>
      <c r="C402" s="11"/>
      <c r="D402" s="19"/>
      <c r="I402" s="27"/>
    </row>
    <row r="403" spans="1:9" x14ac:dyDescent="0.2">
      <c r="A403" s="11"/>
      <c r="B403" s="11"/>
      <c r="C403" s="11"/>
      <c r="D403" s="19"/>
      <c r="I403" s="27"/>
    </row>
    <row r="404" spans="1:9" x14ac:dyDescent="0.2">
      <c r="A404" s="11"/>
      <c r="B404" s="11"/>
      <c r="C404" s="11"/>
      <c r="D404" s="19"/>
      <c r="I404" s="27"/>
    </row>
    <row r="405" spans="1:9" x14ac:dyDescent="0.2">
      <c r="A405" s="11"/>
      <c r="B405" s="11"/>
      <c r="C405" s="11"/>
      <c r="D405" s="19"/>
      <c r="I405" s="27"/>
    </row>
    <row r="406" spans="1:9" x14ac:dyDescent="0.2">
      <c r="A406" s="11"/>
      <c r="B406" s="11"/>
      <c r="C406" s="11"/>
      <c r="D406" s="19"/>
      <c r="I406" s="27"/>
    </row>
    <row r="407" spans="1:9" x14ac:dyDescent="0.2">
      <c r="A407" s="11"/>
      <c r="B407" s="11"/>
      <c r="C407" s="11"/>
      <c r="D407" s="19"/>
      <c r="I407" s="27"/>
    </row>
    <row r="408" spans="1:9" x14ac:dyDescent="0.2">
      <c r="A408" s="11"/>
      <c r="B408" s="11"/>
      <c r="C408" s="11"/>
      <c r="D408" s="19"/>
      <c r="I408" s="27"/>
    </row>
    <row r="409" spans="1:9" x14ac:dyDescent="0.2">
      <c r="A409" s="11"/>
      <c r="B409" s="11"/>
      <c r="C409" s="11"/>
      <c r="D409" s="19"/>
      <c r="I409" s="27"/>
    </row>
    <row r="410" spans="1:9" x14ac:dyDescent="0.2">
      <c r="A410" s="11"/>
      <c r="B410" s="11"/>
      <c r="C410" s="11"/>
      <c r="D410" s="19"/>
      <c r="I410" s="27"/>
    </row>
    <row r="411" spans="1:9" x14ac:dyDescent="0.2">
      <c r="A411" s="11"/>
      <c r="B411" s="11"/>
      <c r="C411" s="11"/>
      <c r="D411" s="19"/>
      <c r="I411" s="27"/>
    </row>
    <row r="412" spans="1:9" x14ac:dyDescent="0.2">
      <c r="A412" s="11"/>
      <c r="B412" s="11"/>
      <c r="C412" s="11"/>
      <c r="D412" s="19"/>
      <c r="I412" s="27"/>
    </row>
    <row r="413" spans="1:9" x14ac:dyDescent="0.2">
      <c r="A413" s="11"/>
      <c r="B413" s="11"/>
      <c r="C413" s="11"/>
      <c r="D413" s="19"/>
      <c r="I413" s="27"/>
    </row>
    <row r="414" spans="1:9" x14ac:dyDescent="0.2">
      <c r="A414" s="11"/>
      <c r="B414" s="11"/>
      <c r="C414" s="11"/>
      <c r="D414" s="19"/>
      <c r="I414" s="27"/>
    </row>
    <row r="415" spans="1:9" x14ac:dyDescent="0.2">
      <c r="A415" s="11"/>
      <c r="B415" s="11"/>
      <c r="C415" s="11"/>
      <c r="D415" s="19"/>
      <c r="I415" s="27"/>
    </row>
    <row r="416" spans="1:9" x14ac:dyDescent="0.2">
      <c r="A416" s="11"/>
      <c r="B416" s="11"/>
      <c r="C416" s="11"/>
      <c r="D416" s="19"/>
      <c r="I416" s="27"/>
    </row>
    <row r="417" spans="1:9" x14ac:dyDescent="0.2">
      <c r="A417" s="11"/>
      <c r="B417" s="11"/>
      <c r="C417" s="11"/>
      <c r="D417" s="19"/>
      <c r="I417" s="27"/>
    </row>
    <row r="418" spans="1:9" x14ac:dyDescent="0.2">
      <c r="A418" s="11"/>
      <c r="B418" s="11"/>
      <c r="C418" s="11"/>
      <c r="D418" s="19"/>
      <c r="I418" s="27"/>
    </row>
    <row r="419" spans="1:9" x14ac:dyDescent="0.2">
      <c r="A419" s="11"/>
      <c r="B419" s="11"/>
      <c r="C419" s="11"/>
      <c r="D419" s="19"/>
      <c r="I419" s="27"/>
    </row>
    <row r="420" spans="1:9" x14ac:dyDescent="0.2">
      <c r="A420" s="11"/>
      <c r="B420" s="11"/>
      <c r="C420" s="11"/>
      <c r="D420" s="19"/>
      <c r="I420" s="27"/>
    </row>
    <row r="421" spans="1:9" x14ac:dyDescent="0.2">
      <c r="A421" s="11"/>
      <c r="B421" s="11"/>
      <c r="C421" s="11"/>
      <c r="D421" s="19"/>
      <c r="I421" s="27"/>
    </row>
    <row r="422" spans="1:9" x14ac:dyDescent="0.2">
      <c r="A422" s="11"/>
      <c r="B422" s="11"/>
      <c r="C422" s="11"/>
      <c r="D422" s="19"/>
      <c r="I422" s="27"/>
    </row>
    <row r="423" spans="1:9" x14ac:dyDescent="0.2">
      <c r="A423" s="11"/>
      <c r="B423" s="11"/>
      <c r="C423" s="11"/>
      <c r="D423" s="19"/>
      <c r="I423" s="27"/>
    </row>
    <row r="424" spans="1:9" x14ac:dyDescent="0.2">
      <c r="A424" s="11"/>
      <c r="B424" s="11"/>
      <c r="C424" s="11"/>
      <c r="D424" s="19"/>
      <c r="I424" s="27"/>
    </row>
    <row r="425" spans="1:9" x14ac:dyDescent="0.2">
      <c r="A425" s="11"/>
      <c r="B425" s="11"/>
      <c r="C425" s="11"/>
      <c r="D425" s="19"/>
      <c r="I425" s="27"/>
    </row>
    <row r="426" spans="1:9" x14ac:dyDescent="0.2">
      <c r="A426" s="11"/>
      <c r="B426" s="11"/>
      <c r="C426" s="11"/>
      <c r="D426" s="19"/>
      <c r="I426" s="27"/>
    </row>
    <row r="427" spans="1:9" x14ac:dyDescent="0.2">
      <c r="A427" s="11"/>
      <c r="B427" s="11"/>
      <c r="C427" s="11"/>
      <c r="D427" s="19"/>
      <c r="I427" s="27"/>
    </row>
    <row r="428" spans="1:9" x14ac:dyDescent="0.2">
      <c r="A428" s="11"/>
      <c r="B428" s="11"/>
      <c r="C428" s="11"/>
      <c r="D428" s="19"/>
      <c r="I428" s="27"/>
    </row>
    <row r="429" spans="1:9" x14ac:dyDescent="0.2">
      <c r="A429" s="11"/>
      <c r="B429" s="11"/>
      <c r="C429" s="11"/>
      <c r="D429" s="19"/>
      <c r="I429" s="27"/>
    </row>
    <row r="430" spans="1:9" x14ac:dyDescent="0.2">
      <c r="A430" s="11"/>
      <c r="B430" s="11"/>
      <c r="C430" s="11"/>
      <c r="D430" s="19"/>
      <c r="I430" s="27"/>
    </row>
    <row r="431" spans="1:9" x14ac:dyDescent="0.2">
      <c r="A431" s="11"/>
      <c r="B431" s="11"/>
      <c r="C431" s="11"/>
      <c r="D431" s="19"/>
      <c r="I431" s="27"/>
    </row>
    <row r="432" spans="1:9" x14ac:dyDescent="0.2">
      <c r="A432" s="11"/>
      <c r="B432" s="11"/>
      <c r="C432" s="11"/>
      <c r="D432" s="19"/>
      <c r="I432" s="27"/>
    </row>
    <row r="433" spans="1:9" x14ac:dyDescent="0.2">
      <c r="A433" s="11"/>
      <c r="B433" s="11"/>
      <c r="C433" s="11"/>
      <c r="D433" s="19"/>
      <c r="I433" s="27"/>
    </row>
    <row r="434" spans="1:9" x14ac:dyDescent="0.2">
      <c r="A434" s="11"/>
      <c r="B434" s="11"/>
      <c r="C434" s="11"/>
      <c r="D434" s="19"/>
      <c r="I434" s="27"/>
    </row>
    <row r="435" spans="1:9" x14ac:dyDescent="0.2">
      <c r="A435" s="11"/>
      <c r="B435" s="11"/>
      <c r="C435" s="11"/>
      <c r="D435" s="19"/>
      <c r="I435" s="27"/>
    </row>
    <row r="436" spans="1:9" x14ac:dyDescent="0.2">
      <c r="A436" s="11"/>
      <c r="B436" s="11"/>
      <c r="C436" s="11"/>
      <c r="D436" s="19"/>
      <c r="I436" s="27"/>
    </row>
    <row r="437" spans="1:9" x14ac:dyDescent="0.2">
      <c r="A437" s="11"/>
      <c r="B437" s="11"/>
      <c r="C437" s="11"/>
      <c r="D437" s="19"/>
      <c r="I437" s="27"/>
    </row>
    <row r="438" spans="1:9" x14ac:dyDescent="0.2">
      <c r="A438" s="11"/>
      <c r="B438" s="11"/>
      <c r="C438" s="11"/>
      <c r="D438" s="19"/>
      <c r="I438" s="27"/>
    </row>
    <row r="439" spans="1:9" x14ac:dyDescent="0.2">
      <c r="A439" s="11"/>
      <c r="B439" s="11"/>
      <c r="C439" s="11"/>
      <c r="D439" s="19"/>
      <c r="I439" s="27"/>
    </row>
    <row r="440" spans="1:9" x14ac:dyDescent="0.2">
      <c r="A440" s="11"/>
      <c r="B440" s="11"/>
      <c r="C440" s="11"/>
      <c r="D440" s="19"/>
      <c r="I440" s="27"/>
    </row>
    <row r="441" spans="1:9" x14ac:dyDescent="0.2">
      <c r="A441" s="11"/>
      <c r="B441" s="11"/>
      <c r="C441" s="11"/>
      <c r="D441" s="19"/>
      <c r="I441" s="27"/>
    </row>
    <row r="442" spans="1:9" x14ac:dyDescent="0.2">
      <c r="A442" s="11"/>
      <c r="B442" s="11"/>
      <c r="C442" s="11"/>
      <c r="D442" s="19"/>
      <c r="I442" s="27"/>
    </row>
    <row r="443" spans="1:9" x14ac:dyDescent="0.2">
      <c r="A443" s="11"/>
      <c r="B443" s="11"/>
      <c r="C443" s="11"/>
      <c r="D443" s="19"/>
      <c r="I443" s="27"/>
    </row>
    <row r="444" spans="1:9" x14ac:dyDescent="0.2">
      <c r="A444" s="11"/>
      <c r="B444" s="11"/>
      <c r="C444" s="11"/>
      <c r="D444" s="19"/>
      <c r="I444" s="27"/>
    </row>
    <row r="445" spans="1:9" x14ac:dyDescent="0.2">
      <c r="A445" s="11"/>
      <c r="B445" s="11"/>
      <c r="C445" s="11"/>
      <c r="D445" s="19"/>
      <c r="I445" s="27"/>
    </row>
    <row r="446" spans="1:9" x14ac:dyDescent="0.2">
      <c r="A446" s="11"/>
      <c r="B446" s="11"/>
      <c r="C446" s="11"/>
      <c r="D446" s="19"/>
      <c r="I446" s="27"/>
    </row>
    <row r="447" spans="1:9" x14ac:dyDescent="0.2">
      <c r="A447" s="11"/>
      <c r="B447" s="11"/>
      <c r="C447" s="11"/>
      <c r="D447" s="19"/>
      <c r="I447" s="27"/>
    </row>
    <row r="448" spans="1:9" x14ac:dyDescent="0.2">
      <c r="A448" s="11"/>
      <c r="B448" s="11"/>
      <c r="C448" s="11"/>
      <c r="D448" s="19"/>
      <c r="I448" s="27"/>
    </row>
    <row r="449" spans="1:9" x14ac:dyDescent="0.2">
      <c r="A449" s="11"/>
      <c r="B449" s="11"/>
      <c r="C449" s="11"/>
      <c r="D449" s="19"/>
      <c r="I449" s="27"/>
    </row>
    <row r="450" spans="1:9" x14ac:dyDescent="0.2">
      <c r="A450" s="11"/>
      <c r="B450" s="11"/>
      <c r="C450" s="11"/>
      <c r="D450" s="19"/>
      <c r="I450" s="27"/>
    </row>
    <row r="451" spans="1:9" x14ac:dyDescent="0.2">
      <c r="A451" s="11"/>
      <c r="B451" s="11"/>
      <c r="C451" s="11"/>
      <c r="D451" s="19"/>
      <c r="I451" s="27"/>
    </row>
    <row r="452" spans="1:9" x14ac:dyDescent="0.2">
      <c r="A452" s="11"/>
      <c r="B452" s="11"/>
      <c r="C452" s="11"/>
      <c r="D452" s="19"/>
      <c r="I452" s="27"/>
    </row>
    <row r="453" spans="1:9" x14ac:dyDescent="0.2">
      <c r="A453" s="11"/>
      <c r="B453" s="11"/>
      <c r="C453" s="11"/>
      <c r="D453" s="19"/>
      <c r="I453" s="27"/>
    </row>
    <row r="454" spans="1:9" x14ac:dyDescent="0.2">
      <c r="A454" s="11"/>
      <c r="B454" s="11"/>
      <c r="C454" s="11"/>
      <c r="D454" s="19"/>
      <c r="I454" s="27"/>
    </row>
    <row r="455" spans="1:9" x14ac:dyDescent="0.2">
      <c r="A455" s="11"/>
      <c r="B455" s="14"/>
      <c r="C455" s="14"/>
      <c r="D455" s="19"/>
      <c r="I455" s="27"/>
    </row>
    <row r="456" spans="1:9" x14ac:dyDescent="0.2">
      <c r="A456" s="11"/>
      <c r="B456" s="11"/>
      <c r="C456" s="11"/>
      <c r="D456" s="19"/>
      <c r="I456" s="27"/>
    </row>
    <row r="457" spans="1:9" x14ac:dyDescent="0.2">
      <c r="A457" s="11"/>
      <c r="B457" s="11"/>
      <c r="C457" s="11"/>
      <c r="D457" s="19"/>
      <c r="I457" s="27"/>
    </row>
    <row r="458" spans="1:9" x14ac:dyDescent="0.2">
      <c r="A458" s="11"/>
      <c r="B458" s="11"/>
      <c r="C458" s="11"/>
      <c r="D458" s="19"/>
      <c r="I458" s="27"/>
    </row>
    <row r="459" spans="1:9" x14ac:dyDescent="0.2">
      <c r="A459" s="11"/>
      <c r="D459" s="19"/>
      <c r="I459" s="27"/>
    </row>
    <row r="460" spans="1:9" x14ac:dyDescent="0.2">
      <c r="A460" s="11"/>
      <c r="B460" s="11"/>
      <c r="C460" s="11"/>
      <c r="D460" s="19"/>
      <c r="I460" s="27"/>
    </row>
    <row r="461" spans="1:9" x14ac:dyDescent="0.2">
      <c r="A461" s="11"/>
      <c r="B461" s="11"/>
      <c r="C461" s="11"/>
      <c r="D461" s="19"/>
      <c r="I461" s="27"/>
    </row>
    <row r="462" spans="1:9" x14ac:dyDescent="0.2">
      <c r="A462" s="11"/>
      <c r="B462" s="11"/>
      <c r="C462" s="11"/>
      <c r="D462" s="19"/>
      <c r="I462" s="27"/>
    </row>
    <row r="463" spans="1:9" x14ac:dyDescent="0.2">
      <c r="A463" s="11"/>
      <c r="B463" s="11"/>
      <c r="C463" s="11"/>
      <c r="D463" s="19"/>
      <c r="I463" s="27"/>
    </row>
    <row r="464" spans="1:9" x14ac:dyDescent="0.2">
      <c r="A464" s="11"/>
      <c r="B464" s="11"/>
      <c r="C464" s="11"/>
      <c r="D464" s="19"/>
      <c r="I464" s="27"/>
    </row>
    <row r="465" spans="1:9" x14ac:dyDescent="0.2">
      <c r="A465" s="11"/>
      <c r="B465" s="11"/>
      <c r="C465" s="11"/>
      <c r="D465" s="19"/>
      <c r="I465" s="27"/>
    </row>
    <row r="466" spans="1:9" x14ac:dyDescent="0.2">
      <c r="A466" s="11"/>
      <c r="B466" s="11"/>
      <c r="C466" s="11"/>
      <c r="D466" s="19"/>
      <c r="I466" s="27"/>
    </row>
    <row r="467" spans="1:9" x14ac:dyDescent="0.2">
      <c r="A467" s="11"/>
      <c r="B467" s="14"/>
      <c r="C467" s="14"/>
      <c r="D467" s="19"/>
      <c r="I467" s="27"/>
    </row>
    <row r="468" spans="1:9" x14ac:dyDescent="0.2">
      <c r="A468" s="11"/>
      <c r="B468" s="11"/>
      <c r="C468" s="11"/>
      <c r="D468" s="19"/>
      <c r="I468" s="27"/>
    </row>
    <row r="469" spans="1:9" x14ac:dyDescent="0.2">
      <c r="A469" s="11"/>
      <c r="B469" s="11"/>
      <c r="C469" s="11"/>
      <c r="D469" s="19"/>
      <c r="I469" s="27"/>
    </row>
    <row r="470" spans="1:9" x14ac:dyDescent="0.2">
      <c r="A470" s="11"/>
      <c r="B470" s="14"/>
      <c r="C470" s="14"/>
      <c r="D470" s="19"/>
      <c r="I470" s="27"/>
    </row>
    <row r="471" spans="1:9" x14ac:dyDescent="0.2">
      <c r="A471" s="11"/>
      <c r="B471" s="11"/>
      <c r="C471" s="11"/>
      <c r="D471" s="19"/>
      <c r="I471" s="27"/>
    </row>
    <row r="472" spans="1:9" x14ac:dyDescent="0.2">
      <c r="A472" s="11"/>
      <c r="B472" s="14"/>
      <c r="C472" s="14"/>
      <c r="D472" s="19"/>
      <c r="I472" s="27"/>
    </row>
    <row r="473" spans="1:9" x14ac:dyDescent="0.2">
      <c r="A473" s="11"/>
      <c r="B473" s="11"/>
      <c r="C473" s="11"/>
      <c r="D473" s="19"/>
      <c r="I473" s="27"/>
    </row>
    <row r="474" spans="1:9" x14ac:dyDescent="0.2">
      <c r="A474" s="11"/>
      <c r="B474" s="14"/>
      <c r="C474" s="14"/>
      <c r="D474" s="19"/>
      <c r="I474" s="27"/>
    </row>
    <row r="475" spans="1:9" x14ac:dyDescent="0.2">
      <c r="A475" s="11"/>
      <c r="B475" s="11"/>
      <c r="C475" s="11"/>
      <c r="D475" s="19"/>
      <c r="I475" s="27"/>
    </row>
    <row r="476" spans="1:9" x14ac:dyDescent="0.2">
      <c r="A476" s="11"/>
      <c r="B476" s="11"/>
      <c r="C476" s="11"/>
      <c r="D476" s="19"/>
      <c r="I476" s="27"/>
    </row>
    <row r="477" spans="1:9" x14ac:dyDescent="0.2">
      <c r="A477" s="11"/>
      <c r="B477" s="14"/>
      <c r="C477" s="14"/>
      <c r="D477" s="19"/>
      <c r="I477" s="27"/>
    </row>
    <row r="478" spans="1:9" x14ac:dyDescent="0.2">
      <c r="A478" s="11"/>
      <c r="B478" s="11"/>
      <c r="C478" s="11"/>
      <c r="D478" s="19"/>
      <c r="I478" s="27"/>
    </row>
    <row r="479" spans="1:9" x14ac:dyDescent="0.2">
      <c r="A479" s="11"/>
      <c r="B479" s="11"/>
      <c r="C479" s="11"/>
      <c r="D479" s="19"/>
      <c r="I479" s="27"/>
    </row>
    <row r="480" spans="1:9" x14ac:dyDescent="0.2">
      <c r="A480" s="11"/>
      <c r="B480" s="11"/>
      <c r="C480" s="11"/>
      <c r="D480" s="19"/>
      <c r="I480" s="27"/>
    </row>
    <row r="481" spans="1:9" x14ac:dyDescent="0.2">
      <c r="A481" s="11"/>
      <c r="B481" s="11"/>
      <c r="C481" s="11"/>
      <c r="D481" s="19"/>
      <c r="I481" s="27"/>
    </row>
    <row r="482" spans="1:9" x14ac:dyDescent="0.2">
      <c r="A482" s="11"/>
      <c r="B482" s="11"/>
      <c r="C482" s="11"/>
      <c r="D482" s="19"/>
      <c r="I482" s="27"/>
    </row>
    <row r="483" spans="1:9" x14ac:dyDescent="0.2">
      <c r="A483" s="11"/>
      <c r="B483" s="11"/>
      <c r="C483" s="11"/>
      <c r="D483" s="19"/>
      <c r="I483" s="27"/>
    </row>
    <row r="484" spans="1:9" x14ac:dyDescent="0.2">
      <c r="A484" s="11"/>
      <c r="B484" s="11"/>
      <c r="C484" s="11"/>
      <c r="D484" s="19"/>
      <c r="I484" s="27"/>
    </row>
    <row r="485" spans="1:9" x14ac:dyDescent="0.2">
      <c r="A485" s="11"/>
      <c r="B485" s="11"/>
      <c r="C485" s="11"/>
      <c r="D485" s="19"/>
      <c r="I485" s="27"/>
    </row>
    <row r="486" spans="1:9" x14ac:dyDescent="0.2">
      <c r="A486" s="11"/>
      <c r="B486" s="11"/>
      <c r="C486" s="11"/>
      <c r="D486" s="19"/>
      <c r="I486" s="27"/>
    </row>
    <row r="487" spans="1:9" x14ac:dyDescent="0.2">
      <c r="A487" s="11"/>
      <c r="B487" s="11"/>
      <c r="C487" s="11"/>
      <c r="D487" s="19"/>
      <c r="I487" s="27"/>
    </row>
    <row r="488" spans="1:9" x14ac:dyDescent="0.2">
      <c r="A488" s="11"/>
      <c r="B488" s="11"/>
      <c r="C488" s="11"/>
      <c r="D488" s="19"/>
      <c r="I488" s="27"/>
    </row>
    <row r="489" spans="1:9" x14ac:dyDescent="0.2">
      <c r="A489" s="11"/>
      <c r="B489" s="11"/>
      <c r="C489" s="11"/>
      <c r="D489" s="19"/>
      <c r="I489" s="27"/>
    </row>
    <row r="490" spans="1:9" x14ac:dyDescent="0.2">
      <c r="A490" s="11"/>
      <c r="B490" s="11"/>
      <c r="C490" s="11"/>
      <c r="D490" s="19"/>
      <c r="I490" s="27"/>
    </row>
    <row r="491" spans="1:9" x14ac:dyDescent="0.2">
      <c r="A491" s="11"/>
      <c r="B491" s="11"/>
      <c r="C491" s="11"/>
      <c r="D491" s="19"/>
      <c r="I491" s="27"/>
    </row>
    <row r="492" spans="1:9" x14ac:dyDescent="0.2">
      <c r="A492" s="11"/>
      <c r="B492" s="11"/>
      <c r="C492" s="11"/>
      <c r="D492" s="19"/>
      <c r="I492" s="27"/>
    </row>
    <row r="493" spans="1:9" x14ac:dyDescent="0.2">
      <c r="A493" s="11"/>
      <c r="B493" s="11"/>
      <c r="C493" s="11"/>
      <c r="D493" s="19"/>
      <c r="I493" s="27"/>
    </row>
    <row r="494" spans="1:9" x14ac:dyDescent="0.2">
      <c r="A494" s="11"/>
      <c r="B494" s="11"/>
      <c r="C494" s="11"/>
      <c r="D494" s="19"/>
      <c r="I494" s="27"/>
    </row>
    <row r="495" spans="1:9" x14ac:dyDescent="0.2">
      <c r="A495" s="11"/>
      <c r="B495" s="11"/>
      <c r="C495" s="11"/>
      <c r="D495" s="19"/>
      <c r="I495" s="27"/>
    </row>
    <row r="496" spans="1:9" x14ac:dyDescent="0.2">
      <c r="A496" s="11"/>
      <c r="B496" s="11"/>
      <c r="C496" s="11"/>
      <c r="D496" s="19"/>
      <c r="I496" s="27"/>
    </row>
    <row r="497" spans="1:9" x14ac:dyDescent="0.2">
      <c r="A497" s="11"/>
      <c r="B497" s="11"/>
      <c r="C497" s="11"/>
      <c r="D497" s="19"/>
      <c r="I497" s="27"/>
    </row>
    <row r="498" spans="1:9" x14ac:dyDescent="0.2">
      <c r="A498" s="11"/>
      <c r="B498" s="11"/>
      <c r="C498" s="11"/>
      <c r="D498" s="19"/>
      <c r="I498" s="27"/>
    </row>
    <row r="499" spans="1:9" x14ac:dyDescent="0.2">
      <c r="A499" s="11"/>
      <c r="B499" s="11"/>
      <c r="C499" s="11"/>
      <c r="D499" s="19"/>
      <c r="I499" s="27"/>
    </row>
    <row r="500" spans="1:9" x14ac:dyDescent="0.2">
      <c r="A500" s="11"/>
      <c r="B500" s="11"/>
      <c r="C500" s="11"/>
      <c r="D500" s="19"/>
      <c r="I500" s="27"/>
    </row>
    <row r="501" spans="1:9" x14ac:dyDescent="0.2">
      <c r="A501" s="11"/>
      <c r="B501" s="11"/>
      <c r="C501" s="11"/>
      <c r="D501" s="19"/>
      <c r="I501" s="27"/>
    </row>
    <row r="502" spans="1:9" x14ac:dyDescent="0.2">
      <c r="A502" s="11"/>
      <c r="B502" s="11"/>
      <c r="C502" s="11"/>
      <c r="D502" s="19"/>
      <c r="I502" s="27"/>
    </row>
    <row r="503" spans="1:9" x14ac:dyDescent="0.2">
      <c r="A503" s="11"/>
      <c r="B503" s="11"/>
      <c r="C503" s="11"/>
      <c r="D503" s="19"/>
      <c r="I503" s="27"/>
    </row>
    <row r="504" spans="1:9" x14ac:dyDescent="0.2">
      <c r="A504" s="11"/>
      <c r="B504" s="11"/>
      <c r="C504" s="11"/>
      <c r="D504" s="19"/>
      <c r="I504" s="27"/>
    </row>
    <row r="505" spans="1:9" x14ac:dyDescent="0.2">
      <c r="A505" s="11"/>
      <c r="B505" s="11"/>
      <c r="C505" s="11"/>
      <c r="D505" s="19"/>
      <c r="I505" s="27"/>
    </row>
    <row r="506" spans="1:9" x14ac:dyDescent="0.2">
      <c r="A506" s="11"/>
      <c r="B506" s="11"/>
      <c r="C506" s="11"/>
      <c r="D506" s="19"/>
      <c r="I506" s="27"/>
    </row>
    <row r="507" spans="1:9" x14ac:dyDescent="0.2">
      <c r="A507" s="11"/>
      <c r="B507" s="11"/>
      <c r="C507" s="11"/>
      <c r="D507" s="19"/>
      <c r="I507" s="27"/>
    </row>
    <row r="508" spans="1:9" x14ac:dyDescent="0.2">
      <c r="A508" s="11"/>
      <c r="B508" s="11"/>
      <c r="C508" s="11"/>
      <c r="D508" s="19"/>
      <c r="I508" s="27"/>
    </row>
    <row r="509" spans="1:9" x14ac:dyDescent="0.2">
      <c r="A509" s="11"/>
      <c r="B509" s="11"/>
      <c r="C509" s="11"/>
      <c r="D509" s="19"/>
      <c r="I509" s="27"/>
    </row>
    <row r="510" spans="1:9" x14ac:dyDescent="0.2">
      <c r="A510" s="11"/>
      <c r="B510" s="11"/>
      <c r="C510" s="11"/>
      <c r="D510" s="19"/>
      <c r="I510" s="27"/>
    </row>
    <row r="511" spans="1:9" x14ac:dyDescent="0.2">
      <c r="A511" s="11"/>
      <c r="B511" s="11"/>
      <c r="C511" s="11"/>
      <c r="D511" s="19"/>
      <c r="I511" s="27"/>
    </row>
    <row r="512" spans="1:9" x14ac:dyDescent="0.2">
      <c r="A512" s="11"/>
      <c r="B512" s="11"/>
      <c r="C512" s="11"/>
      <c r="D512" s="19"/>
      <c r="I512" s="27"/>
    </row>
    <row r="513" spans="1:9" x14ac:dyDescent="0.2">
      <c r="A513" s="11"/>
      <c r="B513" s="11"/>
      <c r="C513" s="11"/>
      <c r="D513" s="19"/>
      <c r="I513" s="27"/>
    </row>
    <row r="514" spans="1:9" x14ac:dyDescent="0.2">
      <c r="A514" s="11"/>
      <c r="B514" s="11"/>
      <c r="C514" s="11"/>
      <c r="D514" s="19"/>
      <c r="I514" s="27"/>
    </row>
    <row r="515" spans="1:9" x14ac:dyDescent="0.2">
      <c r="A515" s="11"/>
      <c r="B515" s="11"/>
      <c r="C515" s="11"/>
      <c r="D515" s="19"/>
      <c r="I515" s="27"/>
    </row>
    <row r="516" spans="1:9" x14ac:dyDescent="0.2">
      <c r="A516" s="11"/>
      <c r="B516" s="11"/>
      <c r="C516" s="11"/>
      <c r="D516" s="19"/>
      <c r="I516" s="27"/>
    </row>
    <row r="517" spans="1:9" x14ac:dyDescent="0.2">
      <c r="A517" s="11"/>
      <c r="B517" s="11"/>
      <c r="C517" s="11"/>
      <c r="D517" s="19"/>
      <c r="I517" s="27"/>
    </row>
    <row r="518" spans="1:9" x14ac:dyDescent="0.2">
      <c r="A518" s="11"/>
      <c r="B518" s="11"/>
      <c r="C518" s="11"/>
      <c r="D518" s="19"/>
      <c r="I518" s="27"/>
    </row>
    <row r="519" spans="1:9" x14ac:dyDescent="0.2">
      <c r="A519" s="11"/>
      <c r="B519" s="11"/>
      <c r="C519" s="11"/>
      <c r="D519" s="19"/>
      <c r="I519" s="27"/>
    </row>
    <row r="520" spans="1:9" x14ac:dyDescent="0.2">
      <c r="A520" s="11"/>
      <c r="B520" s="11"/>
      <c r="C520" s="11"/>
      <c r="D520" s="19"/>
      <c r="I520" s="27"/>
    </row>
    <row r="521" spans="1:9" x14ac:dyDescent="0.2">
      <c r="A521" s="11"/>
      <c r="B521" s="11"/>
      <c r="C521" s="11"/>
      <c r="D521" s="19"/>
      <c r="I521" s="27"/>
    </row>
    <row r="522" spans="1:9" x14ac:dyDescent="0.2">
      <c r="A522" s="11"/>
      <c r="B522" s="11"/>
      <c r="C522" s="11"/>
      <c r="D522" s="19"/>
      <c r="I522" s="27"/>
    </row>
    <row r="523" spans="1:9" x14ac:dyDescent="0.2">
      <c r="A523" s="11"/>
      <c r="B523" s="11"/>
      <c r="C523" s="11"/>
      <c r="D523" s="19"/>
      <c r="I523" s="27"/>
    </row>
    <row r="524" spans="1:9" x14ac:dyDescent="0.2">
      <c r="A524" s="11"/>
      <c r="B524" s="11"/>
      <c r="C524" s="11"/>
      <c r="D524" s="19"/>
      <c r="I524" s="27"/>
    </row>
    <row r="525" spans="1:9" x14ac:dyDescent="0.2">
      <c r="A525" s="11"/>
      <c r="B525" s="11"/>
      <c r="C525" s="11"/>
      <c r="D525" s="19"/>
      <c r="I525" s="27"/>
    </row>
    <row r="526" spans="1:9" x14ac:dyDescent="0.2">
      <c r="A526" s="11"/>
      <c r="B526" s="11"/>
      <c r="C526" s="11"/>
      <c r="D526" s="19"/>
      <c r="I526" s="27"/>
    </row>
    <row r="527" spans="1:9" x14ac:dyDescent="0.2">
      <c r="A527" s="11"/>
      <c r="B527" s="11"/>
      <c r="C527" s="11"/>
      <c r="D527" s="19"/>
      <c r="I527" s="27"/>
    </row>
    <row r="528" spans="1:9" x14ac:dyDescent="0.2">
      <c r="A528" s="11"/>
      <c r="B528" s="11"/>
      <c r="C528" s="11"/>
      <c r="D528" s="19"/>
      <c r="I528" s="27"/>
    </row>
    <row r="529" spans="1:9" x14ac:dyDescent="0.2">
      <c r="A529" s="11"/>
      <c r="B529" s="11"/>
      <c r="C529" s="11"/>
      <c r="D529" s="19"/>
      <c r="I529" s="27"/>
    </row>
    <row r="530" spans="1:9" x14ac:dyDescent="0.2">
      <c r="A530" s="11"/>
      <c r="B530" s="11"/>
      <c r="C530" s="11"/>
      <c r="D530" s="19"/>
      <c r="I530" s="27"/>
    </row>
    <row r="531" spans="1:9" x14ac:dyDescent="0.2">
      <c r="A531" s="11"/>
      <c r="B531" s="11"/>
      <c r="C531" s="11"/>
      <c r="D531" s="19"/>
      <c r="I531" s="27"/>
    </row>
    <row r="532" spans="1:9" x14ac:dyDescent="0.2">
      <c r="A532" s="11"/>
      <c r="B532" s="11"/>
      <c r="C532" s="11"/>
      <c r="D532" s="19"/>
      <c r="I532" s="27"/>
    </row>
    <row r="533" spans="1:9" x14ac:dyDescent="0.2">
      <c r="A533" s="11"/>
      <c r="B533" s="11"/>
      <c r="C533" s="11"/>
      <c r="D533" s="19"/>
      <c r="I533" s="27"/>
    </row>
    <row r="534" spans="1:9" x14ac:dyDescent="0.2">
      <c r="A534" s="11"/>
      <c r="B534" s="11"/>
      <c r="C534" s="11"/>
      <c r="D534" s="19"/>
      <c r="I534" s="27"/>
    </row>
    <row r="535" spans="1:9" x14ac:dyDescent="0.2">
      <c r="A535" s="11"/>
      <c r="B535" s="11"/>
      <c r="C535" s="11"/>
      <c r="D535" s="19"/>
      <c r="I535" s="27"/>
    </row>
    <row r="536" spans="1:9" x14ac:dyDescent="0.2">
      <c r="A536" s="11"/>
      <c r="B536" s="11"/>
      <c r="C536" s="11"/>
      <c r="D536" s="19"/>
      <c r="I536" s="27"/>
    </row>
    <row r="537" spans="1:9" x14ac:dyDescent="0.2">
      <c r="A537" s="11"/>
      <c r="B537" s="11"/>
      <c r="C537" s="11"/>
      <c r="D537" s="19"/>
      <c r="I537" s="27"/>
    </row>
    <row r="538" spans="1:9" x14ac:dyDescent="0.2">
      <c r="A538" s="11"/>
      <c r="B538" s="11"/>
      <c r="C538" s="11"/>
      <c r="D538" s="19"/>
      <c r="I538" s="27"/>
    </row>
    <row r="539" spans="1:9" x14ac:dyDescent="0.2">
      <c r="A539" s="11"/>
      <c r="B539" s="11"/>
      <c r="C539" s="11"/>
      <c r="D539" s="19"/>
      <c r="I539" s="27"/>
    </row>
    <row r="540" spans="1:9" x14ac:dyDescent="0.2">
      <c r="A540" s="11"/>
      <c r="B540" s="11"/>
      <c r="C540" s="11"/>
      <c r="D540" s="19"/>
      <c r="I540" s="27"/>
    </row>
    <row r="541" spans="1:9" x14ac:dyDescent="0.2">
      <c r="A541" s="11"/>
      <c r="B541" s="11"/>
      <c r="C541" s="11"/>
      <c r="D541" s="19"/>
      <c r="I541" s="27"/>
    </row>
    <row r="542" spans="1:9" x14ac:dyDescent="0.2">
      <c r="A542" s="11"/>
      <c r="B542" s="11"/>
      <c r="C542" s="11"/>
      <c r="D542" s="19"/>
      <c r="I542" s="27"/>
    </row>
    <row r="543" spans="1:9" x14ac:dyDescent="0.2">
      <c r="A543" s="11"/>
      <c r="B543" s="11"/>
      <c r="C543" s="11"/>
      <c r="D543" s="19"/>
      <c r="I543" s="27"/>
    </row>
    <row r="544" spans="1:9" x14ac:dyDescent="0.2">
      <c r="A544" s="11"/>
      <c r="B544" s="11"/>
      <c r="C544" s="11"/>
      <c r="D544" s="19"/>
      <c r="I544" s="27"/>
    </row>
    <row r="545" spans="1:9" x14ac:dyDescent="0.2">
      <c r="A545" s="11"/>
      <c r="B545" s="11"/>
      <c r="C545" s="11"/>
      <c r="D545" s="19"/>
      <c r="I545" s="27"/>
    </row>
    <row r="546" spans="1:9" x14ac:dyDescent="0.2">
      <c r="A546" s="11"/>
      <c r="B546" s="14"/>
      <c r="C546" s="14"/>
      <c r="D546" s="19"/>
      <c r="I546" s="27"/>
    </row>
    <row r="547" spans="1:9" x14ac:dyDescent="0.2">
      <c r="A547" s="11"/>
      <c r="B547" s="11"/>
      <c r="C547" s="11"/>
      <c r="D547" s="19"/>
      <c r="I547" s="27"/>
    </row>
    <row r="548" spans="1:9" x14ac:dyDescent="0.2">
      <c r="A548" s="11"/>
      <c r="B548" s="11"/>
      <c r="C548" s="11"/>
      <c r="D548" s="19"/>
      <c r="I548" s="27"/>
    </row>
    <row r="549" spans="1:9" x14ac:dyDescent="0.2">
      <c r="A549" s="11"/>
      <c r="B549" s="11"/>
      <c r="C549" s="11"/>
      <c r="D549" s="19"/>
      <c r="I549" s="27"/>
    </row>
    <row r="550" spans="1:9" x14ac:dyDescent="0.2">
      <c r="A550" s="11"/>
      <c r="B550" s="11"/>
      <c r="C550" s="11"/>
      <c r="D550" s="19"/>
      <c r="I550" s="27"/>
    </row>
    <row r="551" spans="1:9" x14ac:dyDescent="0.2">
      <c r="A551" s="11"/>
      <c r="B551" s="11"/>
      <c r="C551" s="11"/>
      <c r="D551" s="19"/>
      <c r="I551" s="27"/>
    </row>
    <row r="552" spans="1:9" x14ac:dyDescent="0.2">
      <c r="A552" s="11"/>
      <c r="B552" s="11"/>
      <c r="C552" s="11"/>
      <c r="D552" s="19"/>
      <c r="I552" s="27"/>
    </row>
    <row r="553" spans="1:9" x14ac:dyDescent="0.2">
      <c r="A553" s="11"/>
      <c r="B553" s="11"/>
      <c r="C553" s="11"/>
      <c r="D553" s="19"/>
      <c r="I553" s="27"/>
    </row>
    <row r="554" spans="1:9" x14ac:dyDescent="0.2">
      <c r="A554" s="11"/>
      <c r="B554" s="11"/>
      <c r="C554" s="11"/>
      <c r="D554" s="19"/>
      <c r="I554" s="27"/>
    </row>
    <row r="555" spans="1:9" x14ac:dyDescent="0.2">
      <c r="A555" s="11"/>
      <c r="B555" s="11"/>
      <c r="C555" s="11"/>
      <c r="D555" s="19"/>
      <c r="I555" s="27"/>
    </row>
    <row r="556" spans="1:9" x14ac:dyDescent="0.2">
      <c r="A556" s="11"/>
      <c r="B556" s="11"/>
      <c r="C556" s="11"/>
      <c r="D556" s="19"/>
      <c r="I556" s="27"/>
    </row>
    <row r="557" spans="1:9" x14ac:dyDescent="0.2">
      <c r="A557" s="11"/>
      <c r="B557" s="14"/>
      <c r="C557" s="14"/>
      <c r="D557" s="19"/>
      <c r="I557" s="27"/>
    </row>
    <row r="558" spans="1:9" x14ac:dyDescent="0.2">
      <c r="A558" s="11"/>
      <c r="B558" s="11"/>
      <c r="C558" s="11"/>
      <c r="D558" s="19"/>
      <c r="I558" s="27"/>
    </row>
    <row r="559" spans="1:9" x14ac:dyDescent="0.2">
      <c r="A559" s="11"/>
      <c r="B559" s="14"/>
      <c r="C559" s="14"/>
      <c r="D559" s="19"/>
      <c r="I559" s="27"/>
    </row>
    <row r="560" spans="1:9" x14ac:dyDescent="0.2">
      <c r="A560" s="11"/>
      <c r="B560" s="11"/>
      <c r="C560" s="11"/>
      <c r="D560" s="19"/>
      <c r="I560" s="27"/>
    </row>
    <row r="561" spans="1:9" x14ac:dyDescent="0.2">
      <c r="A561" s="11"/>
      <c r="B561" s="11"/>
      <c r="C561" s="11"/>
      <c r="D561" s="19"/>
      <c r="I561" s="27"/>
    </row>
    <row r="562" spans="1:9" x14ac:dyDescent="0.2">
      <c r="A562" s="11"/>
      <c r="B562" s="14"/>
      <c r="C562" s="14"/>
      <c r="D562" s="19"/>
      <c r="I562" s="27"/>
    </row>
    <row r="563" spans="1:9" x14ac:dyDescent="0.2">
      <c r="A563" s="11"/>
      <c r="B563" s="11"/>
      <c r="C563" s="11"/>
      <c r="D563" s="19"/>
      <c r="I563" s="27"/>
    </row>
    <row r="564" spans="1:9" x14ac:dyDescent="0.2">
      <c r="A564" s="11"/>
      <c r="B564" s="11"/>
      <c r="C564" s="11"/>
      <c r="D564" s="19"/>
      <c r="I564" s="27"/>
    </row>
    <row r="565" spans="1:9" x14ac:dyDescent="0.2">
      <c r="A565" s="11"/>
      <c r="B565" s="11"/>
      <c r="C565" s="11"/>
      <c r="D565" s="19"/>
      <c r="I565" s="27"/>
    </row>
    <row r="566" spans="1:9" x14ac:dyDescent="0.2">
      <c r="A566" s="11"/>
      <c r="B566" s="14"/>
      <c r="C566" s="14"/>
      <c r="D566" s="19"/>
      <c r="I566" s="27"/>
    </row>
    <row r="567" spans="1:9" x14ac:dyDescent="0.2">
      <c r="A567" s="11"/>
      <c r="B567" s="11"/>
      <c r="C567" s="11"/>
      <c r="D567" s="19"/>
      <c r="I567" s="27"/>
    </row>
    <row r="568" spans="1:9" x14ac:dyDescent="0.2">
      <c r="A568" s="11"/>
      <c r="D568" s="19"/>
      <c r="I568" s="27"/>
    </row>
    <row r="569" spans="1:9" x14ac:dyDescent="0.2">
      <c r="A569" s="11"/>
      <c r="B569" s="11"/>
      <c r="C569" s="11"/>
      <c r="D569" s="19"/>
      <c r="I569" s="27"/>
    </row>
    <row r="570" spans="1:9" x14ac:dyDescent="0.2">
      <c r="A570" s="11"/>
      <c r="B570" s="11"/>
      <c r="C570" s="11"/>
      <c r="D570" s="19"/>
      <c r="I570" s="27"/>
    </row>
    <row r="571" spans="1:9" x14ac:dyDescent="0.2">
      <c r="A571" s="11"/>
      <c r="B571" s="11"/>
      <c r="C571" s="11"/>
      <c r="D571" s="19"/>
      <c r="I571" s="27"/>
    </row>
    <row r="572" spans="1:9" x14ac:dyDescent="0.2">
      <c r="A572" s="11"/>
      <c r="B572" s="14"/>
      <c r="C572" s="14"/>
      <c r="D572" s="19"/>
      <c r="I572" s="27"/>
    </row>
    <row r="573" spans="1:9" x14ac:dyDescent="0.2">
      <c r="A573" s="11"/>
      <c r="B573" s="11"/>
      <c r="C573" s="11"/>
      <c r="D573" s="19"/>
      <c r="I573" s="27"/>
    </row>
    <row r="574" spans="1:9" x14ac:dyDescent="0.2">
      <c r="A574" s="11"/>
      <c r="B574" s="14"/>
      <c r="C574" s="14"/>
      <c r="D574" s="19"/>
      <c r="I574" s="27"/>
    </row>
    <row r="575" spans="1:9" x14ac:dyDescent="0.2">
      <c r="A575" s="11"/>
      <c r="B575" s="11"/>
      <c r="C575" s="11"/>
      <c r="D575" s="19"/>
      <c r="I575" s="27"/>
    </row>
    <row r="576" spans="1:9" x14ac:dyDescent="0.2">
      <c r="A576" s="11"/>
      <c r="B576" s="11"/>
      <c r="C576" s="11"/>
      <c r="D576" s="19"/>
      <c r="I576" s="27"/>
    </row>
    <row r="577" spans="1:9" x14ac:dyDescent="0.2">
      <c r="A577" s="11"/>
      <c r="B577" s="11"/>
      <c r="C577" s="11"/>
      <c r="D577" s="19"/>
      <c r="I577" s="27"/>
    </row>
    <row r="578" spans="1:9" x14ac:dyDescent="0.2">
      <c r="A578" s="11"/>
      <c r="B578" s="11"/>
      <c r="C578" s="11"/>
      <c r="D578" s="19"/>
      <c r="I578" s="27"/>
    </row>
    <row r="579" spans="1:9" x14ac:dyDescent="0.2">
      <c r="A579" s="11"/>
      <c r="B579" s="11"/>
      <c r="C579" s="11"/>
      <c r="D579" s="19"/>
      <c r="I579" s="27"/>
    </row>
    <row r="580" spans="1:9" x14ac:dyDescent="0.2">
      <c r="A580" s="11"/>
      <c r="B580" s="11"/>
      <c r="C580" s="11"/>
      <c r="D580" s="19"/>
      <c r="I580" s="27"/>
    </row>
    <row r="581" spans="1:9" x14ac:dyDescent="0.2">
      <c r="A581" s="11"/>
      <c r="B581" s="11"/>
      <c r="C581" s="11"/>
      <c r="D581" s="19"/>
      <c r="I581" s="27"/>
    </row>
    <row r="582" spans="1:9" x14ac:dyDescent="0.2">
      <c r="A582" s="11"/>
      <c r="B582" s="11"/>
      <c r="C582" s="11"/>
      <c r="D582" s="19"/>
      <c r="I582" s="27"/>
    </row>
    <row r="583" spans="1:9" x14ac:dyDescent="0.2">
      <c r="A583" s="11"/>
      <c r="B583" s="11"/>
      <c r="C583" s="11"/>
      <c r="D583" s="19"/>
      <c r="I583" s="27"/>
    </row>
    <row r="584" spans="1:9" x14ac:dyDescent="0.2">
      <c r="A584" s="11"/>
      <c r="B584" s="11"/>
      <c r="C584" s="11"/>
      <c r="D584" s="19"/>
      <c r="I584" s="27"/>
    </row>
    <row r="585" spans="1:9" x14ac:dyDescent="0.2">
      <c r="A585" s="11"/>
      <c r="B585" s="11"/>
      <c r="C585" s="11"/>
      <c r="D585" s="19"/>
      <c r="I585" s="27"/>
    </row>
    <row r="586" spans="1:9" x14ac:dyDescent="0.2">
      <c r="A586" s="11"/>
      <c r="B586" s="11"/>
      <c r="C586" s="11"/>
      <c r="D586" s="19"/>
      <c r="I586" s="27"/>
    </row>
    <row r="587" spans="1:9" x14ac:dyDescent="0.2">
      <c r="A587" s="11"/>
      <c r="B587" s="11"/>
      <c r="C587" s="11"/>
      <c r="D587" s="19"/>
      <c r="I587" s="27"/>
    </row>
    <row r="588" spans="1:9" x14ac:dyDescent="0.2">
      <c r="A588" s="11"/>
      <c r="B588" s="11"/>
      <c r="C588" s="11"/>
      <c r="D588" s="19"/>
      <c r="I588" s="27"/>
    </row>
    <row r="589" spans="1:9" x14ac:dyDescent="0.2">
      <c r="A589" s="11"/>
      <c r="B589" s="11"/>
      <c r="C589" s="11"/>
      <c r="D589" s="19"/>
      <c r="I589" s="27"/>
    </row>
    <row r="590" spans="1:9" x14ac:dyDescent="0.2">
      <c r="A590" s="11"/>
      <c r="B590" s="11"/>
      <c r="C590" s="11"/>
      <c r="D590" s="19"/>
      <c r="I590" s="27"/>
    </row>
    <row r="591" spans="1:9" x14ac:dyDescent="0.2">
      <c r="A591" s="11"/>
      <c r="B591" s="11"/>
      <c r="C591" s="11"/>
      <c r="D591" s="19"/>
      <c r="I591" s="27"/>
    </row>
    <row r="592" spans="1:9" x14ac:dyDescent="0.2">
      <c r="A592" s="11"/>
      <c r="B592" s="11"/>
      <c r="C592" s="11"/>
      <c r="D592" s="19"/>
      <c r="I592" s="27"/>
    </row>
    <row r="593" spans="1:9" x14ac:dyDescent="0.2">
      <c r="A593" s="11"/>
      <c r="B593" s="11"/>
      <c r="C593" s="11"/>
      <c r="D593" s="19"/>
      <c r="I593" s="27"/>
    </row>
    <row r="594" spans="1:9" x14ac:dyDescent="0.2">
      <c r="A594" s="11"/>
      <c r="B594" s="11"/>
      <c r="C594" s="11"/>
      <c r="D594" s="19"/>
      <c r="I594" s="27"/>
    </row>
    <row r="595" spans="1:9" x14ac:dyDescent="0.2">
      <c r="A595" s="11"/>
      <c r="B595" s="11"/>
      <c r="C595" s="11"/>
      <c r="D595" s="19"/>
      <c r="I595" s="27"/>
    </row>
    <row r="596" spans="1:9" x14ac:dyDescent="0.2">
      <c r="A596" s="11"/>
      <c r="B596" s="11"/>
      <c r="C596" s="11"/>
      <c r="D596" s="19"/>
      <c r="I596" s="27"/>
    </row>
    <row r="597" spans="1:9" x14ac:dyDescent="0.2">
      <c r="A597" s="11"/>
      <c r="B597" s="11"/>
      <c r="C597" s="11"/>
      <c r="D597" s="19"/>
      <c r="I597" s="27"/>
    </row>
    <row r="598" spans="1:9" x14ac:dyDescent="0.2">
      <c r="A598" s="11"/>
      <c r="B598" s="11"/>
      <c r="C598" s="11"/>
      <c r="D598" s="19"/>
      <c r="I598" s="27"/>
    </row>
    <row r="599" spans="1:9" x14ac:dyDescent="0.2">
      <c r="A599" s="11"/>
      <c r="B599" s="11"/>
      <c r="C599" s="11"/>
      <c r="D599" s="19"/>
      <c r="I599" s="27"/>
    </row>
    <row r="600" spans="1:9" x14ac:dyDescent="0.2">
      <c r="A600" s="11"/>
      <c r="B600" s="11"/>
      <c r="C600" s="11"/>
      <c r="D600" s="19"/>
      <c r="I600" s="27"/>
    </row>
    <row r="601" spans="1:9" x14ac:dyDescent="0.2">
      <c r="A601" s="11"/>
      <c r="B601" s="11"/>
      <c r="C601" s="11"/>
      <c r="D601" s="19"/>
      <c r="I601" s="27"/>
    </row>
    <row r="602" spans="1:9" x14ac:dyDescent="0.2">
      <c r="A602" s="11"/>
      <c r="B602" s="11"/>
      <c r="C602" s="11"/>
      <c r="D602" s="19"/>
      <c r="I602" s="27"/>
    </row>
    <row r="603" spans="1:9" x14ac:dyDescent="0.2">
      <c r="A603" s="11"/>
      <c r="B603" s="11"/>
      <c r="C603" s="11"/>
      <c r="D603" s="19"/>
      <c r="I603" s="27"/>
    </row>
    <row r="604" spans="1:9" x14ac:dyDescent="0.2">
      <c r="A604" s="11"/>
      <c r="B604" s="11"/>
      <c r="C604" s="11"/>
      <c r="D604" s="19"/>
      <c r="I604" s="27"/>
    </row>
    <row r="605" spans="1:9" x14ac:dyDescent="0.2">
      <c r="A605" s="11"/>
      <c r="B605" s="11"/>
      <c r="C605" s="11"/>
      <c r="D605" s="19"/>
      <c r="I605" s="27"/>
    </row>
    <row r="606" spans="1:9" x14ac:dyDescent="0.2">
      <c r="A606" s="11"/>
      <c r="B606" s="11"/>
      <c r="C606" s="11"/>
      <c r="D606" s="19"/>
      <c r="I606" s="27"/>
    </row>
    <row r="607" spans="1:9" x14ac:dyDescent="0.2">
      <c r="A607" s="11"/>
      <c r="B607" s="11"/>
      <c r="C607" s="11"/>
      <c r="D607" s="19"/>
      <c r="I607" s="27"/>
    </row>
    <row r="608" spans="1:9" x14ac:dyDescent="0.2">
      <c r="A608" s="11"/>
      <c r="B608" s="11"/>
      <c r="C608" s="11"/>
      <c r="D608" s="19"/>
      <c r="I608" s="27"/>
    </row>
    <row r="609" spans="1:9" x14ac:dyDescent="0.2">
      <c r="A609" s="11"/>
      <c r="B609" s="11"/>
      <c r="C609" s="11"/>
      <c r="D609" s="19"/>
      <c r="I609" s="27"/>
    </row>
    <row r="610" spans="1:9" x14ac:dyDescent="0.2">
      <c r="A610" s="11"/>
      <c r="B610" s="11"/>
      <c r="C610" s="11"/>
      <c r="D610" s="19"/>
      <c r="I610" s="27"/>
    </row>
    <row r="611" spans="1:9" x14ac:dyDescent="0.2">
      <c r="A611" s="11"/>
      <c r="B611" s="11"/>
      <c r="C611" s="11"/>
      <c r="D611" s="19"/>
      <c r="I611" s="27"/>
    </row>
    <row r="612" spans="1:9" x14ac:dyDescent="0.2">
      <c r="A612" s="11"/>
      <c r="B612" s="11"/>
      <c r="C612" s="11"/>
      <c r="D612" s="19"/>
      <c r="I612" s="27"/>
    </row>
    <row r="613" spans="1:9" x14ac:dyDescent="0.2">
      <c r="A613" s="11"/>
      <c r="B613" s="11"/>
      <c r="C613" s="11"/>
      <c r="D613" s="19"/>
      <c r="I613" s="27"/>
    </row>
    <row r="614" spans="1:9" x14ac:dyDescent="0.2">
      <c r="A614" s="11"/>
      <c r="B614" s="11"/>
      <c r="C614" s="11"/>
      <c r="D614" s="19"/>
      <c r="I614" s="27"/>
    </row>
    <row r="615" spans="1:9" x14ac:dyDescent="0.2">
      <c r="A615" s="11"/>
      <c r="B615" s="11"/>
      <c r="C615" s="11"/>
      <c r="D615" s="19"/>
      <c r="I615" s="27"/>
    </row>
    <row r="616" spans="1:9" x14ac:dyDescent="0.2">
      <c r="A616" s="11"/>
      <c r="B616" s="11"/>
      <c r="C616" s="11"/>
      <c r="D616" s="19"/>
      <c r="I616" s="27"/>
    </row>
    <row r="617" spans="1:9" x14ac:dyDescent="0.2">
      <c r="A617" s="11"/>
      <c r="B617" s="11"/>
      <c r="C617" s="11"/>
      <c r="D617" s="19"/>
      <c r="I617" s="27"/>
    </row>
    <row r="618" spans="1:9" x14ac:dyDescent="0.2">
      <c r="A618" s="11"/>
      <c r="B618" s="11"/>
      <c r="C618" s="11"/>
      <c r="D618" s="19"/>
      <c r="I618" s="27"/>
    </row>
    <row r="619" spans="1:9" x14ac:dyDescent="0.2">
      <c r="A619" s="11"/>
      <c r="B619" s="11"/>
      <c r="C619" s="11"/>
      <c r="D619" s="19"/>
      <c r="I619" s="27"/>
    </row>
    <row r="620" spans="1:9" x14ac:dyDescent="0.2">
      <c r="A620" s="11"/>
      <c r="B620" s="11"/>
      <c r="C620" s="11"/>
      <c r="D620" s="19"/>
      <c r="I620" s="27"/>
    </row>
    <row r="621" spans="1:9" x14ac:dyDescent="0.2">
      <c r="A621" s="17"/>
      <c r="B621" s="11"/>
      <c r="C621" s="11"/>
      <c r="D621" s="19"/>
      <c r="I621" s="27"/>
    </row>
    <row r="622" spans="1:9" x14ac:dyDescent="0.2">
      <c r="A622" s="17"/>
      <c r="B622" s="11"/>
      <c r="C622" s="11"/>
      <c r="D622" s="19"/>
      <c r="I622" s="27"/>
    </row>
    <row r="623" spans="1:9" x14ac:dyDescent="0.2">
      <c r="A623" s="11"/>
      <c r="B623" s="11"/>
      <c r="C623" s="11"/>
      <c r="D623" s="19"/>
      <c r="I623" s="27"/>
    </row>
    <row r="624" spans="1:9" x14ac:dyDescent="0.2">
      <c r="A624" s="11"/>
      <c r="B624" s="11"/>
      <c r="C624" s="11"/>
      <c r="D624" s="19"/>
      <c r="I624" s="27"/>
    </row>
    <row r="625" spans="1:9" x14ac:dyDescent="0.2">
      <c r="A625" s="11"/>
      <c r="B625" s="11"/>
      <c r="C625" s="11"/>
      <c r="D625" s="19"/>
      <c r="I625" s="27"/>
    </row>
    <row r="626" spans="1:9" x14ac:dyDescent="0.2">
      <c r="A626" s="11"/>
      <c r="B626" s="11"/>
      <c r="C626" s="11"/>
      <c r="D626" s="19"/>
      <c r="I626" s="27"/>
    </row>
    <row r="627" spans="1:9" x14ac:dyDescent="0.2">
      <c r="A627" s="11"/>
      <c r="B627" s="11"/>
      <c r="C627" s="11"/>
      <c r="D627" s="19"/>
      <c r="I627" s="27"/>
    </row>
    <row r="628" spans="1:9" x14ac:dyDescent="0.2">
      <c r="A628" s="11"/>
      <c r="B628" s="11"/>
      <c r="C628" s="11"/>
      <c r="D628" s="19"/>
      <c r="I628" s="27"/>
    </row>
    <row r="629" spans="1:9" x14ac:dyDescent="0.2">
      <c r="A629" s="11"/>
      <c r="B629" s="11"/>
      <c r="C629" s="11"/>
      <c r="D629" s="19"/>
      <c r="I629" s="27"/>
    </row>
    <row r="630" spans="1:9" x14ac:dyDescent="0.2">
      <c r="A630" s="11"/>
      <c r="B630" s="11"/>
      <c r="C630" s="11"/>
      <c r="D630" s="19"/>
      <c r="I630" s="27"/>
    </row>
    <row r="631" spans="1:9" x14ac:dyDescent="0.2">
      <c r="A631" s="11"/>
      <c r="B631" s="11"/>
      <c r="C631" s="11"/>
      <c r="D631" s="19"/>
      <c r="I631" s="27"/>
    </row>
    <row r="632" spans="1:9" x14ac:dyDescent="0.2">
      <c r="A632" s="11"/>
      <c r="B632" s="11"/>
      <c r="C632" s="11"/>
      <c r="D632" s="19"/>
      <c r="I632" s="27"/>
    </row>
    <row r="633" spans="1:9" x14ac:dyDescent="0.2">
      <c r="A633" s="11"/>
      <c r="B633" s="11"/>
      <c r="C633" s="11"/>
      <c r="D633" s="19"/>
      <c r="I633" s="27"/>
    </row>
    <row r="634" spans="1:9" x14ac:dyDescent="0.2">
      <c r="A634" s="11"/>
      <c r="B634" s="11"/>
      <c r="C634" s="11"/>
      <c r="D634" s="19"/>
      <c r="I634" s="27"/>
    </row>
    <row r="635" spans="1:9" x14ac:dyDescent="0.2">
      <c r="A635" s="11"/>
      <c r="B635" s="11"/>
      <c r="C635" s="11"/>
      <c r="D635" s="19"/>
      <c r="I635" s="27"/>
    </row>
    <row r="636" spans="1:9" x14ac:dyDescent="0.2">
      <c r="A636" s="11"/>
      <c r="B636" s="11"/>
      <c r="C636" s="11"/>
      <c r="D636" s="19"/>
      <c r="I636" s="27"/>
    </row>
    <row r="637" spans="1:9" x14ac:dyDescent="0.2">
      <c r="A637" s="11"/>
      <c r="B637" s="11"/>
      <c r="C637" s="11"/>
      <c r="D637" s="19"/>
      <c r="I637" s="27"/>
    </row>
    <row r="638" spans="1:9" x14ac:dyDescent="0.2">
      <c r="A638" s="11"/>
      <c r="B638" s="11"/>
      <c r="C638" s="11"/>
      <c r="D638" s="19"/>
      <c r="I638" s="27"/>
    </row>
    <row r="639" spans="1:9" x14ac:dyDescent="0.2">
      <c r="A639" s="11"/>
      <c r="B639" s="11"/>
      <c r="C639" s="11"/>
      <c r="D639" s="19"/>
      <c r="I639" s="27"/>
    </row>
    <row r="640" spans="1:9" x14ac:dyDescent="0.2">
      <c r="A640" s="11"/>
      <c r="B640" s="11"/>
      <c r="C640" s="11"/>
      <c r="D640" s="19"/>
      <c r="I640" s="27"/>
    </row>
    <row r="641" spans="1:9" x14ac:dyDescent="0.2">
      <c r="A641" s="11"/>
      <c r="B641" s="11"/>
      <c r="C641" s="11"/>
      <c r="D641" s="19"/>
      <c r="I641" s="27"/>
    </row>
    <row r="642" spans="1:9" x14ac:dyDescent="0.2">
      <c r="A642" s="11"/>
      <c r="B642" s="11"/>
      <c r="C642" s="11"/>
      <c r="D642" s="19"/>
      <c r="I642" s="27"/>
    </row>
    <row r="643" spans="1:9" x14ac:dyDescent="0.2">
      <c r="A643" s="11"/>
      <c r="B643" s="11"/>
      <c r="C643" s="11"/>
      <c r="D643" s="19"/>
      <c r="I643" s="27"/>
    </row>
    <row r="644" spans="1:9" x14ac:dyDescent="0.2">
      <c r="A644" s="11"/>
      <c r="B644" s="8"/>
      <c r="C644" s="8"/>
      <c r="D644" s="19"/>
      <c r="I644" s="27"/>
    </row>
    <row r="645" spans="1:9" x14ac:dyDescent="0.2">
      <c r="A645" s="11"/>
      <c r="B645" s="11"/>
      <c r="C645" s="11"/>
      <c r="D645" s="19"/>
      <c r="I645" s="27"/>
    </row>
    <row r="646" spans="1:9" x14ac:dyDescent="0.2">
      <c r="A646" s="11"/>
      <c r="B646" s="11"/>
      <c r="C646" s="11"/>
      <c r="D646" s="19"/>
      <c r="I646" s="27"/>
    </row>
    <row r="647" spans="1:9" x14ac:dyDescent="0.2">
      <c r="A647" s="7"/>
      <c r="B647" s="7"/>
      <c r="C647" s="7"/>
      <c r="D647" s="21"/>
      <c r="I647" s="27"/>
    </row>
    <row r="648" spans="1:9" x14ac:dyDescent="0.2">
      <c r="A648" s="11"/>
      <c r="B648" s="11"/>
      <c r="C648" s="11"/>
      <c r="D648" s="19"/>
      <c r="I648" s="27"/>
    </row>
    <row r="649" spans="1:9" x14ac:dyDescent="0.2">
      <c r="A649" s="11"/>
      <c r="B649" s="11"/>
      <c r="C649" s="11"/>
      <c r="D649" s="19"/>
      <c r="I649" s="27"/>
    </row>
    <row r="650" spans="1:9" x14ac:dyDescent="0.2">
      <c r="A650" s="11"/>
      <c r="B650" s="11"/>
      <c r="C650" s="11"/>
      <c r="D650" s="19"/>
      <c r="I650" s="27"/>
    </row>
    <row r="651" spans="1:9" x14ac:dyDescent="0.2">
      <c r="A651" s="7"/>
      <c r="B651" s="7"/>
      <c r="C651" s="7"/>
      <c r="D651" s="20"/>
      <c r="I651" s="27"/>
    </row>
    <row r="652" spans="1:9" x14ac:dyDescent="0.2">
      <c r="A652" s="11"/>
      <c r="B652" s="11"/>
      <c r="C652" s="11"/>
      <c r="D652" s="19"/>
      <c r="I652" s="27"/>
    </row>
    <row r="653" spans="1:9" x14ac:dyDescent="0.2">
      <c r="A653" s="11"/>
      <c r="B653" s="11"/>
      <c r="C653" s="11"/>
      <c r="D653" s="19"/>
      <c r="I653" s="27"/>
    </row>
    <row r="654" spans="1:9" x14ac:dyDescent="0.2">
      <c r="A654" s="11"/>
      <c r="B654" s="11"/>
      <c r="C654" s="11"/>
      <c r="D654" s="19"/>
      <c r="I654" s="27"/>
    </row>
    <row r="655" spans="1:9" x14ac:dyDescent="0.2">
      <c r="A655" s="11"/>
      <c r="B655" s="11"/>
      <c r="C655" s="11"/>
      <c r="D655" s="19"/>
      <c r="I655" s="27"/>
    </row>
    <row r="656" spans="1:9" x14ac:dyDescent="0.2">
      <c r="A656" s="11"/>
      <c r="B656" s="11"/>
      <c r="C656" s="11"/>
      <c r="D656" s="19"/>
      <c r="I656" s="27"/>
    </row>
    <row r="657" spans="1:9" x14ac:dyDescent="0.2">
      <c r="A657" s="11"/>
      <c r="B657" s="11"/>
      <c r="C657" s="11"/>
      <c r="D657" s="19"/>
      <c r="I657" s="27"/>
    </row>
    <row r="658" spans="1:9" x14ac:dyDescent="0.2">
      <c r="A658" s="11"/>
      <c r="B658" s="11"/>
      <c r="C658" s="11"/>
      <c r="D658" s="19"/>
      <c r="I658" s="27"/>
    </row>
    <row r="659" spans="1:9" x14ac:dyDescent="0.2">
      <c r="A659" s="11"/>
      <c r="B659" s="11"/>
      <c r="C659" s="11"/>
      <c r="D659" s="19"/>
      <c r="I659" s="27"/>
    </row>
    <row r="660" spans="1:9" x14ac:dyDescent="0.2">
      <c r="A660" s="11"/>
      <c r="B660" s="11"/>
      <c r="C660" s="11"/>
      <c r="D660" s="19"/>
      <c r="I660" s="27"/>
    </row>
    <row r="661" spans="1:9" x14ac:dyDescent="0.2">
      <c r="A661" s="11"/>
      <c r="B661" s="11"/>
      <c r="C661" s="11"/>
      <c r="D661" s="19"/>
      <c r="I661" s="27"/>
    </row>
    <row r="662" spans="1:9" x14ac:dyDescent="0.2">
      <c r="A662" s="11"/>
      <c r="B662" s="11"/>
      <c r="C662" s="11"/>
      <c r="D662" s="19"/>
      <c r="I662" s="27"/>
    </row>
    <row r="663" spans="1:9" x14ac:dyDescent="0.2">
      <c r="A663" s="11"/>
      <c r="B663" s="11"/>
      <c r="C663" s="11"/>
      <c r="D663" s="19"/>
      <c r="I663" s="27"/>
    </row>
    <row r="664" spans="1:9" x14ac:dyDescent="0.2">
      <c r="A664" s="11"/>
      <c r="B664" s="11"/>
      <c r="C664" s="11"/>
      <c r="D664" s="19"/>
      <c r="I664" s="27"/>
    </row>
    <row r="665" spans="1:9" x14ac:dyDescent="0.2">
      <c r="A665" s="11"/>
      <c r="B665" s="11"/>
      <c r="C665" s="11"/>
      <c r="D665" s="19"/>
      <c r="I665" s="27"/>
    </row>
    <row r="666" spans="1:9" x14ac:dyDescent="0.2">
      <c r="A666" s="11"/>
      <c r="B666" s="11"/>
      <c r="C666" s="11"/>
      <c r="D666" s="19"/>
      <c r="I666" s="27"/>
    </row>
    <row r="667" spans="1:9" x14ac:dyDescent="0.2">
      <c r="A667" s="11"/>
      <c r="B667" s="11"/>
      <c r="C667" s="11"/>
      <c r="D667" s="19"/>
      <c r="I667" s="27"/>
    </row>
    <row r="668" spans="1:9" x14ac:dyDescent="0.2">
      <c r="A668" s="11"/>
      <c r="B668" s="11"/>
      <c r="C668" s="11"/>
      <c r="D668" s="19"/>
      <c r="I668" s="27"/>
    </row>
    <row r="669" spans="1:9" x14ac:dyDescent="0.2">
      <c r="A669" s="11"/>
      <c r="B669" s="17"/>
      <c r="C669" s="17"/>
      <c r="D669" s="19"/>
      <c r="I669" s="27"/>
    </row>
    <row r="670" spans="1:9" x14ac:dyDescent="0.2">
      <c r="A670" s="11"/>
      <c r="B670" s="11"/>
      <c r="C670" s="11"/>
      <c r="D670" s="19"/>
      <c r="I670" s="27"/>
    </row>
    <row r="671" spans="1:9" x14ac:dyDescent="0.2">
      <c r="A671" s="11"/>
      <c r="B671" s="11"/>
      <c r="C671" s="11"/>
      <c r="D671" s="19"/>
      <c r="I671" s="27"/>
    </row>
    <row r="672" spans="1:9" x14ac:dyDescent="0.2">
      <c r="A672" s="11"/>
      <c r="B672" s="11"/>
      <c r="C672" s="11"/>
      <c r="D672" s="19"/>
      <c r="I672" s="27"/>
    </row>
    <row r="673" spans="1:9" x14ac:dyDescent="0.2">
      <c r="A673" s="11"/>
      <c r="B673" s="11"/>
      <c r="C673" s="11"/>
      <c r="D673" s="19"/>
      <c r="I673" s="27"/>
    </row>
    <row r="674" spans="1:9" x14ac:dyDescent="0.2">
      <c r="A674" s="11"/>
      <c r="B674" s="11"/>
      <c r="C674" s="11"/>
      <c r="D674" s="19"/>
      <c r="I674" s="27"/>
    </row>
    <row r="675" spans="1:9" x14ac:dyDescent="0.2">
      <c r="A675" s="11"/>
      <c r="B675" s="11"/>
      <c r="C675" s="11"/>
      <c r="D675" s="19"/>
      <c r="I675" s="27"/>
    </row>
    <row r="676" spans="1:9" x14ac:dyDescent="0.2">
      <c r="A676" s="11"/>
      <c r="B676" s="11"/>
      <c r="C676" s="11"/>
      <c r="D676" s="19"/>
      <c r="I676" s="27"/>
    </row>
    <row r="677" spans="1:9" x14ac:dyDescent="0.2">
      <c r="A677" s="11"/>
      <c r="B677" s="11"/>
      <c r="C677" s="11"/>
      <c r="D677" s="19"/>
      <c r="I677" s="27"/>
    </row>
    <row r="678" spans="1:9" x14ac:dyDescent="0.2">
      <c r="A678" s="11"/>
      <c r="B678" s="11"/>
      <c r="C678" s="11"/>
      <c r="I678" s="27"/>
    </row>
    <row r="679" spans="1:9" x14ac:dyDescent="0.2">
      <c r="A679" s="11"/>
      <c r="B679" s="11"/>
      <c r="C679" s="11"/>
      <c r="D679" s="19"/>
      <c r="I679" s="27"/>
    </row>
    <row r="680" spans="1:9" x14ac:dyDescent="0.2">
      <c r="A680" s="11"/>
      <c r="B680" s="11"/>
      <c r="C680" s="11"/>
      <c r="D680" s="19"/>
      <c r="I680" s="27"/>
    </row>
    <row r="681" spans="1:9" x14ac:dyDescent="0.2">
      <c r="A681" s="11"/>
      <c r="B681" s="11"/>
      <c r="C681" s="11"/>
      <c r="D681" s="19"/>
      <c r="I681" s="27"/>
    </row>
    <row r="682" spans="1:9" x14ac:dyDescent="0.2">
      <c r="A682" s="11"/>
      <c r="B682" s="11"/>
      <c r="C682" s="11"/>
      <c r="D682" s="19"/>
      <c r="I682" s="27"/>
    </row>
    <row r="683" spans="1:9" x14ac:dyDescent="0.2">
      <c r="A683" s="11"/>
      <c r="B683" s="11"/>
      <c r="C683" s="11"/>
      <c r="D683" s="19"/>
      <c r="I683" s="27"/>
    </row>
    <row r="684" spans="1:9" x14ac:dyDescent="0.2">
      <c r="A684" s="11"/>
      <c r="B684" s="11"/>
      <c r="C684" s="11"/>
      <c r="D684" s="19"/>
      <c r="I684" s="27"/>
    </row>
    <row r="685" spans="1:9" x14ac:dyDescent="0.2">
      <c r="A685" s="11"/>
      <c r="B685" s="11"/>
      <c r="C685" s="11"/>
      <c r="D685" s="19"/>
      <c r="I685" s="27"/>
    </row>
    <row r="686" spans="1:9" x14ac:dyDescent="0.2">
      <c r="A686" s="7"/>
      <c r="B686" s="7"/>
      <c r="C686" s="7"/>
      <c r="D686" s="20"/>
      <c r="I686" s="27"/>
    </row>
    <row r="687" spans="1:9" x14ac:dyDescent="0.2">
      <c r="A687" s="11"/>
      <c r="B687" s="11"/>
      <c r="C687" s="11"/>
      <c r="D687" s="19"/>
      <c r="I687" s="27"/>
    </row>
    <row r="688" spans="1:9" x14ac:dyDescent="0.2">
      <c r="A688" s="11"/>
      <c r="B688" s="11"/>
      <c r="C688" s="11"/>
      <c r="D688" s="19"/>
      <c r="I688" s="27"/>
    </row>
    <row r="689" spans="1:9" x14ac:dyDescent="0.2">
      <c r="A689" s="11"/>
      <c r="B689" s="11"/>
      <c r="C689" s="11"/>
      <c r="D689" s="19"/>
      <c r="I689" s="27"/>
    </row>
    <row r="690" spans="1:9" x14ac:dyDescent="0.2">
      <c r="A690" s="11"/>
      <c r="B690" s="11"/>
      <c r="C690" s="11"/>
      <c r="D690" s="19"/>
      <c r="I690" s="27"/>
    </row>
    <row r="691" spans="1:9" x14ac:dyDescent="0.2">
      <c r="A691" s="11"/>
      <c r="B691" s="11"/>
      <c r="C691" s="11"/>
      <c r="D691" s="19"/>
      <c r="I691" s="27"/>
    </row>
    <row r="692" spans="1:9" x14ac:dyDescent="0.2">
      <c r="A692" s="11"/>
      <c r="B692" s="11"/>
      <c r="C692" s="11"/>
      <c r="D692" s="19"/>
      <c r="I692" s="27"/>
    </row>
    <row r="693" spans="1:9" x14ac:dyDescent="0.2">
      <c r="A693" s="11"/>
      <c r="B693" s="11"/>
      <c r="C693" s="11"/>
      <c r="D693" s="19"/>
      <c r="I693" s="27"/>
    </row>
    <row r="694" spans="1:9" x14ac:dyDescent="0.2">
      <c r="A694" s="11"/>
      <c r="B694" s="11"/>
      <c r="C694" s="11"/>
      <c r="D694" s="19"/>
      <c r="I694" s="27"/>
    </row>
    <row r="695" spans="1:9" x14ac:dyDescent="0.2">
      <c r="A695" s="11"/>
      <c r="B695" s="11"/>
      <c r="C695" s="11"/>
      <c r="D695" s="19"/>
      <c r="I695" s="27"/>
    </row>
    <row r="696" spans="1:9" x14ac:dyDescent="0.2">
      <c r="A696" s="11"/>
      <c r="B696" s="11"/>
      <c r="C696" s="11"/>
      <c r="D696" s="19"/>
      <c r="I696" s="27"/>
    </row>
    <row r="697" spans="1:9" x14ac:dyDescent="0.2">
      <c r="A697" s="11"/>
      <c r="B697" s="11"/>
      <c r="C697" s="11"/>
      <c r="D697" s="19"/>
      <c r="I697" s="27"/>
    </row>
    <row r="698" spans="1:9" x14ac:dyDescent="0.2">
      <c r="A698" s="11"/>
      <c r="B698" s="11"/>
      <c r="C698" s="11"/>
      <c r="D698" s="19"/>
      <c r="I698" s="27"/>
    </row>
    <row r="699" spans="1:9" x14ac:dyDescent="0.2">
      <c r="A699" s="11"/>
      <c r="B699" s="11"/>
      <c r="C699" s="11"/>
      <c r="D699" s="19"/>
      <c r="I699" s="27"/>
    </row>
    <row r="700" spans="1:9" x14ac:dyDescent="0.2">
      <c r="A700" s="11"/>
      <c r="B700" s="11"/>
      <c r="C700" s="11"/>
      <c r="D700" s="19"/>
      <c r="I700" s="27"/>
    </row>
    <row r="701" spans="1:9" x14ac:dyDescent="0.2">
      <c r="A701" s="11"/>
      <c r="B701" s="11"/>
      <c r="C701" s="11"/>
      <c r="D701" s="19"/>
      <c r="I701" s="27"/>
    </row>
    <row r="702" spans="1:9" x14ac:dyDescent="0.2">
      <c r="A702" s="11"/>
      <c r="B702" s="11"/>
      <c r="C702" s="11"/>
      <c r="D702" s="19"/>
      <c r="I702" s="27"/>
    </row>
    <row r="703" spans="1:9" x14ac:dyDescent="0.2">
      <c r="A703" s="11"/>
      <c r="B703" s="11"/>
      <c r="C703" s="11"/>
      <c r="D703" s="19"/>
      <c r="I703" s="27"/>
    </row>
    <row r="704" spans="1:9" x14ac:dyDescent="0.2">
      <c r="A704" s="11"/>
      <c r="B704" s="11"/>
      <c r="C704" s="11"/>
      <c r="D704" s="19"/>
      <c r="I704" s="27"/>
    </row>
    <row r="705" spans="1:9" x14ac:dyDescent="0.2">
      <c r="A705" s="11"/>
      <c r="B705" s="11"/>
      <c r="C705" s="11"/>
      <c r="D705" s="19"/>
      <c r="I705" s="27"/>
    </row>
    <row r="706" spans="1:9" x14ac:dyDescent="0.2">
      <c r="A706" s="11"/>
      <c r="B706" s="11"/>
      <c r="C706" s="11"/>
      <c r="D706" s="19"/>
      <c r="I706" s="27"/>
    </row>
    <row r="1602" spans="9:9" x14ac:dyDescent="0.2">
      <c r="I1602" s="23"/>
    </row>
    <row r="1612" spans="9:9" x14ac:dyDescent="0.2">
      <c r="I1612" s="23"/>
    </row>
    <row r="1632" spans="9:9" x14ac:dyDescent="0.2">
      <c r="I1632" s="23"/>
    </row>
    <row r="1648" spans="9:9" x14ac:dyDescent="0.2">
      <c r="I1648" s="23"/>
    </row>
    <row r="1663" spans="9:9" x14ac:dyDescent="0.2">
      <c r="I1663" s="23"/>
    </row>
    <row r="1681" spans="9:9" x14ac:dyDescent="0.2">
      <c r="I1681" s="23"/>
    </row>
    <row r="1696" spans="9:9" x14ac:dyDescent="0.2">
      <c r="I1696" s="23"/>
    </row>
    <row r="1704" spans="9:9" x14ac:dyDescent="0.2">
      <c r="I1704" s="23"/>
    </row>
    <row r="1723" spans="9:9" x14ac:dyDescent="0.2">
      <c r="I1723" s="23"/>
    </row>
    <row r="1740" spans="9:9" x14ac:dyDescent="0.2">
      <c r="I1740" s="23"/>
    </row>
    <row r="1755" spans="9:9" x14ac:dyDescent="0.2">
      <c r="I1755" s="23"/>
    </row>
    <row r="1783" spans="9:9" x14ac:dyDescent="0.2">
      <c r="I1783" s="23"/>
    </row>
    <row r="3599" spans="9:9" x14ac:dyDescent="0.2">
      <c r="I3599" s="23"/>
    </row>
  </sheetData>
  <mergeCells count="1">
    <mergeCell ref="F2:I2"/>
  </mergeCells>
  <conditionalFormatting sqref="A5:A5000">
    <cfRule type="duplicateValues" dxfId="7"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DSD 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9" tint="0.39997558519241921"/>
  </sheetPr>
  <dimension ref="A1:R3603"/>
  <sheetViews>
    <sheetView zoomScaleNormal="100" workbookViewId="0">
      <pane xSplit="6" ySplit="4" topLeftCell="G5" activePane="bottomRight" state="frozen"/>
      <selection pane="topRight" activeCell="G1" sqref="G1"/>
      <selection pane="bottomLeft" activeCell="A5" sqref="A5"/>
      <selection pane="bottomRight" activeCell="K17" sqref="K17"/>
    </sheetView>
  </sheetViews>
  <sheetFormatPr defaultRowHeight="12" x14ac:dyDescent="0.2"/>
  <cols>
    <col min="1" max="1" width="19.5" style="9" bestFit="1" customWidth="1"/>
    <col min="2" max="2" width="17.1640625" style="9" bestFit="1" customWidth="1"/>
    <col min="3" max="3" width="13" style="9" bestFit="1" customWidth="1"/>
    <col min="4" max="4" width="12.83203125" style="13" bestFit="1" customWidth="1"/>
    <col min="5" max="5" width="18.1640625" style="9" customWidth="1"/>
    <col min="6" max="6" width="16.5" style="9" customWidth="1"/>
    <col min="7" max="7" width="15.83203125" style="9" customWidth="1"/>
    <col min="8" max="8" width="31.33203125" style="9" bestFit="1" customWidth="1"/>
    <col min="9" max="9" width="9.33203125" style="4"/>
    <col min="10" max="10" width="9.33203125" style="9"/>
    <col min="12" max="12" width="9.33203125" style="9"/>
    <col min="14" max="16384" width="9.33203125" style="9"/>
  </cols>
  <sheetData>
    <row r="1" spans="1:18" s="68" customFormat="1" ht="15" x14ac:dyDescent="0.25">
      <c r="A1" s="185" t="s">
        <v>41</v>
      </c>
      <c r="B1" s="193" t="s">
        <v>943</v>
      </c>
      <c r="C1" s="69" t="s">
        <v>42</v>
      </c>
      <c r="D1" s="143" t="s">
        <v>129</v>
      </c>
      <c r="E1" s="185" t="s">
        <v>257</v>
      </c>
      <c r="F1" s="192" t="b">
        <v>0</v>
      </c>
      <c r="G1" s="185" t="s">
        <v>973</v>
      </c>
      <c r="H1" s="193" t="s">
        <v>925</v>
      </c>
      <c r="I1" s="185" t="s">
        <v>974</v>
      </c>
      <c r="J1" s="143"/>
      <c r="K1" s="185"/>
      <c r="L1" s="192"/>
      <c r="M1" s="185"/>
      <c r="N1" s="192"/>
      <c r="O1" s="185"/>
      <c r="P1" s="192"/>
      <c r="Q1" s="185"/>
      <c r="R1" s="192"/>
    </row>
    <row r="2" spans="1:18" s="38" customFormat="1" ht="15" x14ac:dyDescent="0.25">
      <c r="A2" s="81" t="s">
        <v>353</v>
      </c>
      <c r="B2" s="109" t="s">
        <v>352</v>
      </c>
      <c r="C2" s="109" t="s">
        <v>196</v>
      </c>
      <c r="D2" s="109" t="s">
        <v>350</v>
      </c>
      <c r="E2" s="37"/>
      <c r="F2" s="267" t="s">
        <v>283</v>
      </c>
      <c r="G2" s="268"/>
      <c r="H2" s="268"/>
      <c r="I2" s="269"/>
      <c r="J2" s="53"/>
    </row>
    <row r="3" spans="1:18" s="38" customFormat="1" ht="15" x14ac:dyDescent="0.25">
      <c r="A3" s="109" t="s">
        <v>389</v>
      </c>
      <c r="B3" s="109" t="s">
        <v>349</v>
      </c>
      <c r="C3" s="109" t="s">
        <v>284</v>
      </c>
      <c r="D3" s="109" t="s">
        <v>351</v>
      </c>
      <c r="E3" s="37"/>
      <c r="F3" s="85" t="s">
        <v>284</v>
      </c>
      <c r="G3" s="86"/>
      <c r="H3" s="86"/>
      <c r="I3" s="86"/>
      <c r="J3" s="53"/>
    </row>
    <row r="4" spans="1:18" s="39" customFormat="1" ht="15" x14ac:dyDescent="0.25">
      <c r="A4" s="77" t="s">
        <v>5</v>
      </c>
      <c r="B4" s="79" t="s">
        <v>285</v>
      </c>
      <c r="C4" s="79" t="s">
        <v>43</v>
      </c>
      <c r="D4" s="77" t="s">
        <v>973</v>
      </c>
      <c r="E4" s="78" t="s">
        <v>974</v>
      </c>
      <c r="F4" s="87" t="s">
        <v>282</v>
      </c>
      <c r="G4" s="86"/>
      <c r="H4" s="189"/>
      <c r="I4" s="189"/>
      <c r="J4" s="40"/>
    </row>
    <row r="5" spans="1:18" x14ac:dyDescent="0.2">
      <c r="A5" s="11"/>
      <c r="B5" s="11"/>
      <c r="C5" s="11"/>
      <c r="D5" s="19"/>
      <c r="G5" s="189"/>
      <c r="H5" s="189"/>
      <c r="I5" s="189"/>
    </row>
    <row r="6" spans="1:18" x14ac:dyDescent="0.2">
      <c r="A6" s="11"/>
      <c r="B6" s="11"/>
      <c r="C6" s="11"/>
      <c r="D6" s="19"/>
      <c r="G6" s="189"/>
      <c r="H6" s="189"/>
      <c r="I6" s="189"/>
    </row>
    <row r="7" spans="1:18" x14ac:dyDescent="0.2">
      <c r="A7" s="11"/>
      <c r="B7" s="11"/>
      <c r="C7" s="11"/>
      <c r="D7" s="19"/>
      <c r="G7" s="189"/>
      <c r="H7" s="189"/>
      <c r="I7" s="189"/>
    </row>
    <row r="8" spans="1:18" x14ac:dyDescent="0.2">
      <c r="A8" s="11"/>
      <c r="B8" s="11"/>
      <c r="C8" s="11"/>
      <c r="D8" s="19"/>
      <c r="G8" s="189"/>
      <c r="H8" s="189"/>
      <c r="I8" s="189"/>
    </row>
    <row r="9" spans="1:18" s="12" customFormat="1" x14ac:dyDescent="0.2">
      <c r="A9" s="11"/>
      <c r="B9" s="11"/>
      <c r="C9" s="11"/>
      <c r="D9" s="19"/>
      <c r="F9" s="10"/>
      <c r="G9" s="189"/>
      <c r="H9" s="189"/>
      <c r="I9" s="189"/>
      <c r="J9" s="18"/>
    </row>
    <row r="10" spans="1:18" s="12" customFormat="1" x14ac:dyDescent="0.2">
      <c r="A10" s="11"/>
      <c r="C10" s="11"/>
      <c r="D10" s="19"/>
      <c r="F10" s="10"/>
      <c r="G10" s="189"/>
      <c r="H10" s="189"/>
      <c r="I10" s="189"/>
      <c r="J10" s="18"/>
    </row>
    <row r="11" spans="1:18" s="12" customFormat="1" x14ac:dyDescent="0.2">
      <c r="A11" s="11"/>
      <c r="B11" s="9"/>
      <c r="C11" s="9"/>
      <c r="D11" s="19"/>
      <c r="F11" s="10"/>
      <c r="G11" s="189"/>
      <c r="H11" s="189"/>
      <c r="I11" s="189"/>
      <c r="J11" s="18"/>
    </row>
    <row r="12" spans="1:18" x14ac:dyDescent="0.2">
      <c r="A12" s="11"/>
      <c r="B12" s="11"/>
      <c r="C12" s="11"/>
      <c r="D12" s="19"/>
      <c r="G12" s="189"/>
      <c r="H12" s="189"/>
      <c r="I12" s="189"/>
    </row>
    <row r="13" spans="1:18" s="12" customFormat="1" x14ac:dyDescent="0.2">
      <c r="A13" s="11"/>
      <c r="B13" s="11"/>
      <c r="C13" s="11"/>
      <c r="D13" s="19"/>
      <c r="F13" s="10"/>
      <c r="G13" s="189"/>
      <c r="H13" s="189"/>
      <c r="I13" s="189"/>
      <c r="J13" s="18"/>
    </row>
    <row r="14" spans="1:18" s="12" customFormat="1" x14ac:dyDescent="0.2">
      <c r="A14" s="11"/>
      <c r="B14" s="11"/>
      <c r="C14" s="11"/>
      <c r="D14" s="19"/>
      <c r="G14" s="189"/>
      <c r="H14" s="189"/>
      <c r="I14" s="189"/>
    </row>
    <row r="15" spans="1:18" x14ac:dyDescent="0.2">
      <c r="A15" s="11"/>
      <c r="B15" s="11"/>
      <c r="C15" s="11"/>
      <c r="D15" s="19"/>
      <c r="G15" s="189"/>
      <c r="H15" s="189"/>
      <c r="I15" s="189"/>
    </row>
    <row r="16" spans="1:18" x14ac:dyDescent="0.2">
      <c r="A16" s="11"/>
      <c r="B16" s="11"/>
      <c r="C16" s="11"/>
      <c r="D16" s="19"/>
      <c r="G16" s="189"/>
      <c r="H16" s="189"/>
      <c r="I16" s="189"/>
    </row>
    <row r="17" spans="1:9" x14ac:dyDescent="0.2">
      <c r="A17" s="11"/>
      <c r="B17" s="11"/>
      <c r="C17" s="11"/>
      <c r="D17" s="19"/>
      <c r="G17" s="189"/>
      <c r="H17" s="189"/>
      <c r="I17" s="189"/>
    </row>
    <row r="18" spans="1:9" x14ac:dyDescent="0.2">
      <c r="A18" s="11"/>
      <c r="B18" s="11"/>
      <c r="C18" s="11"/>
      <c r="D18" s="19"/>
      <c r="G18" s="189"/>
      <c r="H18" s="189"/>
      <c r="I18" s="189"/>
    </row>
    <row r="19" spans="1:9" x14ac:dyDescent="0.2">
      <c r="A19" s="11"/>
      <c r="B19" s="11"/>
      <c r="C19" s="11"/>
      <c r="D19" s="19"/>
      <c r="G19" s="189"/>
      <c r="H19" s="189"/>
      <c r="I19" s="189"/>
    </row>
    <row r="20" spans="1:9" x14ac:dyDescent="0.2">
      <c r="A20" s="11"/>
      <c r="B20" s="11"/>
      <c r="C20" s="11"/>
      <c r="D20" s="19"/>
      <c r="G20" s="189"/>
      <c r="H20" s="189"/>
      <c r="I20" s="189"/>
    </row>
    <row r="21" spans="1:9" x14ac:dyDescent="0.2">
      <c r="A21" s="11"/>
      <c r="B21" s="11"/>
      <c r="C21" s="11"/>
      <c r="D21" s="19"/>
      <c r="G21" s="189"/>
      <c r="H21" s="189"/>
      <c r="I21" s="189"/>
    </row>
    <row r="22" spans="1:9" x14ac:dyDescent="0.2">
      <c r="A22" s="11"/>
      <c r="B22" s="11"/>
      <c r="C22" s="11"/>
      <c r="D22" s="19"/>
      <c r="G22" s="189"/>
      <c r="H22" s="189"/>
      <c r="I22" s="189"/>
    </row>
    <row r="23" spans="1:9" x14ac:dyDescent="0.2">
      <c r="A23" s="11"/>
      <c r="B23" s="11"/>
      <c r="C23" s="11"/>
      <c r="D23" s="19"/>
      <c r="G23" s="189"/>
      <c r="H23" s="189"/>
      <c r="I23" s="189"/>
    </row>
    <row r="24" spans="1:9" x14ac:dyDescent="0.2">
      <c r="A24" s="11"/>
      <c r="B24" s="11"/>
      <c r="C24" s="11"/>
      <c r="D24" s="19"/>
      <c r="G24" s="189"/>
      <c r="H24" s="189"/>
      <c r="I24" s="189"/>
    </row>
    <row r="25" spans="1:9" x14ac:dyDescent="0.2">
      <c r="A25" s="11"/>
      <c r="B25" s="11"/>
      <c r="C25" s="11"/>
      <c r="D25" s="19"/>
      <c r="G25" s="189"/>
      <c r="H25" s="189"/>
      <c r="I25" s="189"/>
    </row>
    <row r="26" spans="1:9" x14ac:dyDescent="0.2">
      <c r="A26" s="11"/>
      <c r="B26" s="11"/>
      <c r="C26" s="11"/>
      <c r="D26" s="19"/>
      <c r="G26" s="189"/>
      <c r="H26" s="189"/>
      <c r="I26" s="189"/>
    </row>
    <row r="27" spans="1:9" x14ac:dyDescent="0.2">
      <c r="A27" s="11"/>
      <c r="B27" s="11"/>
      <c r="C27" s="11"/>
      <c r="D27" s="19"/>
      <c r="G27" s="189"/>
      <c r="H27" s="189"/>
      <c r="I27" s="189"/>
    </row>
    <row r="28" spans="1:9" x14ac:dyDescent="0.2">
      <c r="A28" s="7"/>
      <c r="B28" s="7"/>
      <c r="C28" s="7"/>
      <c r="D28" s="20"/>
      <c r="G28" s="189"/>
      <c r="H28" s="189"/>
      <c r="I28" s="189"/>
    </row>
    <row r="29" spans="1:9" x14ac:dyDescent="0.2">
      <c r="A29" s="11"/>
      <c r="B29" s="11"/>
      <c r="C29" s="11"/>
      <c r="D29" s="19"/>
      <c r="G29" s="189"/>
      <c r="H29" s="189"/>
      <c r="I29" s="189"/>
    </row>
    <row r="30" spans="1:9" x14ac:dyDescent="0.2">
      <c r="A30" s="11"/>
      <c r="B30" s="11"/>
      <c r="C30" s="11"/>
      <c r="D30" s="19"/>
      <c r="G30" s="189"/>
      <c r="H30" s="189"/>
      <c r="I30" s="189"/>
    </row>
    <row r="31" spans="1:9" x14ac:dyDescent="0.2">
      <c r="A31" s="11"/>
      <c r="B31" s="11"/>
      <c r="C31" s="11"/>
      <c r="D31" s="19"/>
      <c r="G31" s="189"/>
      <c r="H31" s="189"/>
      <c r="I31" s="189"/>
    </row>
    <row r="32" spans="1:9" x14ac:dyDescent="0.2">
      <c r="A32" s="11"/>
      <c r="B32" s="11"/>
      <c r="C32" s="11"/>
      <c r="D32" s="19"/>
      <c r="G32" s="189"/>
      <c r="H32" s="189"/>
      <c r="I32" s="189"/>
    </row>
    <row r="33" spans="1:9" x14ac:dyDescent="0.2">
      <c r="A33" s="11"/>
      <c r="B33" s="11"/>
      <c r="C33" s="11"/>
      <c r="D33" s="19"/>
      <c r="G33" s="189"/>
      <c r="H33" s="189"/>
      <c r="I33" s="189"/>
    </row>
    <row r="34" spans="1:9" x14ac:dyDescent="0.2">
      <c r="A34" s="11"/>
      <c r="B34" s="11"/>
      <c r="C34" s="11"/>
      <c r="D34" s="19"/>
      <c r="G34" s="189"/>
      <c r="H34" s="189"/>
      <c r="I34" s="189"/>
    </row>
    <row r="35" spans="1:9" x14ac:dyDescent="0.2">
      <c r="A35" s="11"/>
      <c r="B35" s="11"/>
      <c r="C35" s="11"/>
      <c r="D35" s="19"/>
      <c r="G35" s="189"/>
      <c r="H35" s="189"/>
      <c r="I35" s="189"/>
    </row>
    <row r="36" spans="1:9" x14ac:dyDescent="0.2">
      <c r="A36" s="11"/>
      <c r="B36" s="11"/>
      <c r="C36" s="11"/>
      <c r="D36" s="19"/>
      <c r="G36" s="189"/>
      <c r="H36" s="189"/>
      <c r="I36" s="189"/>
    </row>
    <row r="37" spans="1:9" x14ac:dyDescent="0.2">
      <c r="A37" s="11"/>
      <c r="B37" s="11"/>
      <c r="C37" s="11"/>
      <c r="D37" s="19"/>
      <c r="G37" s="189"/>
      <c r="H37" s="189"/>
      <c r="I37" s="189"/>
    </row>
    <row r="38" spans="1:9" x14ac:dyDescent="0.2">
      <c r="A38" s="11"/>
      <c r="B38" s="11"/>
      <c r="C38" s="11"/>
      <c r="D38" s="19"/>
      <c r="G38" s="189"/>
      <c r="H38" s="189"/>
      <c r="I38" s="189"/>
    </row>
    <row r="39" spans="1:9" x14ac:dyDescent="0.2">
      <c r="A39" s="11"/>
      <c r="B39" s="11"/>
      <c r="C39" s="11"/>
      <c r="D39" s="19"/>
      <c r="G39" s="189"/>
      <c r="H39" s="189"/>
      <c r="I39" s="189"/>
    </row>
    <row r="40" spans="1:9" x14ac:dyDescent="0.2">
      <c r="A40" s="11"/>
      <c r="B40" s="11"/>
      <c r="C40" s="11"/>
      <c r="D40" s="19"/>
      <c r="I40" s="27"/>
    </row>
    <row r="41" spans="1:9" x14ac:dyDescent="0.2">
      <c r="A41" s="11"/>
      <c r="B41" s="11"/>
      <c r="C41" s="11"/>
      <c r="D41" s="19"/>
      <c r="I41" s="27"/>
    </row>
    <row r="42" spans="1:9" x14ac:dyDescent="0.2">
      <c r="A42" s="11"/>
      <c r="B42" s="11"/>
      <c r="C42" s="11"/>
      <c r="D42" s="19"/>
      <c r="I42" s="27"/>
    </row>
    <row r="43" spans="1:9" x14ac:dyDescent="0.2">
      <c r="A43" s="11"/>
      <c r="B43" s="11"/>
      <c r="C43" s="11"/>
      <c r="D43" s="19"/>
      <c r="I43" s="27"/>
    </row>
    <row r="44" spans="1:9" x14ac:dyDescent="0.2">
      <c r="A44" s="11"/>
      <c r="B44" s="11"/>
      <c r="C44" s="11"/>
      <c r="D44" s="19"/>
      <c r="I44" s="27"/>
    </row>
    <row r="45" spans="1:9" x14ac:dyDescent="0.2">
      <c r="A45" s="11"/>
      <c r="B45" s="11"/>
      <c r="C45" s="11"/>
      <c r="D45" s="19"/>
      <c r="I45" s="27"/>
    </row>
    <row r="46" spans="1:9" x14ac:dyDescent="0.2">
      <c r="A46" s="11"/>
      <c r="B46" s="11"/>
      <c r="C46" s="11"/>
      <c r="D46" s="19"/>
      <c r="I46" s="27"/>
    </row>
    <row r="47" spans="1:9" x14ac:dyDescent="0.2">
      <c r="A47" s="11"/>
      <c r="B47" s="11"/>
      <c r="C47" s="11"/>
      <c r="D47" s="19"/>
      <c r="I47" s="27"/>
    </row>
    <row r="48" spans="1:9" x14ac:dyDescent="0.2">
      <c r="A48" s="11"/>
      <c r="B48" s="11"/>
      <c r="C48" s="11"/>
      <c r="D48" s="19"/>
      <c r="I48" s="27"/>
    </row>
    <row r="49" spans="1:9" x14ac:dyDescent="0.2">
      <c r="A49" s="11"/>
      <c r="B49" s="11"/>
      <c r="C49" s="11"/>
      <c r="D49" s="19"/>
      <c r="I49" s="27"/>
    </row>
    <row r="50" spans="1:9" x14ac:dyDescent="0.2">
      <c r="A50" s="11"/>
      <c r="B50" s="11"/>
      <c r="C50" s="11"/>
      <c r="D50" s="19"/>
      <c r="I50" s="27"/>
    </row>
    <row r="51" spans="1:9" x14ac:dyDescent="0.2">
      <c r="A51" s="11"/>
      <c r="B51" s="11"/>
      <c r="C51" s="11"/>
      <c r="D51" s="19"/>
      <c r="I51" s="27"/>
    </row>
    <row r="52" spans="1:9" x14ac:dyDescent="0.2">
      <c r="A52" s="11"/>
      <c r="B52" s="11"/>
      <c r="C52" s="11"/>
      <c r="D52" s="19"/>
      <c r="I52" s="27"/>
    </row>
    <row r="53" spans="1:9" x14ac:dyDescent="0.2">
      <c r="A53" s="11"/>
      <c r="B53" s="11"/>
      <c r="C53" s="11"/>
      <c r="D53" s="19"/>
      <c r="I53" s="27"/>
    </row>
    <row r="54" spans="1:9" x14ac:dyDescent="0.2">
      <c r="A54" s="11"/>
      <c r="B54" s="11"/>
      <c r="C54" s="11"/>
      <c r="D54" s="19"/>
      <c r="I54" s="27"/>
    </row>
    <row r="55" spans="1:9" x14ac:dyDescent="0.2">
      <c r="A55" s="11"/>
      <c r="B55" s="11"/>
      <c r="C55" s="11"/>
      <c r="D55" s="19"/>
      <c r="I55" s="27"/>
    </row>
    <row r="56" spans="1:9" x14ac:dyDescent="0.2">
      <c r="A56" s="11"/>
      <c r="B56" s="11"/>
      <c r="C56" s="11"/>
      <c r="D56" s="19"/>
      <c r="I56" s="27"/>
    </row>
    <row r="57" spans="1:9" x14ac:dyDescent="0.2">
      <c r="A57" s="11"/>
      <c r="B57" s="11"/>
      <c r="C57" s="11"/>
      <c r="I57" s="27"/>
    </row>
    <row r="58" spans="1:9" x14ac:dyDescent="0.2">
      <c r="A58" s="11"/>
      <c r="B58" s="11"/>
      <c r="C58" s="11"/>
      <c r="D58" s="19"/>
      <c r="I58" s="27"/>
    </row>
    <row r="59" spans="1:9" x14ac:dyDescent="0.2">
      <c r="A59" s="11"/>
      <c r="B59" s="11"/>
      <c r="C59" s="11"/>
      <c r="D59" s="19"/>
      <c r="I59" s="27"/>
    </row>
    <row r="60" spans="1:9" x14ac:dyDescent="0.2">
      <c r="A60" s="11"/>
      <c r="B60" s="11"/>
      <c r="C60" s="11"/>
      <c r="D60" s="19"/>
      <c r="I60" s="27"/>
    </row>
    <row r="61" spans="1:9" x14ac:dyDescent="0.2">
      <c r="A61" s="11"/>
      <c r="B61" s="11"/>
      <c r="C61" s="11"/>
      <c r="D61" s="19"/>
      <c r="I61" s="27"/>
    </row>
    <row r="62" spans="1:9" x14ac:dyDescent="0.2">
      <c r="A62" s="11"/>
      <c r="B62" s="11"/>
      <c r="C62" s="11"/>
      <c r="D62" s="19"/>
      <c r="I62" s="27"/>
    </row>
    <row r="63" spans="1:9" x14ac:dyDescent="0.2">
      <c r="A63" s="11"/>
      <c r="B63" s="11"/>
      <c r="C63" s="11"/>
      <c r="D63" s="19"/>
      <c r="I63" s="27"/>
    </row>
    <row r="64" spans="1:9" x14ac:dyDescent="0.2">
      <c r="A64" s="11"/>
      <c r="B64" s="11"/>
      <c r="C64" s="11"/>
      <c r="D64" s="19"/>
      <c r="I64" s="27"/>
    </row>
    <row r="65" spans="1:9" x14ac:dyDescent="0.2">
      <c r="A65" s="11"/>
      <c r="B65" s="11"/>
      <c r="C65" s="11"/>
      <c r="D65" s="19"/>
      <c r="I65" s="27"/>
    </row>
    <row r="66" spans="1:9" x14ac:dyDescent="0.2">
      <c r="A66" s="11"/>
      <c r="B66" s="11"/>
      <c r="C66" s="11"/>
      <c r="D66" s="19"/>
      <c r="I66" s="27"/>
    </row>
    <row r="67" spans="1:9" x14ac:dyDescent="0.2">
      <c r="A67" s="11"/>
      <c r="B67" s="11"/>
      <c r="C67" s="11"/>
      <c r="D67" s="19"/>
      <c r="I67" s="27"/>
    </row>
    <row r="68" spans="1:9" x14ac:dyDescent="0.2">
      <c r="A68" s="11"/>
      <c r="B68" s="11"/>
      <c r="C68" s="11"/>
      <c r="D68" s="19"/>
      <c r="I68" s="27"/>
    </row>
    <row r="69" spans="1:9" x14ac:dyDescent="0.2">
      <c r="A69" s="11"/>
      <c r="B69" s="11"/>
      <c r="C69" s="11"/>
      <c r="D69" s="19"/>
      <c r="I69" s="27"/>
    </row>
    <row r="70" spans="1:9" x14ac:dyDescent="0.2">
      <c r="A70" s="11"/>
      <c r="B70" s="11"/>
      <c r="C70" s="11"/>
      <c r="D70" s="19"/>
      <c r="I70" s="27"/>
    </row>
    <row r="71" spans="1:9" x14ac:dyDescent="0.2">
      <c r="A71" s="11"/>
      <c r="B71" s="11"/>
      <c r="C71" s="11"/>
      <c r="D71" s="19"/>
      <c r="I71" s="27"/>
    </row>
    <row r="72" spans="1:9" x14ac:dyDescent="0.2">
      <c r="A72" s="11"/>
      <c r="B72" s="11"/>
      <c r="C72" s="11"/>
      <c r="D72" s="19"/>
      <c r="I72" s="27"/>
    </row>
    <row r="73" spans="1:9" x14ac:dyDescent="0.2">
      <c r="A73" s="11"/>
      <c r="B73" s="11"/>
      <c r="C73" s="11"/>
      <c r="D73" s="19"/>
      <c r="I73" s="27"/>
    </row>
    <row r="74" spans="1:9" x14ac:dyDescent="0.2">
      <c r="A74" s="11"/>
      <c r="B74" s="11"/>
      <c r="C74" s="11"/>
      <c r="D74" s="19"/>
      <c r="I74" s="27"/>
    </row>
    <row r="75" spans="1:9" ht="12" customHeight="1" x14ac:dyDescent="0.2">
      <c r="A75" s="11"/>
      <c r="B75" s="11"/>
      <c r="C75" s="11"/>
      <c r="D75" s="19"/>
      <c r="I75" s="27"/>
    </row>
    <row r="76" spans="1:9" ht="12" customHeight="1" x14ac:dyDescent="0.2">
      <c r="A76" s="11"/>
      <c r="B76" s="11"/>
      <c r="C76" s="11"/>
      <c r="D76" s="19"/>
      <c r="I76" s="27"/>
    </row>
    <row r="77" spans="1:9" x14ac:dyDescent="0.2">
      <c r="A77" s="11"/>
      <c r="B77" s="11"/>
      <c r="C77" s="11"/>
      <c r="D77" s="19"/>
      <c r="I77" s="27"/>
    </row>
    <row r="78" spans="1:9" x14ac:dyDescent="0.2">
      <c r="A78" s="11"/>
      <c r="B78" s="11"/>
      <c r="C78" s="11"/>
      <c r="D78" s="19"/>
      <c r="I78" s="27"/>
    </row>
    <row r="79" spans="1:9" x14ac:dyDescent="0.2">
      <c r="A79" s="11"/>
      <c r="B79" s="11"/>
      <c r="C79" s="11"/>
      <c r="D79" s="19"/>
      <c r="I79" s="27"/>
    </row>
    <row r="80" spans="1:9" x14ac:dyDescent="0.2">
      <c r="A80" s="11"/>
      <c r="B80" s="11"/>
      <c r="C80" s="11"/>
      <c r="D80" s="19"/>
      <c r="I80" s="27"/>
    </row>
    <row r="81" spans="1:9" x14ac:dyDescent="0.2">
      <c r="A81" s="11"/>
      <c r="B81" s="11"/>
      <c r="C81" s="11"/>
      <c r="D81" s="19"/>
      <c r="I81" s="27"/>
    </row>
    <row r="82" spans="1:9" x14ac:dyDescent="0.2">
      <c r="A82" s="11"/>
      <c r="B82" s="11"/>
      <c r="C82" s="11"/>
      <c r="D82" s="19"/>
      <c r="I82" s="27"/>
    </row>
    <row r="83" spans="1:9" x14ac:dyDescent="0.2">
      <c r="A83" s="11"/>
      <c r="B83" s="11"/>
      <c r="C83" s="11"/>
      <c r="D83" s="19"/>
      <c r="I83" s="27"/>
    </row>
    <row r="84" spans="1:9" x14ac:dyDescent="0.2">
      <c r="A84" s="11"/>
      <c r="B84" s="11"/>
      <c r="C84" s="11"/>
      <c r="D84" s="19"/>
      <c r="I84" s="27"/>
    </row>
    <row r="85" spans="1:9" x14ac:dyDescent="0.2">
      <c r="A85" s="11"/>
      <c r="B85" s="11"/>
      <c r="C85" s="11"/>
      <c r="D85" s="19"/>
      <c r="I85" s="27"/>
    </row>
    <row r="86" spans="1:9" x14ac:dyDescent="0.2">
      <c r="A86" s="11"/>
      <c r="B86" s="11"/>
      <c r="C86" s="11"/>
      <c r="D86" s="19"/>
      <c r="I86" s="27"/>
    </row>
    <row r="87" spans="1:9" x14ac:dyDescent="0.2">
      <c r="A87" s="11"/>
      <c r="B87" s="11"/>
      <c r="C87" s="11"/>
      <c r="D87" s="19"/>
      <c r="I87" s="27"/>
    </row>
    <row r="88" spans="1:9" x14ac:dyDescent="0.2">
      <c r="A88" s="11"/>
      <c r="B88" s="11"/>
      <c r="C88" s="11"/>
      <c r="D88" s="19"/>
      <c r="I88" s="27"/>
    </row>
    <row r="89" spans="1:9" x14ac:dyDescent="0.2">
      <c r="A89" s="11"/>
      <c r="B89" s="11"/>
      <c r="C89" s="11"/>
      <c r="D89" s="19"/>
      <c r="I89" s="27"/>
    </row>
    <row r="90" spans="1:9" x14ac:dyDescent="0.2">
      <c r="A90" s="11"/>
      <c r="B90" s="11"/>
      <c r="C90" s="11"/>
      <c r="D90" s="19"/>
      <c r="I90" s="27"/>
    </row>
    <row r="91" spans="1:9" x14ac:dyDescent="0.2">
      <c r="A91" s="11"/>
      <c r="B91" s="11"/>
      <c r="C91" s="11"/>
      <c r="D91" s="19"/>
      <c r="I91" s="27"/>
    </row>
    <row r="92" spans="1:9" x14ac:dyDescent="0.2">
      <c r="A92" s="11"/>
      <c r="B92" s="11"/>
      <c r="C92" s="11"/>
      <c r="D92" s="19"/>
      <c r="I92" s="27"/>
    </row>
    <row r="93" spans="1:9" x14ac:dyDescent="0.2">
      <c r="A93" s="11"/>
      <c r="B93" s="11"/>
      <c r="C93" s="11"/>
      <c r="D93" s="19"/>
      <c r="I93" s="27"/>
    </row>
    <row r="94" spans="1:9" x14ac:dyDescent="0.2">
      <c r="A94" s="11"/>
      <c r="B94" s="11"/>
      <c r="C94" s="11"/>
      <c r="D94" s="19"/>
      <c r="I94" s="27"/>
    </row>
    <row r="95" spans="1:9" x14ac:dyDescent="0.2">
      <c r="A95" s="11"/>
      <c r="B95" s="11"/>
      <c r="C95" s="11"/>
      <c r="D95" s="19"/>
      <c r="I95" s="27"/>
    </row>
    <row r="96" spans="1:9" x14ac:dyDescent="0.2">
      <c r="A96" s="11"/>
      <c r="B96" s="11"/>
      <c r="C96" s="11"/>
      <c r="D96" s="19"/>
      <c r="I96" s="27"/>
    </row>
    <row r="97" spans="1:9" x14ac:dyDescent="0.2">
      <c r="A97" s="11"/>
      <c r="B97" s="11"/>
      <c r="C97" s="11"/>
      <c r="D97" s="19"/>
      <c r="I97" s="27"/>
    </row>
    <row r="98" spans="1:9" x14ac:dyDescent="0.2">
      <c r="A98" s="11"/>
      <c r="B98" s="11"/>
      <c r="C98" s="11"/>
      <c r="D98" s="19"/>
      <c r="I98" s="27"/>
    </row>
    <row r="99" spans="1:9" x14ac:dyDescent="0.2">
      <c r="A99" s="11"/>
      <c r="B99" s="11"/>
      <c r="C99" s="11"/>
      <c r="D99" s="19"/>
      <c r="I99" s="27"/>
    </row>
    <row r="100" spans="1:9" x14ac:dyDescent="0.2">
      <c r="A100" s="11"/>
      <c r="B100" s="11"/>
      <c r="C100" s="11"/>
      <c r="D100" s="19"/>
      <c r="I100" s="27"/>
    </row>
    <row r="101" spans="1:9" x14ac:dyDescent="0.2">
      <c r="A101" s="11"/>
      <c r="B101" s="11"/>
      <c r="C101" s="11"/>
      <c r="D101" s="19"/>
      <c r="I101" s="27"/>
    </row>
    <row r="102" spans="1:9" x14ac:dyDescent="0.2">
      <c r="A102" s="11"/>
      <c r="B102" s="11"/>
      <c r="C102" s="11"/>
      <c r="D102" s="19"/>
      <c r="I102" s="27"/>
    </row>
    <row r="103" spans="1:9" x14ac:dyDescent="0.2">
      <c r="A103" s="11"/>
      <c r="B103" s="11"/>
      <c r="C103" s="11"/>
      <c r="D103" s="19"/>
      <c r="I103" s="27"/>
    </row>
    <row r="104" spans="1:9" x14ac:dyDescent="0.2">
      <c r="A104" s="11"/>
      <c r="B104" s="11"/>
      <c r="C104" s="11"/>
      <c r="D104" s="19"/>
      <c r="I104" s="27"/>
    </row>
    <row r="105" spans="1:9" x14ac:dyDescent="0.2">
      <c r="A105" s="11"/>
      <c r="B105" s="11"/>
      <c r="C105" s="11"/>
      <c r="D105" s="19"/>
      <c r="I105" s="27"/>
    </row>
    <row r="106" spans="1:9" x14ac:dyDescent="0.2">
      <c r="A106" s="11"/>
      <c r="B106" s="11"/>
      <c r="C106" s="11"/>
      <c r="D106" s="19"/>
      <c r="I106" s="27"/>
    </row>
    <row r="107" spans="1:9" x14ac:dyDescent="0.2">
      <c r="A107" s="11"/>
      <c r="B107" s="11"/>
      <c r="C107" s="11"/>
      <c r="D107" s="19"/>
      <c r="I107" s="27"/>
    </row>
    <row r="108" spans="1:9" x14ac:dyDescent="0.2">
      <c r="A108" s="11"/>
      <c r="B108" s="11"/>
      <c r="C108" s="11"/>
      <c r="D108" s="19"/>
      <c r="I108" s="27"/>
    </row>
    <row r="109" spans="1:9" x14ac:dyDescent="0.2">
      <c r="A109" s="11"/>
      <c r="B109" s="11"/>
      <c r="C109" s="11"/>
      <c r="D109" s="19"/>
      <c r="I109" s="27"/>
    </row>
    <row r="110" spans="1:9" x14ac:dyDescent="0.2">
      <c r="A110" s="11"/>
      <c r="B110" s="11"/>
      <c r="C110" s="11"/>
      <c r="D110" s="19"/>
      <c r="I110" s="27"/>
    </row>
    <row r="111" spans="1:9" x14ac:dyDescent="0.2">
      <c r="A111" s="11"/>
      <c r="B111" s="11"/>
      <c r="C111" s="11"/>
      <c r="D111" s="19"/>
      <c r="I111" s="27"/>
    </row>
    <row r="112" spans="1:9" x14ac:dyDescent="0.2">
      <c r="A112" s="11"/>
      <c r="B112" s="11"/>
      <c r="C112" s="11"/>
      <c r="D112" s="19"/>
      <c r="I112" s="27"/>
    </row>
    <row r="113" spans="1:9" x14ac:dyDescent="0.2">
      <c r="A113" s="11"/>
      <c r="B113" s="11"/>
      <c r="C113" s="11"/>
      <c r="D113" s="19"/>
      <c r="I113" s="27"/>
    </row>
    <row r="114" spans="1:9" x14ac:dyDescent="0.2">
      <c r="A114" s="11"/>
      <c r="B114" s="11"/>
      <c r="C114" s="11"/>
      <c r="D114" s="19"/>
      <c r="I114" s="27"/>
    </row>
    <row r="115" spans="1:9" x14ac:dyDescent="0.2">
      <c r="A115" s="11"/>
      <c r="B115" s="11"/>
      <c r="C115" s="11"/>
      <c r="D115" s="19"/>
      <c r="I115" s="27"/>
    </row>
    <row r="116" spans="1:9" x14ac:dyDescent="0.2">
      <c r="A116" s="11"/>
      <c r="B116" s="11"/>
      <c r="C116" s="11"/>
      <c r="D116" s="19"/>
      <c r="I116" s="27"/>
    </row>
    <row r="117" spans="1:9" x14ac:dyDescent="0.2">
      <c r="A117" s="11"/>
      <c r="B117" s="11"/>
      <c r="C117" s="11"/>
      <c r="D117" s="19"/>
      <c r="I117" s="27"/>
    </row>
    <row r="118" spans="1:9" x14ac:dyDescent="0.2">
      <c r="A118" s="11"/>
      <c r="B118" s="11"/>
      <c r="C118" s="11"/>
      <c r="D118" s="19"/>
      <c r="I118" s="27"/>
    </row>
    <row r="119" spans="1:9" x14ac:dyDescent="0.2">
      <c r="A119" s="11"/>
      <c r="B119" s="11"/>
      <c r="C119" s="11"/>
      <c r="D119" s="19"/>
      <c r="I119" s="27"/>
    </row>
    <row r="120" spans="1:9" x14ac:dyDescent="0.2">
      <c r="A120" s="11"/>
      <c r="B120" s="11"/>
      <c r="C120" s="11"/>
      <c r="D120" s="19"/>
      <c r="I120" s="27"/>
    </row>
    <row r="121" spans="1:9" x14ac:dyDescent="0.2">
      <c r="A121" s="11"/>
      <c r="B121" s="14"/>
      <c r="C121" s="14"/>
      <c r="D121" s="19"/>
      <c r="I121" s="27"/>
    </row>
    <row r="122" spans="1:9" x14ac:dyDescent="0.2">
      <c r="A122" s="11"/>
      <c r="B122" s="11"/>
      <c r="C122" s="11"/>
      <c r="D122" s="19"/>
      <c r="I122" s="27"/>
    </row>
    <row r="123" spans="1:9" x14ac:dyDescent="0.2">
      <c r="A123" s="11"/>
      <c r="B123" s="11"/>
      <c r="C123" s="11"/>
      <c r="D123" s="19"/>
      <c r="I123" s="27"/>
    </row>
    <row r="124" spans="1:9" x14ac:dyDescent="0.2">
      <c r="A124" s="11"/>
      <c r="B124" s="14"/>
      <c r="C124" s="14"/>
      <c r="D124" s="19"/>
      <c r="I124" s="27"/>
    </row>
    <row r="125" spans="1:9" x14ac:dyDescent="0.2">
      <c r="A125" s="11"/>
      <c r="B125" s="11"/>
      <c r="C125" s="11"/>
      <c r="D125" s="19"/>
      <c r="I125" s="27"/>
    </row>
    <row r="126" spans="1:9" x14ac:dyDescent="0.2">
      <c r="A126" s="11"/>
      <c r="B126" s="11"/>
      <c r="C126" s="11"/>
      <c r="D126" s="19"/>
      <c r="I126" s="27"/>
    </row>
    <row r="127" spans="1:9" x14ac:dyDescent="0.2">
      <c r="A127" s="11"/>
      <c r="B127" s="11"/>
      <c r="C127" s="11"/>
      <c r="D127" s="15"/>
      <c r="I127" s="27"/>
    </row>
    <row r="128" spans="1:9" x14ac:dyDescent="0.2">
      <c r="A128" s="11"/>
      <c r="B128" s="11"/>
      <c r="C128" s="11"/>
      <c r="D128" s="15"/>
      <c r="I128" s="27"/>
    </row>
    <row r="129" spans="1:9" x14ac:dyDescent="0.2">
      <c r="A129" s="11"/>
      <c r="B129" s="14"/>
      <c r="C129" s="14"/>
      <c r="D129" s="19"/>
      <c r="I129" s="27"/>
    </row>
    <row r="130" spans="1:9" x14ac:dyDescent="0.2">
      <c r="A130" s="11"/>
      <c r="B130" s="11"/>
      <c r="C130" s="11"/>
      <c r="D130" s="19"/>
      <c r="I130" s="27"/>
    </row>
    <row r="131" spans="1:9" x14ac:dyDescent="0.2">
      <c r="A131" s="11"/>
      <c r="B131" s="11"/>
      <c r="C131" s="11"/>
      <c r="D131" s="19"/>
      <c r="I131" s="27"/>
    </row>
    <row r="132" spans="1:9" x14ac:dyDescent="0.2">
      <c r="A132" s="16"/>
      <c r="D132" s="19"/>
      <c r="I132" s="27"/>
    </row>
    <row r="133" spans="1:9" x14ac:dyDescent="0.2">
      <c r="A133" s="11"/>
      <c r="B133" s="11"/>
      <c r="C133" s="11"/>
      <c r="D133" s="19"/>
      <c r="I133" s="27"/>
    </row>
    <row r="134" spans="1:9" x14ac:dyDescent="0.2">
      <c r="A134" s="11"/>
      <c r="B134" s="14"/>
      <c r="C134" s="14"/>
      <c r="D134" s="19"/>
      <c r="I134" s="27"/>
    </row>
    <row r="135" spans="1:9" x14ac:dyDescent="0.2">
      <c r="A135" s="11"/>
      <c r="B135" s="11"/>
      <c r="C135" s="11"/>
      <c r="D135" s="19"/>
      <c r="I135" s="27"/>
    </row>
    <row r="136" spans="1:9" x14ac:dyDescent="0.2">
      <c r="A136" s="11"/>
      <c r="B136" s="11"/>
      <c r="C136" s="11"/>
      <c r="D136" s="19"/>
      <c r="I136" s="27"/>
    </row>
    <row r="137" spans="1:9" x14ac:dyDescent="0.2">
      <c r="A137" s="11"/>
      <c r="B137" s="11"/>
      <c r="C137" s="11"/>
      <c r="D137" s="19"/>
      <c r="I137" s="27"/>
    </row>
    <row r="138" spans="1:9" x14ac:dyDescent="0.2">
      <c r="A138" s="11"/>
      <c r="B138" s="11"/>
      <c r="C138" s="11"/>
      <c r="D138" s="19"/>
      <c r="I138" s="27"/>
    </row>
    <row r="139" spans="1:9" x14ac:dyDescent="0.2">
      <c r="A139" s="11"/>
      <c r="B139" s="11"/>
      <c r="C139" s="11"/>
      <c r="D139" s="19"/>
      <c r="I139" s="27"/>
    </row>
    <row r="140" spans="1:9" x14ac:dyDescent="0.2">
      <c r="A140" s="11"/>
      <c r="B140" s="11"/>
      <c r="C140" s="11"/>
      <c r="D140" s="19"/>
      <c r="I140" s="27"/>
    </row>
    <row r="141" spans="1:9" x14ac:dyDescent="0.2">
      <c r="A141" s="11"/>
      <c r="B141" s="11"/>
      <c r="C141" s="11"/>
      <c r="D141" s="19"/>
      <c r="I141" s="27"/>
    </row>
    <row r="142" spans="1:9" x14ac:dyDescent="0.2">
      <c r="A142" s="11"/>
      <c r="B142" s="11"/>
      <c r="C142" s="11"/>
      <c r="D142" s="19"/>
      <c r="I142" s="27"/>
    </row>
    <row r="143" spans="1:9" x14ac:dyDescent="0.2">
      <c r="A143" s="11"/>
      <c r="B143" s="11"/>
      <c r="C143" s="11"/>
      <c r="D143" s="19"/>
      <c r="I143" s="27"/>
    </row>
    <row r="144" spans="1:9" x14ac:dyDescent="0.2">
      <c r="A144" s="11"/>
      <c r="B144" s="11"/>
      <c r="C144" s="11"/>
      <c r="D144" s="19"/>
      <c r="I144" s="27"/>
    </row>
    <row r="145" spans="1:9" x14ac:dyDescent="0.2">
      <c r="A145" s="11"/>
      <c r="B145" s="11"/>
      <c r="C145" s="11"/>
      <c r="D145" s="19"/>
      <c r="I145" s="27"/>
    </row>
    <row r="146" spans="1:9" x14ac:dyDescent="0.2">
      <c r="A146" s="11"/>
      <c r="B146" s="11"/>
      <c r="C146" s="11"/>
      <c r="D146" s="19"/>
      <c r="I146" s="27"/>
    </row>
    <row r="147" spans="1:9" x14ac:dyDescent="0.2">
      <c r="A147" s="11"/>
      <c r="B147" s="11"/>
      <c r="C147" s="11"/>
      <c r="D147" s="19"/>
      <c r="I147" s="27"/>
    </row>
    <row r="148" spans="1:9" x14ac:dyDescent="0.2">
      <c r="A148" s="11"/>
      <c r="B148" s="11"/>
      <c r="C148" s="11"/>
      <c r="D148" s="19"/>
      <c r="I148" s="27"/>
    </row>
    <row r="149" spans="1:9" x14ac:dyDescent="0.2">
      <c r="A149" s="11"/>
      <c r="B149" s="11"/>
      <c r="C149" s="11"/>
      <c r="D149" s="19"/>
      <c r="I149" s="27"/>
    </row>
    <row r="150" spans="1:9" x14ac:dyDescent="0.2">
      <c r="A150" s="11"/>
      <c r="B150" s="11"/>
      <c r="C150" s="11"/>
      <c r="D150" s="19"/>
      <c r="I150" s="27"/>
    </row>
    <row r="151" spans="1:9" x14ac:dyDescent="0.2">
      <c r="A151" s="11"/>
      <c r="B151" s="11"/>
      <c r="C151" s="11"/>
      <c r="D151" s="19"/>
      <c r="I151" s="27"/>
    </row>
    <row r="152" spans="1:9" x14ac:dyDescent="0.2">
      <c r="A152" s="11"/>
      <c r="B152" s="11"/>
      <c r="C152" s="11"/>
      <c r="D152" s="19"/>
      <c r="I152" s="27"/>
    </row>
    <row r="153" spans="1:9" x14ac:dyDescent="0.2">
      <c r="A153" s="11"/>
      <c r="B153" s="11"/>
      <c r="C153" s="11"/>
      <c r="D153" s="19"/>
      <c r="I153" s="27"/>
    </row>
    <row r="154" spans="1:9" x14ac:dyDescent="0.2">
      <c r="A154" s="11"/>
      <c r="B154" s="11"/>
      <c r="C154" s="11"/>
      <c r="D154" s="19"/>
      <c r="I154" s="27"/>
    </row>
    <row r="155" spans="1:9" x14ac:dyDescent="0.2">
      <c r="A155" s="11"/>
      <c r="B155" s="11"/>
      <c r="C155" s="11"/>
      <c r="D155" s="19"/>
      <c r="I155" s="27"/>
    </row>
    <row r="156" spans="1:9" x14ac:dyDescent="0.2">
      <c r="A156" s="11"/>
      <c r="B156" s="11"/>
      <c r="C156" s="11"/>
      <c r="D156" s="19"/>
      <c r="I156" s="27"/>
    </row>
    <row r="157" spans="1:9" x14ac:dyDescent="0.2">
      <c r="A157" s="11"/>
      <c r="B157" s="11"/>
      <c r="C157" s="11"/>
      <c r="D157" s="19"/>
      <c r="I157" s="27"/>
    </row>
    <row r="158" spans="1:9" x14ac:dyDescent="0.2">
      <c r="A158" s="11"/>
      <c r="B158" s="11"/>
      <c r="C158" s="11"/>
      <c r="D158" s="19"/>
      <c r="I158" s="27"/>
    </row>
    <row r="159" spans="1:9" x14ac:dyDescent="0.2">
      <c r="A159" s="11"/>
      <c r="B159" s="11"/>
      <c r="C159" s="11"/>
      <c r="D159" s="19"/>
      <c r="I159" s="27"/>
    </row>
    <row r="160" spans="1:9" x14ac:dyDescent="0.2">
      <c r="A160" s="11"/>
      <c r="B160" s="11"/>
      <c r="C160" s="11"/>
      <c r="D160" s="19"/>
      <c r="I160" s="27"/>
    </row>
    <row r="161" spans="1:9" x14ac:dyDescent="0.2">
      <c r="A161" s="11"/>
      <c r="B161" s="11"/>
      <c r="C161" s="11"/>
      <c r="D161" s="19"/>
      <c r="I161" s="27"/>
    </row>
    <row r="162" spans="1:9" x14ac:dyDescent="0.2">
      <c r="A162" s="11"/>
      <c r="B162" s="11"/>
      <c r="C162" s="11"/>
      <c r="D162" s="19"/>
      <c r="I162" s="27"/>
    </row>
    <row r="163" spans="1:9" x14ac:dyDescent="0.2">
      <c r="A163" s="11"/>
      <c r="B163" s="11"/>
      <c r="C163" s="11"/>
      <c r="D163" s="19"/>
      <c r="I163" s="27"/>
    </row>
    <row r="164" spans="1:9" x14ac:dyDescent="0.2">
      <c r="A164" s="11"/>
      <c r="B164" s="11"/>
      <c r="C164" s="11"/>
      <c r="D164" s="19"/>
      <c r="I164" s="27"/>
    </row>
    <row r="165" spans="1:9" x14ac:dyDescent="0.2">
      <c r="A165" s="11"/>
      <c r="B165" s="11"/>
      <c r="C165" s="11"/>
      <c r="D165" s="19"/>
      <c r="I165" s="27"/>
    </row>
    <row r="166" spans="1:9" x14ac:dyDescent="0.2">
      <c r="A166" s="11"/>
      <c r="B166" s="11"/>
      <c r="C166" s="11"/>
      <c r="D166" s="19"/>
      <c r="I166" s="27"/>
    </row>
    <row r="167" spans="1:9" x14ac:dyDescent="0.2">
      <c r="A167" s="11"/>
      <c r="B167" s="11"/>
      <c r="C167" s="11"/>
      <c r="D167" s="19"/>
      <c r="I167" s="27"/>
    </row>
    <row r="168" spans="1:9" x14ac:dyDescent="0.2">
      <c r="A168" s="11"/>
      <c r="B168" s="11"/>
      <c r="C168" s="11"/>
      <c r="D168" s="19"/>
      <c r="I168" s="27"/>
    </row>
    <row r="169" spans="1:9" x14ac:dyDescent="0.2">
      <c r="A169" s="11"/>
      <c r="B169" s="11"/>
      <c r="C169" s="11"/>
      <c r="D169" s="19"/>
      <c r="I169" s="27"/>
    </row>
    <row r="170" spans="1:9" x14ac:dyDescent="0.2">
      <c r="A170" s="11"/>
      <c r="B170" s="11"/>
      <c r="C170" s="11"/>
      <c r="D170" s="19"/>
      <c r="I170" s="27"/>
    </row>
    <row r="171" spans="1:9" x14ac:dyDescent="0.2">
      <c r="A171" s="11"/>
      <c r="B171" s="11"/>
      <c r="C171" s="11"/>
      <c r="D171" s="19"/>
      <c r="I171" s="27"/>
    </row>
    <row r="172" spans="1:9" x14ac:dyDescent="0.2">
      <c r="A172" s="11"/>
      <c r="B172" s="11"/>
      <c r="C172" s="11"/>
      <c r="D172" s="19"/>
      <c r="I172" s="27"/>
    </row>
    <row r="173" spans="1:9" x14ac:dyDescent="0.2">
      <c r="A173" s="11"/>
      <c r="B173" s="11"/>
      <c r="C173" s="11"/>
      <c r="D173" s="19"/>
      <c r="I173" s="27"/>
    </row>
    <row r="174" spans="1:9" x14ac:dyDescent="0.2">
      <c r="A174" s="11"/>
      <c r="B174" s="11"/>
      <c r="C174" s="11"/>
      <c r="D174" s="19"/>
      <c r="I174" s="27"/>
    </row>
    <row r="175" spans="1:9" x14ac:dyDescent="0.2">
      <c r="A175" s="11"/>
      <c r="B175" s="11"/>
      <c r="C175" s="11"/>
      <c r="D175" s="19"/>
      <c r="I175" s="27"/>
    </row>
    <row r="176" spans="1:9" x14ac:dyDescent="0.2">
      <c r="A176" s="11"/>
      <c r="B176" s="11"/>
      <c r="C176" s="11"/>
      <c r="D176" s="19"/>
      <c r="I176" s="27"/>
    </row>
    <row r="177" spans="1:9" x14ac:dyDescent="0.2">
      <c r="A177" s="11"/>
      <c r="B177" s="11"/>
      <c r="C177" s="11"/>
      <c r="D177" s="19"/>
      <c r="I177" s="27"/>
    </row>
    <row r="178" spans="1:9" x14ac:dyDescent="0.2">
      <c r="A178" s="11"/>
      <c r="B178" s="11"/>
      <c r="C178" s="11"/>
      <c r="D178" s="19"/>
      <c r="I178" s="27"/>
    </row>
    <row r="179" spans="1:9" x14ac:dyDescent="0.2">
      <c r="A179" s="11"/>
      <c r="B179" s="11"/>
      <c r="C179" s="11"/>
      <c r="D179" s="19"/>
      <c r="I179" s="27"/>
    </row>
    <row r="180" spans="1:9" x14ac:dyDescent="0.2">
      <c r="A180" s="11"/>
      <c r="B180" s="11"/>
      <c r="C180" s="11"/>
      <c r="D180" s="19"/>
      <c r="I180" s="27"/>
    </row>
    <row r="181" spans="1:9" x14ac:dyDescent="0.2">
      <c r="A181" s="11"/>
      <c r="B181" s="11"/>
      <c r="C181" s="11"/>
      <c r="D181" s="19"/>
      <c r="I181" s="27"/>
    </row>
    <row r="182" spans="1:9" x14ac:dyDescent="0.2">
      <c r="A182" s="11"/>
      <c r="B182" s="11"/>
      <c r="C182" s="11"/>
      <c r="D182" s="19"/>
      <c r="I182" s="27"/>
    </row>
    <row r="183" spans="1:9" x14ac:dyDescent="0.2">
      <c r="A183" s="11"/>
      <c r="B183" s="11"/>
      <c r="C183" s="11"/>
      <c r="D183" s="19"/>
      <c r="I183" s="27"/>
    </row>
    <row r="184" spans="1:9" x14ac:dyDescent="0.2">
      <c r="A184" s="11"/>
      <c r="B184" s="11"/>
      <c r="C184" s="11"/>
      <c r="D184" s="19"/>
      <c r="I184" s="27"/>
    </row>
    <row r="185" spans="1:9" x14ac:dyDescent="0.2">
      <c r="A185" s="11"/>
      <c r="B185" s="11"/>
      <c r="C185" s="11"/>
      <c r="D185" s="19"/>
      <c r="I185" s="27"/>
    </row>
    <row r="186" spans="1:9" x14ac:dyDescent="0.2">
      <c r="A186" s="11"/>
      <c r="B186" s="11"/>
      <c r="C186" s="11"/>
      <c r="D186" s="19"/>
      <c r="I186" s="27"/>
    </row>
    <row r="187" spans="1:9" x14ac:dyDescent="0.2">
      <c r="A187" s="11"/>
      <c r="B187" s="11"/>
      <c r="C187" s="11"/>
      <c r="D187" s="19"/>
      <c r="I187" s="27"/>
    </row>
    <row r="188" spans="1:9" x14ac:dyDescent="0.2">
      <c r="A188" s="11"/>
      <c r="B188" s="11"/>
      <c r="C188" s="11"/>
      <c r="D188" s="19"/>
      <c r="I188" s="27"/>
    </row>
    <row r="189" spans="1:9" x14ac:dyDescent="0.2">
      <c r="A189" s="11"/>
      <c r="B189" s="11"/>
      <c r="C189" s="11"/>
      <c r="D189" s="19"/>
      <c r="I189" s="27"/>
    </row>
    <row r="190" spans="1:9" x14ac:dyDescent="0.2">
      <c r="A190" s="11"/>
      <c r="B190" s="11"/>
      <c r="C190" s="11"/>
      <c r="D190" s="19"/>
      <c r="I190" s="27"/>
    </row>
    <row r="191" spans="1:9" x14ac:dyDescent="0.2">
      <c r="A191" s="11"/>
      <c r="B191" s="11"/>
      <c r="C191" s="11"/>
      <c r="D191" s="19"/>
      <c r="I191" s="27"/>
    </row>
    <row r="192" spans="1:9" x14ac:dyDescent="0.2">
      <c r="A192" s="11"/>
      <c r="B192" s="11"/>
      <c r="C192" s="11"/>
      <c r="D192" s="19"/>
      <c r="I192" s="27"/>
    </row>
    <row r="193" spans="1:9" x14ac:dyDescent="0.2">
      <c r="A193" s="11"/>
      <c r="B193" s="11"/>
      <c r="C193" s="11"/>
      <c r="D193" s="19"/>
      <c r="I193" s="27"/>
    </row>
    <row r="194" spans="1:9" x14ac:dyDescent="0.2">
      <c r="A194" s="11"/>
      <c r="B194" s="11"/>
      <c r="C194" s="11"/>
      <c r="D194" s="19"/>
      <c r="I194" s="27"/>
    </row>
    <row r="195" spans="1:9" x14ac:dyDescent="0.2">
      <c r="A195" s="11"/>
      <c r="B195" s="11"/>
      <c r="C195" s="11"/>
      <c r="D195" s="19"/>
      <c r="I195" s="27"/>
    </row>
    <row r="196" spans="1:9" x14ac:dyDescent="0.2">
      <c r="A196" s="11"/>
      <c r="B196" s="11"/>
      <c r="C196" s="11"/>
      <c r="D196" s="19"/>
      <c r="I196" s="27"/>
    </row>
    <row r="197" spans="1:9" x14ac:dyDescent="0.2">
      <c r="A197" s="11"/>
      <c r="B197" s="11"/>
      <c r="C197" s="11"/>
      <c r="D197" s="19"/>
      <c r="I197" s="27"/>
    </row>
    <row r="198" spans="1:9" x14ac:dyDescent="0.2">
      <c r="A198" s="11"/>
      <c r="B198" s="11"/>
      <c r="C198" s="11"/>
      <c r="D198" s="19"/>
      <c r="I198" s="27"/>
    </row>
    <row r="199" spans="1:9" x14ac:dyDescent="0.2">
      <c r="A199" s="11"/>
      <c r="B199" s="11"/>
      <c r="C199" s="11"/>
      <c r="D199" s="19"/>
      <c r="I199" s="27"/>
    </row>
    <row r="200" spans="1:9" x14ac:dyDescent="0.2">
      <c r="A200" s="11"/>
      <c r="B200" s="11"/>
      <c r="C200" s="11"/>
      <c r="D200" s="19"/>
      <c r="I200" s="27"/>
    </row>
    <row r="201" spans="1:9" x14ac:dyDescent="0.2">
      <c r="A201" s="11"/>
      <c r="B201" s="11"/>
      <c r="C201" s="11"/>
      <c r="D201" s="19"/>
      <c r="I201" s="27"/>
    </row>
    <row r="202" spans="1:9" x14ac:dyDescent="0.2">
      <c r="A202" s="11"/>
      <c r="B202" s="11"/>
      <c r="C202" s="11"/>
      <c r="D202" s="19"/>
      <c r="I202" s="27"/>
    </row>
    <row r="203" spans="1:9" x14ac:dyDescent="0.2">
      <c r="A203" s="11"/>
      <c r="B203" s="11"/>
      <c r="C203" s="11"/>
      <c r="D203" s="19"/>
      <c r="I203" s="27"/>
    </row>
    <row r="204" spans="1:9" x14ac:dyDescent="0.2">
      <c r="A204" s="11"/>
      <c r="B204" s="11"/>
      <c r="C204" s="11"/>
      <c r="D204" s="19"/>
      <c r="I204" s="27"/>
    </row>
    <row r="205" spans="1:9" x14ac:dyDescent="0.2">
      <c r="A205" s="11"/>
      <c r="B205" s="11"/>
      <c r="C205" s="11"/>
      <c r="D205" s="19"/>
      <c r="I205" s="27"/>
    </row>
    <row r="206" spans="1:9" x14ac:dyDescent="0.2">
      <c r="A206" s="11"/>
      <c r="B206" s="11"/>
      <c r="C206" s="11"/>
      <c r="D206" s="19"/>
      <c r="I206" s="27"/>
    </row>
    <row r="207" spans="1:9" x14ac:dyDescent="0.2">
      <c r="A207" s="11"/>
      <c r="B207" s="11"/>
      <c r="C207" s="11"/>
      <c r="D207" s="19"/>
      <c r="I207" s="27"/>
    </row>
    <row r="208" spans="1:9" x14ac:dyDescent="0.2">
      <c r="A208" s="11"/>
      <c r="B208" s="11"/>
      <c r="C208" s="11"/>
      <c r="D208" s="19"/>
      <c r="I208" s="27"/>
    </row>
    <row r="209" spans="1:9" x14ac:dyDescent="0.2">
      <c r="A209" s="11"/>
      <c r="B209" s="11"/>
      <c r="C209" s="11"/>
      <c r="D209" s="19"/>
      <c r="I209" s="27"/>
    </row>
    <row r="210" spans="1:9" x14ac:dyDescent="0.2">
      <c r="A210" s="11"/>
      <c r="B210" s="11"/>
      <c r="C210" s="11"/>
      <c r="D210" s="19"/>
      <c r="I210" s="27"/>
    </row>
    <row r="211" spans="1:9" x14ac:dyDescent="0.2">
      <c r="A211" s="11"/>
      <c r="B211" s="11"/>
      <c r="C211" s="11"/>
      <c r="D211" s="19"/>
      <c r="I211" s="27"/>
    </row>
    <row r="212" spans="1:9" x14ac:dyDescent="0.2">
      <c r="A212" s="11"/>
      <c r="B212" s="11"/>
      <c r="C212" s="11"/>
      <c r="D212" s="19"/>
      <c r="I212" s="27"/>
    </row>
    <row r="213" spans="1:9" x14ac:dyDescent="0.2">
      <c r="A213" s="11"/>
      <c r="B213" s="11"/>
      <c r="C213" s="11"/>
      <c r="D213" s="19"/>
      <c r="I213" s="27"/>
    </row>
    <row r="214" spans="1:9" x14ac:dyDescent="0.2">
      <c r="A214" s="11"/>
      <c r="B214" s="11"/>
      <c r="C214" s="11"/>
      <c r="D214" s="19"/>
      <c r="I214" s="27"/>
    </row>
    <row r="215" spans="1:9" x14ac:dyDescent="0.2">
      <c r="A215" s="11"/>
      <c r="B215" s="11"/>
      <c r="C215" s="11"/>
      <c r="D215" s="19"/>
      <c r="I215" s="27"/>
    </row>
    <row r="216" spans="1:9" x14ac:dyDescent="0.2">
      <c r="A216" s="11"/>
      <c r="B216" s="11"/>
      <c r="C216" s="11"/>
      <c r="D216" s="19"/>
      <c r="I216" s="27"/>
    </row>
    <row r="217" spans="1:9" x14ac:dyDescent="0.2">
      <c r="A217" s="11"/>
      <c r="B217" s="14"/>
      <c r="C217" s="14"/>
      <c r="D217" s="19"/>
      <c r="I217" s="27"/>
    </row>
    <row r="218" spans="1:9" x14ac:dyDescent="0.2">
      <c r="A218" s="11"/>
      <c r="B218" s="11"/>
      <c r="C218" s="11"/>
      <c r="D218" s="19"/>
      <c r="I218" s="27"/>
    </row>
    <row r="219" spans="1:9" x14ac:dyDescent="0.2">
      <c r="A219" s="11"/>
      <c r="B219" s="11"/>
      <c r="C219" s="11"/>
      <c r="D219" s="19"/>
      <c r="I219" s="27"/>
    </row>
    <row r="220" spans="1:9" x14ac:dyDescent="0.2">
      <c r="A220" s="11"/>
      <c r="B220" s="11"/>
      <c r="C220" s="11"/>
      <c r="D220" s="19"/>
      <c r="I220" s="27"/>
    </row>
    <row r="221" spans="1:9" x14ac:dyDescent="0.2">
      <c r="A221" s="11"/>
      <c r="B221" s="11"/>
      <c r="C221" s="11"/>
      <c r="D221" s="19"/>
      <c r="I221" s="27"/>
    </row>
    <row r="222" spans="1:9" x14ac:dyDescent="0.2">
      <c r="A222" s="11"/>
      <c r="B222" s="11"/>
      <c r="C222" s="11"/>
      <c r="D222" s="19"/>
      <c r="I222" s="27"/>
    </row>
    <row r="223" spans="1:9" x14ac:dyDescent="0.2">
      <c r="A223" s="11"/>
      <c r="B223" s="11"/>
      <c r="C223" s="11"/>
      <c r="D223" s="19"/>
      <c r="I223" s="27"/>
    </row>
    <row r="224" spans="1:9" x14ac:dyDescent="0.2">
      <c r="A224" s="11"/>
      <c r="B224" s="11"/>
      <c r="C224" s="11"/>
      <c r="D224" s="19"/>
      <c r="I224" s="27"/>
    </row>
    <row r="225" spans="1:9" x14ac:dyDescent="0.2">
      <c r="A225" s="11"/>
      <c r="B225" s="11"/>
      <c r="C225" s="11"/>
      <c r="D225" s="19"/>
      <c r="I225" s="27"/>
    </row>
    <row r="226" spans="1:9" x14ac:dyDescent="0.2">
      <c r="A226" s="11"/>
      <c r="B226" s="11"/>
      <c r="C226" s="11"/>
      <c r="D226" s="19"/>
      <c r="I226" s="27"/>
    </row>
    <row r="227" spans="1:9" x14ac:dyDescent="0.2">
      <c r="A227" s="11"/>
      <c r="B227" s="11"/>
      <c r="C227" s="11"/>
      <c r="D227" s="19"/>
      <c r="I227" s="27"/>
    </row>
    <row r="228" spans="1:9" x14ac:dyDescent="0.2">
      <c r="A228" s="11"/>
      <c r="B228" s="11"/>
      <c r="C228" s="11"/>
      <c r="D228" s="19"/>
      <c r="I228" s="27"/>
    </row>
    <row r="229" spans="1:9" x14ac:dyDescent="0.2">
      <c r="A229" s="11"/>
      <c r="B229" s="11"/>
      <c r="C229" s="11"/>
      <c r="D229" s="19"/>
      <c r="I229" s="27"/>
    </row>
    <row r="230" spans="1:9" x14ac:dyDescent="0.2">
      <c r="A230" s="11"/>
      <c r="B230" s="11"/>
      <c r="C230" s="11"/>
      <c r="D230" s="19"/>
      <c r="I230" s="27"/>
    </row>
    <row r="231" spans="1:9" x14ac:dyDescent="0.2">
      <c r="A231" s="11"/>
      <c r="B231" s="11"/>
      <c r="C231" s="11"/>
      <c r="D231" s="19"/>
      <c r="I231" s="27"/>
    </row>
    <row r="232" spans="1:9" x14ac:dyDescent="0.2">
      <c r="A232" s="11"/>
      <c r="B232" s="11"/>
      <c r="C232" s="11"/>
      <c r="D232" s="19"/>
      <c r="I232" s="27"/>
    </row>
    <row r="233" spans="1:9" x14ac:dyDescent="0.2">
      <c r="A233" s="11"/>
      <c r="B233" s="11"/>
      <c r="C233" s="11"/>
      <c r="D233" s="19"/>
      <c r="I233" s="27"/>
    </row>
    <row r="234" spans="1:9" x14ac:dyDescent="0.2">
      <c r="A234" s="11"/>
      <c r="B234" s="11"/>
      <c r="C234" s="11"/>
      <c r="D234" s="19"/>
      <c r="I234" s="27"/>
    </row>
    <row r="235" spans="1:9" x14ac:dyDescent="0.2">
      <c r="A235" s="11"/>
      <c r="B235" s="11"/>
      <c r="C235" s="11"/>
      <c r="D235" s="19"/>
      <c r="I235" s="27"/>
    </row>
    <row r="236" spans="1:9" x14ac:dyDescent="0.2">
      <c r="A236" s="11"/>
      <c r="B236" s="11"/>
      <c r="C236" s="11"/>
      <c r="D236" s="19"/>
      <c r="I236" s="27"/>
    </row>
    <row r="237" spans="1:9" x14ac:dyDescent="0.2">
      <c r="A237" s="11"/>
      <c r="B237" s="11"/>
      <c r="C237" s="11"/>
      <c r="D237" s="19"/>
      <c r="I237" s="27"/>
    </row>
    <row r="238" spans="1:9" x14ac:dyDescent="0.2">
      <c r="A238" s="11"/>
      <c r="B238" s="11"/>
      <c r="C238" s="11"/>
      <c r="D238" s="19"/>
      <c r="I238" s="27"/>
    </row>
    <row r="239" spans="1:9" x14ac:dyDescent="0.2">
      <c r="A239" s="11"/>
      <c r="B239" s="11"/>
      <c r="C239" s="11"/>
      <c r="D239" s="19"/>
      <c r="I239" s="27"/>
    </row>
    <row r="240" spans="1:9" x14ac:dyDescent="0.2">
      <c r="A240" s="11"/>
      <c r="B240" s="11"/>
      <c r="C240" s="11"/>
      <c r="D240" s="19"/>
      <c r="I240" s="27"/>
    </row>
    <row r="241" spans="1:9" x14ac:dyDescent="0.2">
      <c r="A241" s="11"/>
      <c r="B241" s="14"/>
      <c r="C241" s="14"/>
      <c r="D241" s="19"/>
      <c r="I241" s="27"/>
    </row>
    <row r="242" spans="1:9" x14ac:dyDescent="0.2">
      <c r="A242" s="11"/>
      <c r="B242" s="11"/>
      <c r="C242" s="11"/>
      <c r="D242" s="19"/>
      <c r="I242" s="27"/>
    </row>
    <row r="243" spans="1:9" x14ac:dyDescent="0.2">
      <c r="A243" s="11"/>
      <c r="B243" s="11"/>
      <c r="C243" s="11"/>
      <c r="D243" s="19"/>
      <c r="I243" s="27"/>
    </row>
    <row r="244" spans="1:9" x14ac:dyDescent="0.2">
      <c r="A244" s="11"/>
      <c r="B244" s="11"/>
      <c r="C244" s="11"/>
      <c r="D244" s="19"/>
      <c r="I244" s="27"/>
    </row>
    <row r="245" spans="1:9" x14ac:dyDescent="0.2">
      <c r="A245" s="11"/>
      <c r="B245" s="14"/>
      <c r="C245" s="14"/>
      <c r="D245" s="19"/>
      <c r="I245" s="27"/>
    </row>
    <row r="246" spans="1:9" x14ac:dyDescent="0.2">
      <c r="A246" s="11"/>
      <c r="B246" s="11"/>
      <c r="C246" s="11"/>
      <c r="D246" s="19"/>
      <c r="I246" s="27"/>
    </row>
    <row r="247" spans="1:9" x14ac:dyDescent="0.2">
      <c r="A247" s="11"/>
      <c r="B247" s="11"/>
      <c r="C247" s="11"/>
      <c r="D247" s="19"/>
      <c r="I247" s="27"/>
    </row>
    <row r="248" spans="1:9" x14ac:dyDescent="0.2">
      <c r="A248" s="11"/>
      <c r="B248" s="11"/>
      <c r="C248" s="11"/>
      <c r="D248" s="19"/>
      <c r="I248" s="27"/>
    </row>
    <row r="249" spans="1:9" x14ac:dyDescent="0.2">
      <c r="A249" s="11"/>
      <c r="B249" s="14"/>
      <c r="C249" s="14"/>
      <c r="D249" s="19"/>
      <c r="I249" s="27"/>
    </row>
    <row r="250" spans="1:9" x14ac:dyDescent="0.2">
      <c r="A250" s="11"/>
      <c r="B250" s="11"/>
      <c r="C250" s="11"/>
      <c r="D250" s="19"/>
      <c r="I250" s="27"/>
    </row>
    <row r="251" spans="1:9" x14ac:dyDescent="0.2">
      <c r="A251" s="11"/>
      <c r="B251" s="11"/>
      <c r="C251" s="11"/>
      <c r="D251" s="19"/>
      <c r="I251" s="27"/>
    </row>
    <row r="252" spans="1:9" x14ac:dyDescent="0.2">
      <c r="A252" s="11"/>
      <c r="B252" s="14"/>
      <c r="C252" s="14"/>
      <c r="D252" s="19"/>
      <c r="I252" s="27"/>
    </row>
    <row r="253" spans="1:9" x14ac:dyDescent="0.2">
      <c r="A253" s="11"/>
      <c r="B253" s="11"/>
      <c r="C253" s="11"/>
      <c r="D253" s="19"/>
      <c r="I253" s="27"/>
    </row>
    <row r="254" spans="1:9" x14ac:dyDescent="0.2">
      <c r="A254" s="11"/>
      <c r="B254" s="11"/>
      <c r="C254" s="11"/>
      <c r="D254" s="19"/>
      <c r="I254" s="27"/>
    </row>
    <row r="255" spans="1:9" x14ac:dyDescent="0.2">
      <c r="A255" s="11"/>
      <c r="B255" s="14"/>
      <c r="C255" s="14"/>
      <c r="D255" s="19"/>
      <c r="I255" s="27"/>
    </row>
    <row r="256" spans="1:9" x14ac:dyDescent="0.2">
      <c r="A256" s="11"/>
      <c r="B256" s="11"/>
      <c r="C256" s="11"/>
      <c r="D256" s="19"/>
      <c r="I256" s="27"/>
    </row>
    <row r="257" spans="1:9" x14ac:dyDescent="0.2">
      <c r="A257" s="11"/>
      <c r="B257" s="11"/>
      <c r="C257" s="11"/>
      <c r="D257" s="19"/>
      <c r="I257" s="27"/>
    </row>
    <row r="258" spans="1:9" x14ac:dyDescent="0.2">
      <c r="A258" s="11"/>
      <c r="B258" s="11"/>
      <c r="C258" s="11"/>
      <c r="D258" s="19"/>
      <c r="I258" s="27"/>
    </row>
    <row r="259" spans="1:9" x14ac:dyDescent="0.2">
      <c r="A259" s="11"/>
      <c r="B259" s="11"/>
      <c r="C259" s="11"/>
      <c r="D259" s="19"/>
      <c r="I259" s="27"/>
    </row>
    <row r="260" spans="1:9" x14ac:dyDescent="0.2">
      <c r="A260" s="11"/>
      <c r="B260" s="11"/>
      <c r="C260" s="11"/>
      <c r="D260" s="19"/>
      <c r="I260" s="27"/>
    </row>
    <row r="261" spans="1:9" x14ac:dyDescent="0.2">
      <c r="A261" s="11"/>
      <c r="B261" s="11"/>
      <c r="C261" s="11"/>
      <c r="D261" s="19"/>
      <c r="I261" s="27"/>
    </row>
    <row r="262" spans="1:9" x14ac:dyDescent="0.2">
      <c r="A262" s="11"/>
      <c r="B262" s="11"/>
      <c r="C262" s="11"/>
      <c r="D262" s="19"/>
      <c r="I262" s="27"/>
    </row>
    <row r="263" spans="1:9" x14ac:dyDescent="0.2">
      <c r="A263" s="11"/>
      <c r="B263" s="11"/>
      <c r="C263" s="11"/>
      <c r="D263" s="19"/>
      <c r="I263" s="27"/>
    </row>
    <row r="264" spans="1:9" x14ac:dyDescent="0.2">
      <c r="A264" s="11"/>
      <c r="B264" s="11"/>
      <c r="C264" s="11"/>
      <c r="D264" s="19"/>
      <c r="I264" s="27"/>
    </row>
    <row r="265" spans="1:9" x14ac:dyDescent="0.2">
      <c r="A265" s="11"/>
      <c r="B265" s="11"/>
      <c r="C265" s="11"/>
      <c r="D265" s="19"/>
      <c r="I265" s="27"/>
    </row>
    <row r="266" spans="1:9" x14ac:dyDescent="0.2">
      <c r="A266" s="11"/>
      <c r="B266" s="11"/>
      <c r="C266" s="11"/>
      <c r="D266" s="19"/>
      <c r="I266" s="27"/>
    </row>
    <row r="267" spans="1:9" x14ac:dyDescent="0.2">
      <c r="A267" s="11"/>
      <c r="B267" s="11"/>
      <c r="C267" s="11"/>
      <c r="D267" s="19"/>
      <c r="I267" s="27"/>
    </row>
    <row r="268" spans="1:9" x14ac:dyDescent="0.2">
      <c r="A268" s="11"/>
      <c r="B268" s="11"/>
      <c r="C268" s="11"/>
      <c r="D268" s="19"/>
      <c r="I268" s="27"/>
    </row>
    <row r="269" spans="1:9" x14ac:dyDescent="0.2">
      <c r="A269" s="11"/>
      <c r="B269" s="11"/>
      <c r="C269" s="11"/>
      <c r="D269" s="19"/>
      <c r="I269" s="27"/>
    </row>
    <row r="270" spans="1:9" x14ac:dyDescent="0.2">
      <c r="A270" s="11"/>
      <c r="B270" s="14"/>
      <c r="C270" s="14"/>
      <c r="D270" s="19"/>
      <c r="I270" s="27"/>
    </row>
    <row r="271" spans="1:9" x14ac:dyDescent="0.2">
      <c r="A271" s="11"/>
      <c r="B271" s="11"/>
      <c r="C271" s="11"/>
      <c r="D271" s="19"/>
      <c r="I271" s="27"/>
    </row>
    <row r="272" spans="1:9" x14ac:dyDescent="0.2">
      <c r="A272" s="11"/>
      <c r="B272" s="11"/>
      <c r="C272" s="11"/>
      <c r="D272" s="19"/>
      <c r="I272" s="27"/>
    </row>
    <row r="273" spans="1:9" x14ac:dyDescent="0.2">
      <c r="A273" s="11"/>
      <c r="B273" s="11"/>
      <c r="C273" s="11"/>
      <c r="D273" s="19"/>
      <c r="I273" s="27"/>
    </row>
    <row r="274" spans="1:9" x14ac:dyDescent="0.2">
      <c r="A274" s="11"/>
      <c r="B274" s="14"/>
      <c r="C274" s="14"/>
      <c r="D274" s="19"/>
      <c r="I274" s="27"/>
    </row>
    <row r="275" spans="1:9" x14ac:dyDescent="0.2">
      <c r="A275" s="11"/>
      <c r="B275" s="11"/>
      <c r="C275" s="11"/>
      <c r="D275" s="19"/>
      <c r="I275" s="27"/>
    </row>
    <row r="276" spans="1:9" x14ac:dyDescent="0.2">
      <c r="A276" s="11"/>
      <c r="B276" s="11"/>
      <c r="C276" s="11"/>
      <c r="D276" s="19"/>
      <c r="I276" s="27"/>
    </row>
    <row r="277" spans="1:9" x14ac:dyDescent="0.2">
      <c r="A277" s="11"/>
      <c r="B277" s="11"/>
      <c r="C277" s="11"/>
      <c r="D277" s="19"/>
      <c r="I277" s="27"/>
    </row>
    <row r="278" spans="1:9" x14ac:dyDescent="0.2">
      <c r="A278" s="11"/>
      <c r="B278" s="14"/>
      <c r="C278" s="14"/>
      <c r="D278" s="19"/>
      <c r="I278" s="27"/>
    </row>
    <row r="279" spans="1:9" x14ac:dyDescent="0.2">
      <c r="A279" s="11"/>
      <c r="B279" s="11"/>
      <c r="C279" s="11"/>
      <c r="D279" s="19"/>
      <c r="I279" s="27"/>
    </row>
    <row r="280" spans="1:9" x14ac:dyDescent="0.2">
      <c r="A280" s="11"/>
      <c r="B280" s="14"/>
      <c r="C280" s="14"/>
      <c r="D280" s="19"/>
      <c r="I280" s="27"/>
    </row>
    <row r="281" spans="1:9" x14ac:dyDescent="0.2">
      <c r="A281" s="11"/>
      <c r="B281" s="11"/>
      <c r="C281" s="11"/>
      <c r="D281" s="19"/>
      <c r="I281" s="27"/>
    </row>
    <row r="282" spans="1:9" x14ac:dyDescent="0.2">
      <c r="A282" s="11"/>
      <c r="B282" s="11"/>
      <c r="C282" s="11"/>
      <c r="D282" s="19"/>
      <c r="I282" s="27"/>
    </row>
    <row r="283" spans="1:9" x14ac:dyDescent="0.2">
      <c r="A283" s="11"/>
      <c r="B283" s="11"/>
      <c r="C283" s="11"/>
      <c r="D283" s="19"/>
      <c r="I283" s="27"/>
    </row>
    <row r="284" spans="1:9" x14ac:dyDescent="0.2">
      <c r="A284" s="11"/>
      <c r="B284" s="11"/>
      <c r="C284" s="11"/>
      <c r="D284" s="19"/>
      <c r="I284" s="27"/>
    </row>
    <row r="285" spans="1:9" x14ac:dyDescent="0.2">
      <c r="A285" s="11"/>
      <c r="B285" s="11"/>
      <c r="C285" s="11"/>
      <c r="D285" s="19"/>
      <c r="I285" s="27"/>
    </row>
    <row r="286" spans="1:9" x14ac:dyDescent="0.2">
      <c r="A286" s="11"/>
      <c r="B286" s="11"/>
      <c r="C286" s="11"/>
      <c r="D286" s="15"/>
      <c r="I286" s="27"/>
    </row>
    <row r="287" spans="1:9" x14ac:dyDescent="0.2">
      <c r="A287" s="11"/>
      <c r="B287" s="11"/>
      <c r="C287" s="11"/>
      <c r="D287" s="19"/>
      <c r="I287" s="27"/>
    </row>
    <row r="288" spans="1:9" x14ac:dyDescent="0.2">
      <c r="A288" s="11"/>
      <c r="B288" s="11"/>
      <c r="C288" s="11"/>
      <c r="D288" s="19"/>
      <c r="I288" s="27"/>
    </row>
    <row r="289" spans="1:9" x14ac:dyDescent="0.2">
      <c r="A289" s="11"/>
      <c r="B289" s="11"/>
      <c r="C289" s="11"/>
      <c r="D289" s="19"/>
      <c r="I289" s="27"/>
    </row>
    <row r="290" spans="1:9" x14ac:dyDescent="0.2">
      <c r="A290" s="11"/>
      <c r="B290" s="11"/>
      <c r="C290" s="11"/>
      <c r="D290" s="19"/>
      <c r="I290" s="27"/>
    </row>
    <row r="291" spans="1:9" x14ac:dyDescent="0.2">
      <c r="A291" s="11"/>
      <c r="B291" s="11"/>
      <c r="C291" s="11"/>
      <c r="D291" s="19"/>
      <c r="I291" s="27"/>
    </row>
    <row r="292" spans="1:9" x14ac:dyDescent="0.2">
      <c r="A292" s="11"/>
      <c r="B292" s="11"/>
      <c r="C292" s="11"/>
      <c r="D292" s="19"/>
      <c r="I292" s="27"/>
    </row>
    <row r="293" spans="1:9" x14ac:dyDescent="0.2">
      <c r="A293" s="11"/>
      <c r="B293" s="11"/>
      <c r="C293" s="11"/>
      <c r="D293" s="19"/>
      <c r="I293" s="27"/>
    </row>
    <row r="294" spans="1:9" x14ac:dyDescent="0.2">
      <c r="A294" s="11"/>
      <c r="B294" s="11"/>
      <c r="C294" s="11"/>
      <c r="D294" s="19"/>
      <c r="I294" s="27"/>
    </row>
    <row r="295" spans="1:9" x14ac:dyDescent="0.2">
      <c r="A295" s="11"/>
      <c r="B295" s="11"/>
      <c r="C295" s="11"/>
      <c r="D295" s="19"/>
      <c r="I295" s="27"/>
    </row>
    <row r="296" spans="1:9" x14ac:dyDescent="0.2">
      <c r="A296" s="11"/>
      <c r="B296" s="11"/>
      <c r="C296" s="11"/>
      <c r="D296" s="19"/>
      <c r="I296" s="27"/>
    </row>
    <row r="297" spans="1:9" x14ac:dyDescent="0.2">
      <c r="A297" s="11"/>
      <c r="B297" s="14"/>
      <c r="C297" s="14"/>
      <c r="D297" s="19"/>
      <c r="I297" s="27"/>
    </row>
    <row r="298" spans="1:9" x14ac:dyDescent="0.2">
      <c r="A298" s="11"/>
      <c r="B298" s="11"/>
      <c r="C298" s="11"/>
      <c r="D298" s="19"/>
      <c r="I298" s="27"/>
    </row>
    <row r="299" spans="1:9" x14ac:dyDescent="0.2">
      <c r="A299" s="11"/>
      <c r="B299" s="11"/>
      <c r="C299" s="11"/>
      <c r="D299" s="19"/>
      <c r="I299" s="27"/>
    </row>
    <row r="300" spans="1:9" x14ac:dyDescent="0.2">
      <c r="A300" s="11"/>
      <c r="B300" s="11"/>
      <c r="C300" s="11"/>
      <c r="D300" s="19"/>
      <c r="I300" s="27"/>
    </row>
    <row r="301" spans="1:9" x14ac:dyDescent="0.2">
      <c r="A301" s="11"/>
      <c r="B301" s="11"/>
      <c r="C301" s="11"/>
      <c r="D301" s="19"/>
      <c r="I301" s="27"/>
    </row>
    <row r="302" spans="1:9" x14ac:dyDescent="0.2">
      <c r="A302" s="11"/>
      <c r="B302" s="11"/>
      <c r="C302" s="11"/>
      <c r="D302" s="19"/>
      <c r="I302" s="27"/>
    </row>
    <row r="303" spans="1:9" x14ac:dyDescent="0.2">
      <c r="A303" s="11"/>
      <c r="B303" s="8"/>
      <c r="C303" s="8"/>
      <c r="D303" s="19"/>
      <c r="I303" s="27"/>
    </row>
    <row r="304" spans="1:9" x14ac:dyDescent="0.2">
      <c r="A304" s="11"/>
      <c r="B304" s="11"/>
      <c r="C304" s="11"/>
      <c r="D304" s="19"/>
      <c r="I304" s="27"/>
    </row>
    <row r="305" spans="1:9" x14ac:dyDescent="0.2">
      <c r="A305" s="11"/>
      <c r="B305" s="11"/>
      <c r="C305" s="11"/>
      <c r="D305" s="19"/>
      <c r="I305" s="27"/>
    </row>
    <row r="306" spans="1:9" x14ac:dyDescent="0.2">
      <c r="A306" s="11"/>
      <c r="B306" s="11"/>
      <c r="C306" s="11"/>
      <c r="D306" s="19"/>
      <c r="I306" s="27"/>
    </row>
    <row r="307" spans="1:9" x14ac:dyDescent="0.2">
      <c r="A307" s="11"/>
      <c r="B307" s="11"/>
      <c r="C307" s="11"/>
      <c r="D307" s="19"/>
      <c r="I307" s="27"/>
    </row>
    <row r="308" spans="1:9" x14ac:dyDescent="0.2">
      <c r="A308" s="11"/>
      <c r="B308" s="11"/>
      <c r="C308" s="11"/>
      <c r="D308" s="19"/>
      <c r="I308" s="27"/>
    </row>
    <row r="309" spans="1:9" x14ac:dyDescent="0.2">
      <c r="A309" s="11"/>
      <c r="B309" s="11"/>
      <c r="C309" s="11"/>
      <c r="D309" s="19"/>
      <c r="I309" s="27"/>
    </row>
    <row r="310" spans="1:9" x14ac:dyDescent="0.2">
      <c r="A310" s="11"/>
      <c r="B310" s="11"/>
      <c r="C310" s="11"/>
      <c r="D310" s="19"/>
      <c r="I310" s="27"/>
    </row>
    <row r="311" spans="1:9" x14ac:dyDescent="0.2">
      <c r="A311" s="11"/>
      <c r="B311" s="11"/>
      <c r="C311" s="11"/>
      <c r="D311" s="19"/>
      <c r="I311" s="27"/>
    </row>
    <row r="312" spans="1:9" x14ac:dyDescent="0.2">
      <c r="A312" s="11"/>
      <c r="B312" s="11"/>
      <c r="C312" s="11"/>
      <c r="D312" s="19"/>
      <c r="I312" s="27"/>
    </row>
    <row r="313" spans="1:9" x14ac:dyDescent="0.2">
      <c r="A313" s="11"/>
      <c r="B313" s="11"/>
      <c r="C313" s="11"/>
      <c r="D313" s="19"/>
      <c r="I313" s="27"/>
    </row>
    <row r="314" spans="1:9" x14ac:dyDescent="0.2">
      <c r="A314" s="11"/>
      <c r="B314" s="11"/>
      <c r="C314" s="11"/>
      <c r="D314" s="19"/>
      <c r="I314" s="27"/>
    </row>
    <row r="315" spans="1:9" x14ac:dyDescent="0.2">
      <c r="A315" s="11"/>
      <c r="B315" s="11"/>
      <c r="C315" s="11"/>
      <c r="D315" s="19"/>
      <c r="I315" s="27"/>
    </row>
    <row r="316" spans="1:9" x14ac:dyDescent="0.2">
      <c r="A316" s="11"/>
      <c r="B316" s="11"/>
      <c r="C316" s="11"/>
      <c r="D316" s="19"/>
      <c r="I316" s="27"/>
    </row>
    <row r="317" spans="1:9" x14ac:dyDescent="0.2">
      <c r="A317" s="11"/>
      <c r="B317" s="11"/>
      <c r="C317" s="11"/>
      <c r="D317" s="19"/>
      <c r="I317" s="27"/>
    </row>
    <row r="318" spans="1:9" x14ac:dyDescent="0.2">
      <c r="A318" s="11"/>
      <c r="B318" s="11"/>
      <c r="C318" s="11"/>
      <c r="D318" s="19"/>
      <c r="I318" s="27"/>
    </row>
    <row r="319" spans="1:9" x14ac:dyDescent="0.2">
      <c r="A319" s="11"/>
      <c r="B319" s="11"/>
      <c r="C319" s="11"/>
      <c r="D319" s="19"/>
      <c r="I319" s="27"/>
    </row>
    <row r="320" spans="1:9" x14ac:dyDescent="0.2">
      <c r="A320" s="11"/>
      <c r="B320" s="11"/>
      <c r="C320" s="11"/>
      <c r="D320" s="19"/>
      <c r="I320" s="27"/>
    </row>
    <row r="321" spans="1:9" x14ac:dyDescent="0.2">
      <c r="A321" s="11"/>
      <c r="B321" s="11"/>
      <c r="C321" s="11"/>
      <c r="D321" s="19"/>
      <c r="I321" s="27"/>
    </row>
    <row r="322" spans="1:9" x14ac:dyDescent="0.2">
      <c r="A322" s="11"/>
      <c r="B322" s="11"/>
      <c r="C322" s="11"/>
      <c r="D322" s="19"/>
      <c r="I322" s="27"/>
    </row>
    <row r="323" spans="1:9" x14ac:dyDescent="0.2">
      <c r="A323" s="11"/>
      <c r="B323" s="11"/>
      <c r="C323" s="11"/>
      <c r="D323" s="19"/>
      <c r="I323" s="27"/>
    </row>
    <row r="324" spans="1:9" x14ac:dyDescent="0.2">
      <c r="A324" s="11"/>
      <c r="B324" s="11"/>
      <c r="C324" s="11"/>
      <c r="D324" s="19"/>
      <c r="I324" s="27"/>
    </row>
    <row r="325" spans="1:9" x14ac:dyDescent="0.2">
      <c r="A325" s="11"/>
      <c r="B325" s="11"/>
      <c r="C325" s="11"/>
      <c r="D325" s="19"/>
      <c r="I325" s="27"/>
    </row>
    <row r="326" spans="1:9" x14ac:dyDescent="0.2">
      <c r="A326" s="11"/>
      <c r="B326" s="11"/>
      <c r="C326" s="11"/>
      <c r="D326" s="19"/>
      <c r="I326" s="27"/>
    </row>
    <row r="327" spans="1:9" x14ac:dyDescent="0.2">
      <c r="A327" s="11"/>
      <c r="B327" s="11"/>
      <c r="C327" s="11"/>
      <c r="D327" s="19"/>
      <c r="I327" s="27"/>
    </row>
    <row r="328" spans="1:9" x14ac:dyDescent="0.2">
      <c r="A328" s="11"/>
      <c r="B328" s="11"/>
      <c r="C328" s="11"/>
      <c r="D328" s="19"/>
      <c r="I328" s="27"/>
    </row>
    <row r="329" spans="1:9" x14ac:dyDescent="0.2">
      <c r="A329" s="11"/>
      <c r="B329" s="11"/>
      <c r="C329" s="11"/>
      <c r="D329" s="19"/>
      <c r="I329" s="27"/>
    </row>
    <row r="330" spans="1:9" x14ac:dyDescent="0.2">
      <c r="A330" s="11"/>
      <c r="B330" s="11"/>
      <c r="C330" s="11"/>
      <c r="D330" s="19"/>
      <c r="I330" s="27"/>
    </row>
    <row r="331" spans="1:9" x14ac:dyDescent="0.2">
      <c r="A331" s="11"/>
      <c r="B331" s="11"/>
      <c r="C331" s="11"/>
      <c r="D331" s="19"/>
      <c r="I331" s="27"/>
    </row>
    <row r="332" spans="1:9" x14ac:dyDescent="0.2">
      <c r="A332" s="11"/>
      <c r="B332" s="11"/>
      <c r="C332" s="11"/>
      <c r="D332" s="19"/>
      <c r="I332" s="27"/>
    </row>
    <row r="333" spans="1:9" x14ac:dyDescent="0.2">
      <c r="A333" s="11"/>
      <c r="B333" s="11"/>
      <c r="C333" s="11"/>
      <c r="D333" s="19"/>
      <c r="I333" s="27"/>
    </row>
    <row r="334" spans="1:9" x14ac:dyDescent="0.2">
      <c r="A334" s="11"/>
      <c r="B334" s="11"/>
      <c r="C334" s="11"/>
      <c r="D334" s="19"/>
      <c r="I334" s="27"/>
    </row>
    <row r="335" spans="1:9" x14ac:dyDescent="0.2">
      <c r="A335" s="11"/>
      <c r="B335" s="11"/>
      <c r="C335" s="11"/>
      <c r="D335" s="19"/>
      <c r="I335" s="27"/>
    </row>
    <row r="336" spans="1:9" x14ac:dyDescent="0.2">
      <c r="A336" s="11"/>
      <c r="B336" s="11"/>
      <c r="C336" s="11"/>
      <c r="D336" s="19"/>
      <c r="I336" s="27"/>
    </row>
    <row r="337" spans="1:9" x14ac:dyDescent="0.2">
      <c r="A337" s="11"/>
      <c r="B337" s="11"/>
      <c r="C337" s="11"/>
      <c r="D337" s="19"/>
      <c r="I337" s="27"/>
    </row>
    <row r="338" spans="1:9" x14ac:dyDescent="0.2">
      <c r="A338" s="11"/>
      <c r="B338" s="11"/>
      <c r="C338" s="11"/>
      <c r="D338" s="19"/>
      <c r="I338" s="27"/>
    </row>
    <row r="339" spans="1:9" x14ac:dyDescent="0.2">
      <c r="A339" s="11"/>
      <c r="B339" s="11"/>
      <c r="C339" s="11"/>
      <c r="D339" s="19"/>
      <c r="I339" s="27"/>
    </row>
    <row r="340" spans="1:9" x14ac:dyDescent="0.2">
      <c r="A340" s="11"/>
      <c r="B340" s="11"/>
      <c r="C340" s="11"/>
      <c r="D340" s="19"/>
      <c r="I340" s="27"/>
    </row>
    <row r="341" spans="1:9" x14ac:dyDescent="0.2">
      <c r="A341" s="11"/>
      <c r="B341" s="11"/>
      <c r="C341" s="11"/>
      <c r="D341" s="19"/>
      <c r="I341" s="27"/>
    </row>
    <row r="342" spans="1:9" x14ac:dyDescent="0.2">
      <c r="A342" s="11"/>
      <c r="B342" s="11"/>
      <c r="C342" s="11"/>
      <c r="D342" s="19"/>
      <c r="I342" s="27"/>
    </row>
    <row r="343" spans="1:9" x14ac:dyDescent="0.2">
      <c r="A343" s="11"/>
      <c r="B343" s="11"/>
      <c r="C343" s="11"/>
      <c r="D343" s="19"/>
      <c r="I343" s="27"/>
    </row>
    <row r="344" spans="1:9" x14ac:dyDescent="0.2">
      <c r="A344" s="11"/>
      <c r="B344" s="11"/>
      <c r="C344" s="11"/>
      <c r="D344" s="19"/>
      <c r="I344" s="27"/>
    </row>
    <row r="345" spans="1:9" x14ac:dyDescent="0.2">
      <c r="A345" s="11"/>
      <c r="B345" s="11"/>
      <c r="C345" s="11"/>
      <c r="D345" s="19"/>
      <c r="I345" s="27"/>
    </row>
    <row r="346" spans="1:9" x14ac:dyDescent="0.2">
      <c r="A346" s="11"/>
      <c r="B346" s="11"/>
      <c r="C346" s="11"/>
      <c r="D346" s="19"/>
      <c r="I346" s="27"/>
    </row>
    <row r="347" spans="1:9" x14ac:dyDescent="0.2">
      <c r="A347" s="11"/>
      <c r="B347" s="11"/>
      <c r="C347" s="11"/>
      <c r="D347" s="19"/>
      <c r="I347" s="27"/>
    </row>
    <row r="348" spans="1:9" x14ac:dyDescent="0.2">
      <c r="A348" s="11"/>
      <c r="B348" s="11"/>
      <c r="C348" s="11"/>
      <c r="D348" s="19"/>
      <c r="I348" s="27"/>
    </row>
    <row r="349" spans="1:9" x14ac:dyDescent="0.2">
      <c r="A349" s="11"/>
      <c r="B349" s="11"/>
      <c r="C349" s="11"/>
      <c r="D349" s="19"/>
      <c r="I349" s="27"/>
    </row>
    <row r="350" spans="1:9" x14ac:dyDescent="0.2">
      <c r="A350" s="11"/>
      <c r="B350" s="11"/>
      <c r="C350" s="11"/>
      <c r="D350" s="19"/>
      <c r="I350" s="27"/>
    </row>
    <row r="351" spans="1:9" x14ac:dyDescent="0.2">
      <c r="A351" s="11"/>
      <c r="B351" s="11"/>
      <c r="C351" s="11"/>
      <c r="D351" s="19"/>
      <c r="I351" s="27"/>
    </row>
    <row r="352" spans="1:9" x14ac:dyDescent="0.2">
      <c r="A352" s="11"/>
      <c r="B352" s="11"/>
      <c r="C352" s="11"/>
      <c r="D352" s="19"/>
      <c r="I352" s="27"/>
    </row>
    <row r="353" spans="1:9" x14ac:dyDescent="0.2">
      <c r="A353" s="11"/>
      <c r="B353" s="11"/>
      <c r="C353" s="11"/>
      <c r="D353" s="19"/>
      <c r="I353" s="27"/>
    </row>
    <row r="354" spans="1:9" x14ac:dyDescent="0.2">
      <c r="A354" s="11"/>
      <c r="B354" s="11"/>
      <c r="C354" s="11"/>
      <c r="D354" s="19"/>
      <c r="I354" s="27"/>
    </row>
    <row r="355" spans="1:9" x14ac:dyDescent="0.2">
      <c r="A355" s="11"/>
      <c r="B355" s="11"/>
      <c r="C355" s="11"/>
      <c r="D355" s="19"/>
      <c r="I355" s="27"/>
    </row>
    <row r="356" spans="1:9" x14ac:dyDescent="0.2">
      <c r="A356" s="11"/>
      <c r="B356" s="11"/>
      <c r="C356" s="11"/>
      <c r="D356" s="19"/>
      <c r="I356" s="27"/>
    </row>
    <row r="357" spans="1:9" x14ac:dyDescent="0.2">
      <c r="A357" s="11"/>
      <c r="B357" s="11"/>
      <c r="C357" s="11"/>
      <c r="D357" s="19"/>
      <c r="I357" s="27"/>
    </row>
    <row r="358" spans="1:9" x14ac:dyDescent="0.2">
      <c r="A358" s="11"/>
      <c r="B358" s="11"/>
      <c r="C358" s="11"/>
      <c r="D358" s="19"/>
      <c r="I358" s="27"/>
    </row>
    <row r="359" spans="1:9" x14ac:dyDescent="0.2">
      <c r="A359" s="11"/>
      <c r="B359" s="11"/>
      <c r="C359" s="11"/>
      <c r="D359" s="19"/>
      <c r="I359" s="27"/>
    </row>
    <row r="360" spans="1:9" x14ac:dyDescent="0.2">
      <c r="A360" s="11"/>
      <c r="B360" s="11"/>
      <c r="C360" s="11"/>
      <c r="D360" s="19"/>
      <c r="I360" s="27"/>
    </row>
    <row r="361" spans="1:9" x14ac:dyDescent="0.2">
      <c r="A361" s="11"/>
      <c r="B361" s="11"/>
      <c r="C361" s="11"/>
      <c r="D361" s="19"/>
      <c r="I361" s="27"/>
    </row>
    <row r="362" spans="1:9" x14ac:dyDescent="0.2">
      <c r="A362" s="11"/>
      <c r="B362" s="11"/>
      <c r="C362" s="11"/>
      <c r="D362" s="19"/>
      <c r="I362" s="27"/>
    </row>
    <row r="363" spans="1:9" x14ac:dyDescent="0.2">
      <c r="A363" s="11"/>
      <c r="B363" s="11"/>
      <c r="C363" s="11"/>
      <c r="D363" s="19"/>
      <c r="I363" s="27"/>
    </row>
    <row r="364" spans="1:9" x14ac:dyDescent="0.2">
      <c r="A364" s="11"/>
      <c r="B364" s="11"/>
      <c r="C364" s="11"/>
      <c r="D364" s="19"/>
      <c r="I364" s="27"/>
    </row>
    <row r="365" spans="1:9" x14ac:dyDescent="0.2">
      <c r="A365" s="11"/>
      <c r="B365" s="11"/>
      <c r="C365" s="11"/>
      <c r="D365" s="19"/>
      <c r="I365" s="27"/>
    </row>
    <row r="366" spans="1:9" x14ac:dyDescent="0.2">
      <c r="A366" s="11"/>
      <c r="B366" s="11"/>
      <c r="C366" s="11"/>
      <c r="D366" s="19"/>
      <c r="I366" s="27"/>
    </row>
    <row r="367" spans="1:9" x14ac:dyDescent="0.2">
      <c r="A367" s="11"/>
      <c r="B367" s="11"/>
      <c r="C367" s="11"/>
      <c r="D367" s="19"/>
      <c r="I367" s="27"/>
    </row>
    <row r="368" spans="1:9" x14ac:dyDescent="0.2">
      <c r="A368" s="11"/>
      <c r="B368" s="11"/>
      <c r="C368" s="11"/>
      <c r="D368" s="19"/>
      <c r="I368" s="27"/>
    </row>
    <row r="369" spans="1:9" x14ac:dyDescent="0.2">
      <c r="A369" s="11"/>
      <c r="B369" s="11"/>
      <c r="C369" s="11"/>
      <c r="D369" s="19"/>
      <c r="I369" s="27"/>
    </row>
    <row r="370" spans="1:9" x14ac:dyDescent="0.2">
      <c r="A370" s="11"/>
      <c r="B370" s="11"/>
      <c r="C370" s="11"/>
      <c r="D370" s="19"/>
      <c r="I370" s="27"/>
    </row>
    <row r="371" spans="1:9" x14ac:dyDescent="0.2">
      <c r="A371" s="11"/>
      <c r="B371" s="11"/>
      <c r="C371" s="11"/>
      <c r="D371" s="19"/>
      <c r="I371" s="27"/>
    </row>
    <row r="372" spans="1:9" x14ac:dyDescent="0.2">
      <c r="A372" s="11"/>
      <c r="B372" s="11"/>
      <c r="C372" s="11"/>
      <c r="D372" s="19"/>
      <c r="I372" s="27"/>
    </row>
    <row r="373" spans="1:9" x14ac:dyDescent="0.2">
      <c r="A373" s="11"/>
      <c r="B373" s="11"/>
      <c r="C373" s="11"/>
      <c r="D373" s="19"/>
      <c r="I373" s="27"/>
    </row>
    <row r="374" spans="1:9" x14ac:dyDescent="0.2">
      <c r="A374" s="11"/>
      <c r="B374" s="11"/>
      <c r="C374" s="11"/>
      <c r="D374" s="19"/>
      <c r="I374" s="27"/>
    </row>
    <row r="375" spans="1:9" x14ac:dyDescent="0.2">
      <c r="A375" s="11"/>
      <c r="B375" s="11"/>
      <c r="C375" s="11"/>
      <c r="D375" s="19"/>
      <c r="I375" s="27"/>
    </row>
    <row r="376" spans="1:9" x14ac:dyDescent="0.2">
      <c r="A376" s="11"/>
      <c r="B376" s="11"/>
      <c r="C376" s="11"/>
      <c r="D376" s="19"/>
      <c r="I376" s="27"/>
    </row>
    <row r="377" spans="1:9" x14ac:dyDescent="0.2">
      <c r="A377" s="11"/>
      <c r="B377" s="11"/>
      <c r="C377" s="11"/>
      <c r="D377" s="19"/>
      <c r="I377" s="27"/>
    </row>
    <row r="378" spans="1:9" x14ac:dyDescent="0.2">
      <c r="A378" s="11"/>
      <c r="B378" s="11"/>
      <c r="C378" s="11"/>
      <c r="D378" s="19"/>
      <c r="I378" s="27"/>
    </row>
    <row r="379" spans="1:9" x14ac:dyDescent="0.2">
      <c r="A379" s="11"/>
      <c r="B379" s="11"/>
      <c r="C379" s="11"/>
      <c r="D379" s="19"/>
      <c r="I379" s="27"/>
    </row>
    <row r="380" spans="1:9" x14ac:dyDescent="0.2">
      <c r="A380" s="11"/>
      <c r="B380" s="11"/>
      <c r="C380" s="11"/>
      <c r="D380" s="19"/>
      <c r="I380" s="27"/>
    </row>
    <row r="381" spans="1:9" x14ac:dyDescent="0.2">
      <c r="A381" s="11"/>
      <c r="B381" s="11"/>
      <c r="C381" s="11"/>
      <c r="D381" s="19"/>
      <c r="I381" s="27"/>
    </row>
    <row r="382" spans="1:9" x14ac:dyDescent="0.2">
      <c r="A382" s="11"/>
      <c r="B382" s="11"/>
      <c r="C382" s="11"/>
      <c r="D382" s="19"/>
      <c r="I382" s="27"/>
    </row>
    <row r="383" spans="1:9" x14ac:dyDescent="0.2">
      <c r="A383" s="11"/>
      <c r="B383" s="11"/>
      <c r="C383" s="11"/>
      <c r="D383" s="19"/>
      <c r="I383" s="27"/>
    </row>
    <row r="384" spans="1:9" x14ac:dyDescent="0.2">
      <c r="A384" s="11"/>
      <c r="B384" s="11"/>
      <c r="C384" s="11"/>
      <c r="D384" s="19"/>
      <c r="I384" s="27"/>
    </row>
    <row r="385" spans="1:9" x14ac:dyDescent="0.2">
      <c r="A385" s="11"/>
      <c r="B385" s="11"/>
      <c r="C385" s="11"/>
      <c r="D385" s="19"/>
      <c r="I385" s="27"/>
    </row>
    <row r="386" spans="1:9" x14ac:dyDescent="0.2">
      <c r="A386" s="11"/>
      <c r="B386" s="11"/>
      <c r="C386" s="11"/>
      <c r="D386" s="19"/>
      <c r="I386" s="27"/>
    </row>
    <row r="387" spans="1:9" x14ac:dyDescent="0.2">
      <c r="A387" s="11"/>
      <c r="B387" s="11"/>
      <c r="C387" s="11"/>
      <c r="D387" s="19"/>
      <c r="I387" s="27"/>
    </row>
    <row r="388" spans="1:9" x14ac:dyDescent="0.2">
      <c r="A388" s="11"/>
      <c r="B388" s="11"/>
      <c r="C388" s="11"/>
      <c r="D388" s="19"/>
      <c r="I388" s="27"/>
    </row>
    <row r="389" spans="1:9" x14ac:dyDescent="0.2">
      <c r="A389" s="11"/>
      <c r="B389" s="11"/>
      <c r="C389" s="11"/>
      <c r="D389" s="19"/>
      <c r="I389" s="27"/>
    </row>
    <row r="390" spans="1:9" x14ac:dyDescent="0.2">
      <c r="A390" s="11"/>
      <c r="B390" s="11"/>
      <c r="C390" s="11"/>
      <c r="D390" s="19"/>
      <c r="I390" s="27"/>
    </row>
    <row r="391" spans="1:9" x14ac:dyDescent="0.2">
      <c r="A391" s="11"/>
      <c r="B391" s="11"/>
      <c r="C391" s="11"/>
      <c r="D391" s="19"/>
      <c r="I391" s="27"/>
    </row>
    <row r="392" spans="1:9" x14ac:dyDescent="0.2">
      <c r="A392" s="11"/>
      <c r="B392" s="11"/>
      <c r="C392" s="11"/>
      <c r="D392" s="19"/>
      <c r="I392" s="27"/>
    </row>
    <row r="393" spans="1:9" x14ac:dyDescent="0.2">
      <c r="A393" s="11"/>
      <c r="B393" s="11"/>
      <c r="C393" s="11"/>
      <c r="D393" s="19"/>
      <c r="I393" s="27"/>
    </row>
    <row r="394" spans="1:9" x14ac:dyDescent="0.2">
      <c r="A394" s="11"/>
      <c r="B394" s="11"/>
      <c r="C394" s="11"/>
      <c r="D394" s="19"/>
      <c r="I394" s="27"/>
    </row>
    <row r="395" spans="1:9" x14ac:dyDescent="0.2">
      <c r="A395" s="11"/>
      <c r="B395" s="11"/>
      <c r="C395" s="11"/>
      <c r="D395" s="19"/>
      <c r="I395" s="27"/>
    </row>
    <row r="396" spans="1:9" x14ac:dyDescent="0.2">
      <c r="A396" s="11"/>
      <c r="B396" s="11"/>
      <c r="C396" s="11"/>
      <c r="D396" s="19"/>
      <c r="I396" s="27"/>
    </row>
    <row r="397" spans="1:9" x14ac:dyDescent="0.2">
      <c r="A397" s="11"/>
      <c r="B397" s="11"/>
      <c r="C397" s="11"/>
      <c r="D397" s="19"/>
      <c r="I397" s="27"/>
    </row>
    <row r="398" spans="1:9" x14ac:dyDescent="0.2">
      <c r="A398" s="11"/>
      <c r="B398" s="11"/>
      <c r="C398" s="11"/>
      <c r="D398" s="19"/>
      <c r="I398" s="27"/>
    </row>
    <row r="399" spans="1:9" x14ac:dyDescent="0.2">
      <c r="A399" s="11"/>
      <c r="B399" s="11"/>
      <c r="C399" s="11"/>
      <c r="D399" s="19"/>
      <c r="I399" s="27"/>
    </row>
    <row r="400" spans="1:9" x14ac:dyDescent="0.2">
      <c r="A400" s="11"/>
      <c r="B400" s="11"/>
      <c r="C400" s="11"/>
      <c r="D400" s="19"/>
      <c r="I400" s="27"/>
    </row>
    <row r="401" spans="1:9" x14ac:dyDescent="0.2">
      <c r="A401" s="11"/>
      <c r="B401" s="11"/>
      <c r="C401" s="11"/>
      <c r="D401" s="19"/>
      <c r="I401" s="27"/>
    </row>
    <row r="402" spans="1:9" x14ac:dyDescent="0.2">
      <c r="A402" s="11"/>
      <c r="B402" s="11"/>
      <c r="C402" s="11"/>
      <c r="D402" s="19"/>
      <c r="I402" s="27"/>
    </row>
    <row r="403" spans="1:9" x14ac:dyDescent="0.2">
      <c r="A403" s="11"/>
      <c r="B403" s="11"/>
      <c r="C403" s="11"/>
      <c r="D403" s="19"/>
      <c r="I403" s="27"/>
    </row>
    <row r="404" spans="1:9" x14ac:dyDescent="0.2">
      <c r="A404" s="11"/>
      <c r="B404" s="11"/>
      <c r="C404" s="11"/>
      <c r="D404" s="19"/>
      <c r="I404" s="27"/>
    </row>
    <row r="405" spans="1:9" x14ac:dyDescent="0.2">
      <c r="A405" s="11"/>
      <c r="B405" s="11"/>
      <c r="C405" s="11"/>
      <c r="D405" s="19"/>
      <c r="I405" s="27"/>
    </row>
    <row r="406" spans="1:9" x14ac:dyDescent="0.2">
      <c r="A406" s="11"/>
      <c r="B406" s="11"/>
      <c r="C406" s="11"/>
      <c r="D406" s="19"/>
      <c r="I406" s="27"/>
    </row>
    <row r="407" spans="1:9" x14ac:dyDescent="0.2">
      <c r="A407" s="11"/>
      <c r="B407" s="11"/>
      <c r="C407" s="11"/>
      <c r="D407" s="19"/>
      <c r="I407" s="27"/>
    </row>
    <row r="408" spans="1:9" x14ac:dyDescent="0.2">
      <c r="A408" s="11"/>
      <c r="B408" s="11"/>
      <c r="C408" s="11"/>
      <c r="D408" s="19"/>
      <c r="I408" s="27"/>
    </row>
    <row r="409" spans="1:9" x14ac:dyDescent="0.2">
      <c r="A409" s="11"/>
      <c r="B409" s="11"/>
      <c r="C409" s="11"/>
      <c r="D409" s="19"/>
      <c r="I409" s="27"/>
    </row>
    <row r="410" spans="1:9" x14ac:dyDescent="0.2">
      <c r="A410" s="11"/>
      <c r="B410" s="11"/>
      <c r="C410" s="11"/>
      <c r="D410" s="19"/>
      <c r="I410" s="27"/>
    </row>
    <row r="411" spans="1:9" x14ac:dyDescent="0.2">
      <c r="A411" s="11"/>
      <c r="B411" s="11"/>
      <c r="C411" s="11"/>
      <c r="D411" s="19"/>
      <c r="I411" s="27"/>
    </row>
    <row r="412" spans="1:9" x14ac:dyDescent="0.2">
      <c r="A412" s="11"/>
      <c r="B412" s="11"/>
      <c r="C412" s="11"/>
      <c r="D412" s="19"/>
      <c r="I412" s="27"/>
    </row>
    <row r="413" spans="1:9" x14ac:dyDescent="0.2">
      <c r="A413" s="11"/>
      <c r="B413" s="11"/>
      <c r="C413" s="11"/>
      <c r="D413" s="19"/>
      <c r="I413" s="27"/>
    </row>
    <row r="414" spans="1:9" x14ac:dyDescent="0.2">
      <c r="A414" s="11"/>
      <c r="B414" s="11"/>
      <c r="C414" s="11"/>
      <c r="D414" s="19"/>
      <c r="I414" s="27"/>
    </row>
    <row r="415" spans="1:9" x14ac:dyDescent="0.2">
      <c r="A415" s="11"/>
      <c r="B415" s="11"/>
      <c r="C415" s="11"/>
      <c r="D415" s="19"/>
      <c r="I415" s="27"/>
    </row>
    <row r="416" spans="1:9" x14ac:dyDescent="0.2">
      <c r="A416" s="11"/>
      <c r="B416" s="11"/>
      <c r="C416" s="11"/>
      <c r="D416" s="19"/>
      <c r="I416" s="27"/>
    </row>
    <row r="417" spans="1:9" x14ac:dyDescent="0.2">
      <c r="A417" s="11"/>
      <c r="B417" s="11"/>
      <c r="C417" s="11"/>
      <c r="D417" s="19"/>
      <c r="I417" s="27"/>
    </row>
    <row r="418" spans="1:9" x14ac:dyDescent="0.2">
      <c r="A418" s="11"/>
      <c r="B418" s="11"/>
      <c r="C418" s="11"/>
      <c r="D418" s="19"/>
      <c r="I418" s="27"/>
    </row>
    <row r="419" spans="1:9" x14ac:dyDescent="0.2">
      <c r="A419" s="11"/>
      <c r="B419" s="11"/>
      <c r="C419" s="11"/>
      <c r="D419" s="19"/>
      <c r="I419" s="27"/>
    </row>
    <row r="420" spans="1:9" x14ac:dyDescent="0.2">
      <c r="A420" s="11"/>
      <c r="B420" s="11"/>
      <c r="C420" s="11"/>
      <c r="D420" s="19"/>
      <c r="I420" s="27"/>
    </row>
    <row r="421" spans="1:9" x14ac:dyDescent="0.2">
      <c r="A421" s="11"/>
      <c r="B421" s="11"/>
      <c r="C421" s="11"/>
      <c r="D421" s="19"/>
      <c r="I421" s="27"/>
    </row>
    <row r="422" spans="1:9" x14ac:dyDescent="0.2">
      <c r="A422" s="11"/>
      <c r="B422" s="11"/>
      <c r="C422" s="11"/>
      <c r="D422" s="19"/>
      <c r="I422" s="27"/>
    </row>
    <row r="423" spans="1:9" x14ac:dyDescent="0.2">
      <c r="A423" s="11"/>
      <c r="B423" s="11"/>
      <c r="C423" s="11"/>
      <c r="D423" s="19"/>
      <c r="I423" s="27"/>
    </row>
    <row r="424" spans="1:9" x14ac:dyDescent="0.2">
      <c r="A424" s="11"/>
      <c r="B424" s="11"/>
      <c r="C424" s="11"/>
      <c r="D424" s="19"/>
      <c r="I424" s="27"/>
    </row>
    <row r="425" spans="1:9" x14ac:dyDescent="0.2">
      <c r="A425" s="11"/>
      <c r="B425" s="11"/>
      <c r="C425" s="11"/>
      <c r="D425" s="19"/>
      <c r="I425" s="27"/>
    </row>
    <row r="426" spans="1:9" x14ac:dyDescent="0.2">
      <c r="A426" s="11"/>
      <c r="B426" s="11"/>
      <c r="C426" s="11"/>
      <c r="D426" s="19"/>
      <c r="I426" s="27"/>
    </row>
    <row r="427" spans="1:9" x14ac:dyDescent="0.2">
      <c r="A427" s="11"/>
      <c r="B427" s="11"/>
      <c r="C427" s="11"/>
      <c r="D427" s="19"/>
      <c r="I427" s="27"/>
    </row>
    <row r="428" spans="1:9" x14ac:dyDescent="0.2">
      <c r="A428" s="11"/>
      <c r="B428" s="11"/>
      <c r="C428" s="11"/>
      <c r="D428" s="19"/>
      <c r="I428" s="27"/>
    </row>
    <row r="429" spans="1:9" x14ac:dyDescent="0.2">
      <c r="A429" s="11"/>
      <c r="B429" s="11"/>
      <c r="C429" s="11"/>
      <c r="D429" s="19"/>
      <c r="I429" s="27"/>
    </row>
    <row r="430" spans="1:9" x14ac:dyDescent="0.2">
      <c r="A430" s="11"/>
      <c r="B430" s="11"/>
      <c r="C430" s="11"/>
      <c r="D430" s="19"/>
      <c r="I430" s="27"/>
    </row>
    <row r="431" spans="1:9" x14ac:dyDescent="0.2">
      <c r="A431" s="11"/>
      <c r="B431" s="11"/>
      <c r="C431" s="11"/>
      <c r="D431" s="19"/>
      <c r="I431" s="27"/>
    </row>
    <row r="432" spans="1:9" x14ac:dyDescent="0.2">
      <c r="A432" s="11"/>
      <c r="B432" s="11"/>
      <c r="C432" s="11"/>
      <c r="D432" s="19"/>
      <c r="I432" s="27"/>
    </row>
    <row r="433" spans="1:9" x14ac:dyDescent="0.2">
      <c r="A433" s="11"/>
      <c r="B433" s="11"/>
      <c r="C433" s="11"/>
      <c r="D433" s="19"/>
      <c r="I433" s="27"/>
    </row>
    <row r="434" spans="1:9" x14ac:dyDescent="0.2">
      <c r="A434" s="11"/>
      <c r="B434" s="11"/>
      <c r="C434" s="11"/>
      <c r="D434" s="19"/>
      <c r="I434" s="27"/>
    </row>
    <row r="435" spans="1:9" x14ac:dyDescent="0.2">
      <c r="A435" s="11"/>
      <c r="B435" s="11"/>
      <c r="C435" s="11"/>
      <c r="D435" s="19"/>
      <c r="I435" s="27"/>
    </row>
    <row r="436" spans="1:9" x14ac:dyDescent="0.2">
      <c r="A436" s="11"/>
      <c r="B436" s="11"/>
      <c r="C436" s="11"/>
      <c r="D436" s="19"/>
      <c r="I436" s="27"/>
    </row>
    <row r="437" spans="1:9" x14ac:dyDescent="0.2">
      <c r="A437" s="11"/>
      <c r="B437" s="11"/>
      <c r="C437" s="11"/>
      <c r="D437" s="19"/>
      <c r="I437" s="27"/>
    </row>
    <row r="438" spans="1:9" x14ac:dyDescent="0.2">
      <c r="A438" s="11"/>
      <c r="B438" s="11"/>
      <c r="C438" s="11"/>
      <c r="D438" s="19"/>
      <c r="I438" s="27"/>
    </row>
    <row r="439" spans="1:9" x14ac:dyDescent="0.2">
      <c r="A439" s="11"/>
      <c r="B439" s="11"/>
      <c r="C439" s="11"/>
      <c r="D439" s="19"/>
      <c r="I439" s="27"/>
    </row>
    <row r="440" spans="1:9" x14ac:dyDescent="0.2">
      <c r="A440" s="11"/>
      <c r="B440" s="11"/>
      <c r="C440" s="11"/>
      <c r="D440" s="19"/>
      <c r="I440" s="27"/>
    </row>
    <row r="441" spans="1:9" x14ac:dyDescent="0.2">
      <c r="A441" s="11"/>
      <c r="B441" s="11"/>
      <c r="C441" s="11"/>
      <c r="D441" s="19"/>
      <c r="I441" s="27"/>
    </row>
    <row r="442" spans="1:9" x14ac:dyDescent="0.2">
      <c r="A442" s="11"/>
      <c r="B442" s="11"/>
      <c r="C442" s="11"/>
      <c r="D442" s="19"/>
      <c r="I442" s="27"/>
    </row>
    <row r="443" spans="1:9" x14ac:dyDescent="0.2">
      <c r="A443" s="11"/>
      <c r="B443" s="11"/>
      <c r="C443" s="11"/>
      <c r="D443" s="19"/>
      <c r="I443" s="27"/>
    </row>
    <row r="444" spans="1:9" x14ac:dyDescent="0.2">
      <c r="A444" s="11"/>
      <c r="B444" s="11"/>
      <c r="C444" s="11"/>
      <c r="D444" s="19"/>
      <c r="I444" s="27"/>
    </row>
    <row r="445" spans="1:9" x14ac:dyDescent="0.2">
      <c r="A445" s="11"/>
      <c r="B445" s="11"/>
      <c r="C445" s="11"/>
      <c r="D445" s="19"/>
      <c r="I445" s="27"/>
    </row>
    <row r="446" spans="1:9" x14ac:dyDescent="0.2">
      <c r="A446" s="11"/>
      <c r="B446" s="11"/>
      <c r="C446" s="11"/>
      <c r="D446" s="19"/>
      <c r="I446" s="27"/>
    </row>
    <row r="447" spans="1:9" x14ac:dyDescent="0.2">
      <c r="A447" s="11"/>
      <c r="B447" s="11"/>
      <c r="C447" s="11"/>
      <c r="D447" s="19"/>
      <c r="I447" s="27"/>
    </row>
    <row r="448" spans="1:9" x14ac:dyDescent="0.2">
      <c r="A448" s="11"/>
      <c r="B448" s="11"/>
      <c r="C448" s="11"/>
      <c r="D448" s="19"/>
      <c r="I448" s="27"/>
    </row>
    <row r="449" spans="1:9" x14ac:dyDescent="0.2">
      <c r="A449" s="11"/>
      <c r="B449" s="11"/>
      <c r="C449" s="11"/>
      <c r="D449" s="19"/>
      <c r="I449" s="27"/>
    </row>
    <row r="450" spans="1:9" x14ac:dyDescent="0.2">
      <c r="A450" s="11"/>
      <c r="B450" s="11"/>
      <c r="C450" s="11"/>
      <c r="D450" s="19"/>
      <c r="I450" s="27"/>
    </row>
    <row r="451" spans="1:9" x14ac:dyDescent="0.2">
      <c r="A451" s="11"/>
      <c r="B451" s="11"/>
      <c r="C451" s="11"/>
      <c r="D451" s="19"/>
      <c r="I451" s="27"/>
    </row>
    <row r="452" spans="1:9" x14ac:dyDescent="0.2">
      <c r="A452" s="11"/>
      <c r="B452" s="11"/>
      <c r="C452" s="11"/>
      <c r="D452" s="19"/>
      <c r="I452" s="27"/>
    </row>
    <row r="453" spans="1:9" x14ac:dyDescent="0.2">
      <c r="A453" s="11"/>
      <c r="B453" s="11"/>
      <c r="C453" s="11"/>
      <c r="D453" s="19"/>
      <c r="I453" s="27"/>
    </row>
    <row r="454" spans="1:9" x14ac:dyDescent="0.2">
      <c r="A454" s="11"/>
      <c r="B454" s="11"/>
      <c r="C454" s="11"/>
      <c r="D454" s="19"/>
      <c r="I454" s="27"/>
    </row>
    <row r="455" spans="1:9" x14ac:dyDescent="0.2">
      <c r="A455" s="11"/>
      <c r="B455" s="11"/>
      <c r="C455" s="11"/>
      <c r="D455" s="19"/>
      <c r="I455" s="27"/>
    </row>
    <row r="456" spans="1:9" x14ac:dyDescent="0.2">
      <c r="A456" s="11"/>
      <c r="B456" s="11"/>
      <c r="C456" s="11"/>
      <c r="D456" s="19"/>
      <c r="I456" s="27"/>
    </row>
    <row r="457" spans="1:9" x14ac:dyDescent="0.2">
      <c r="A457" s="11"/>
      <c r="B457" s="11"/>
      <c r="C457" s="11"/>
      <c r="D457" s="19"/>
      <c r="I457" s="27"/>
    </row>
    <row r="458" spans="1:9" x14ac:dyDescent="0.2">
      <c r="A458" s="11"/>
      <c r="B458" s="11"/>
      <c r="C458" s="11"/>
      <c r="D458" s="19"/>
      <c r="I458" s="27"/>
    </row>
    <row r="459" spans="1:9" x14ac:dyDescent="0.2">
      <c r="A459" s="11"/>
      <c r="B459" s="14"/>
      <c r="C459" s="14"/>
      <c r="D459" s="19"/>
      <c r="I459" s="27"/>
    </row>
    <row r="460" spans="1:9" x14ac:dyDescent="0.2">
      <c r="A460" s="11"/>
      <c r="B460" s="11"/>
      <c r="C460" s="11"/>
      <c r="D460" s="19"/>
      <c r="I460" s="27"/>
    </row>
    <row r="461" spans="1:9" x14ac:dyDescent="0.2">
      <c r="A461" s="11"/>
      <c r="B461" s="11"/>
      <c r="C461" s="11"/>
      <c r="D461" s="19"/>
      <c r="I461" s="27"/>
    </row>
    <row r="462" spans="1:9" x14ac:dyDescent="0.2">
      <c r="A462" s="11"/>
      <c r="B462" s="11"/>
      <c r="C462" s="11"/>
      <c r="D462" s="19"/>
      <c r="I462" s="27"/>
    </row>
    <row r="463" spans="1:9" x14ac:dyDescent="0.2">
      <c r="A463" s="11"/>
      <c r="D463" s="19"/>
      <c r="I463" s="27"/>
    </row>
    <row r="464" spans="1:9" x14ac:dyDescent="0.2">
      <c r="A464" s="11"/>
      <c r="B464" s="11"/>
      <c r="C464" s="11"/>
      <c r="D464" s="19"/>
      <c r="I464" s="27"/>
    </row>
    <row r="465" spans="1:9" x14ac:dyDescent="0.2">
      <c r="A465" s="11"/>
      <c r="B465" s="11"/>
      <c r="C465" s="11"/>
      <c r="D465" s="19"/>
      <c r="I465" s="27"/>
    </row>
    <row r="466" spans="1:9" x14ac:dyDescent="0.2">
      <c r="A466" s="11"/>
      <c r="B466" s="11"/>
      <c r="C466" s="11"/>
      <c r="D466" s="19"/>
      <c r="I466" s="27"/>
    </row>
    <row r="467" spans="1:9" x14ac:dyDescent="0.2">
      <c r="A467" s="11"/>
      <c r="B467" s="11"/>
      <c r="C467" s="11"/>
      <c r="D467" s="19"/>
      <c r="I467" s="27"/>
    </row>
    <row r="468" spans="1:9" x14ac:dyDescent="0.2">
      <c r="A468" s="11"/>
      <c r="B468" s="11"/>
      <c r="C468" s="11"/>
      <c r="D468" s="19"/>
      <c r="I468" s="27"/>
    </row>
    <row r="469" spans="1:9" x14ac:dyDescent="0.2">
      <c r="A469" s="11"/>
      <c r="B469" s="11"/>
      <c r="C469" s="11"/>
      <c r="D469" s="19"/>
      <c r="I469" s="27"/>
    </row>
    <row r="470" spans="1:9" x14ac:dyDescent="0.2">
      <c r="A470" s="11"/>
      <c r="B470" s="11"/>
      <c r="C470" s="11"/>
      <c r="D470" s="19"/>
      <c r="I470" s="27"/>
    </row>
    <row r="471" spans="1:9" x14ac:dyDescent="0.2">
      <c r="A471" s="11"/>
      <c r="B471" s="14"/>
      <c r="C471" s="14"/>
      <c r="D471" s="19"/>
      <c r="I471" s="27"/>
    </row>
    <row r="472" spans="1:9" x14ac:dyDescent="0.2">
      <c r="A472" s="11"/>
      <c r="B472" s="11"/>
      <c r="C472" s="11"/>
      <c r="D472" s="19"/>
      <c r="I472" s="27"/>
    </row>
    <row r="473" spans="1:9" x14ac:dyDescent="0.2">
      <c r="A473" s="11"/>
      <c r="B473" s="11"/>
      <c r="C473" s="11"/>
      <c r="D473" s="19"/>
      <c r="I473" s="27"/>
    </row>
    <row r="474" spans="1:9" x14ac:dyDescent="0.2">
      <c r="A474" s="11"/>
      <c r="B474" s="14"/>
      <c r="C474" s="14"/>
      <c r="D474" s="19"/>
      <c r="I474" s="27"/>
    </row>
    <row r="475" spans="1:9" x14ac:dyDescent="0.2">
      <c r="A475" s="11"/>
      <c r="B475" s="11"/>
      <c r="C475" s="11"/>
      <c r="D475" s="19"/>
      <c r="I475" s="27"/>
    </row>
    <row r="476" spans="1:9" x14ac:dyDescent="0.2">
      <c r="A476" s="11"/>
      <c r="B476" s="14"/>
      <c r="C476" s="14"/>
      <c r="D476" s="19"/>
      <c r="I476" s="27"/>
    </row>
    <row r="477" spans="1:9" x14ac:dyDescent="0.2">
      <c r="A477" s="11"/>
      <c r="B477" s="11"/>
      <c r="C477" s="11"/>
      <c r="D477" s="19"/>
      <c r="I477" s="27"/>
    </row>
    <row r="478" spans="1:9" x14ac:dyDescent="0.2">
      <c r="A478" s="11"/>
      <c r="B478" s="14"/>
      <c r="C478" s="14"/>
      <c r="D478" s="19"/>
      <c r="I478" s="27"/>
    </row>
    <row r="479" spans="1:9" x14ac:dyDescent="0.2">
      <c r="A479" s="11"/>
      <c r="B479" s="11"/>
      <c r="C479" s="11"/>
      <c r="D479" s="19"/>
      <c r="I479" s="27"/>
    </row>
    <row r="480" spans="1:9" x14ac:dyDescent="0.2">
      <c r="A480" s="11"/>
      <c r="B480" s="11"/>
      <c r="C480" s="11"/>
      <c r="D480" s="19"/>
      <c r="I480" s="27"/>
    </row>
    <row r="481" spans="1:9" x14ac:dyDescent="0.2">
      <c r="A481" s="11"/>
      <c r="B481" s="14"/>
      <c r="C481" s="14"/>
      <c r="D481" s="19"/>
      <c r="I481" s="27"/>
    </row>
    <row r="482" spans="1:9" x14ac:dyDescent="0.2">
      <c r="A482" s="11"/>
      <c r="B482" s="11"/>
      <c r="C482" s="11"/>
      <c r="D482" s="19"/>
      <c r="I482" s="27"/>
    </row>
    <row r="483" spans="1:9" x14ac:dyDescent="0.2">
      <c r="A483" s="11"/>
      <c r="B483" s="11"/>
      <c r="C483" s="11"/>
      <c r="D483" s="19"/>
      <c r="I483" s="27"/>
    </row>
    <row r="484" spans="1:9" x14ac:dyDescent="0.2">
      <c r="A484" s="11"/>
      <c r="B484" s="11"/>
      <c r="C484" s="11"/>
      <c r="D484" s="19"/>
      <c r="I484" s="27"/>
    </row>
    <row r="485" spans="1:9" x14ac:dyDescent="0.2">
      <c r="A485" s="11"/>
      <c r="B485" s="11"/>
      <c r="C485" s="11"/>
      <c r="D485" s="19"/>
      <c r="I485" s="27"/>
    </row>
    <row r="486" spans="1:9" x14ac:dyDescent="0.2">
      <c r="A486" s="11"/>
      <c r="B486" s="11"/>
      <c r="C486" s="11"/>
      <c r="D486" s="19"/>
      <c r="I486" s="27"/>
    </row>
    <row r="487" spans="1:9" x14ac:dyDescent="0.2">
      <c r="A487" s="11"/>
      <c r="B487" s="11"/>
      <c r="C487" s="11"/>
      <c r="D487" s="19"/>
      <c r="I487" s="27"/>
    </row>
    <row r="488" spans="1:9" x14ac:dyDescent="0.2">
      <c r="A488" s="11"/>
      <c r="B488" s="11"/>
      <c r="C488" s="11"/>
      <c r="D488" s="19"/>
      <c r="I488" s="27"/>
    </row>
    <row r="489" spans="1:9" x14ac:dyDescent="0.2">
      <c r="A489" s="11"/>
      <c r="B489" s="11"/>
      <c r="C489" s="11"/>
      <c r="D489" s="19"/>
      <c r="I489" s="27"/>
    </row>
    <row r="490" spans="1:9" x14ac:dyDescent="0.2">
      <c r="A490" s="11"/>
      <c r="B490" s="11"/>
      <c r="C490" s="11"/>
      <c r="D490" s="19"/>
      <c r="I490" s="27"/>
    </row>
    <row r="491" spans="1:9" x14ac:dyDescent="0.2">
      <c r="A491" s="11"/>
      <c r="B491" s="11"/>
      <c r="C491" s="11"/>
      <c r="D491" s="19"/>
      <c r="I491" s="27"/>
    </row>
    <row r="492" spans="1:9" x14ac:dyDescent="0.2">
      <c r="A492" s="11"/>
      <c r="B492" s="11"/>
      <c r="C492" s="11"/>
      <c r="D492" s="19"/>
      <c r="I492" s="27"/>
    </row>
    <row r="493" spans="1:9" x14ac:dyDescent="0.2">
      <c r="A493" s="11"/>
      <c r="B493" s="11"/>
      <c r="C493" s="11"/>
      <c r="D493" s="19"/>
      <c r="I493" s="27"/>
    </row>
    <row r="494" spans="1:9" x14ac:dyDescent="0.2">
      <c r="A494" s="11"/>
      <c r="B494" s="11"/>
      <c r="C494" s="11"/>
      <c r="D494" s="19"/>
      <c r="I494" s="27"/>
    </row>
    <row r="495" spans="1:9" x14ac:dyDescent="0.2">
      <c r="A495" s="11"/>
      <c r="B495" s="11"/>
      <c r="C495" s="11"/>
      <c r="D495" s="19"/>
      <c r="I495" s="27"/>
    </row>
    <row r="496" spans="1:9" x14ac:dyDescent="0.2">
      <c r="A496" s="11"/>
      <c r="B496" s="11"/>
      <c r="C496" s="11"/>
      <c r="D496" s="19"/>
      <c r="I496" s="27"/>
    </row>
    <row r="497" spans="1:9" x14ac:dyDescent="0.2">
      <c r="A497" s="11"/>
      <c r="B497" s="11"/>
      <c r="C497" s="11"/>
      <c r="D497" s="19"/>
      <c r="I497" s="27"/>
    </row>
    <row r="498" spans="1:9" x14ac:dyDescent="0.2">
      <c r="A498" s="11"/>
      <c r="B498" s="11"/>
      <c r="C498" s="11"/>
      <c r="D498" s="19"/>
      <c r="I498" s="27"/>
    </row>
    <row r="499" spans="1:9" x14ac:dyDescent="0.2">
      <c r="A499" s="11"/>
      <c r="B499" s="11"/>
      <c r="C499" s="11"/>
      <c r="D499" s="19"/>
      <c r="I499" s="27"/>
    </row>
    <row r="500" spans="1:9" x14ac:dyDescent="0.2">
      <c r="A500" s="11"/>
      <c r="B500" s="11"/>
      <c r="C500" s="11"/>
      <c r="D500" s="19"/>
      <c r="I500" s="27"/>
    </row>
    <row r="501" spans="1:9" x14ac:dyDescent="0.2">
      <c r="A501" s="11"/>
      <c r="B501" s="11"/>
      <c r="C501" s="11"/>
      <c r="D501" s="19"/>
      <c r="I501" s="27"/>
    </row>
    <row r="502" spans="1:9" x14ac:dyDescent="0.2">
      <c r="A502" s="11"/>
      <c r="B502" s="11"/>
      <c r="C502" s="11"/>
      <c r="D502" s="19"/>
      <c r="I502" s="27"/>
    </row>
    <row r="503" spans="1:9" x14ac:dyDescent="0.2">
      <c r="A503" s="11"/>
      <c r="B503" s="11"/>
      <c r="C503" s="11"/>
      <c r="D503" s="19"/>
      <c r="I503" s="27"/>
    </row>
    <row r="504" spans="1:9" x14ac:dyDescent="0.2">
      <c r="A504" s="11"/>
      <c r="B504" s="11"/>
      <c r="C504" s="11"/>
      <c r="D504" s="19"/>
      <c r="I504" s="27"/>
    </row>
    <row r="505" spans="1:9" x14ac:dyDescent="0.2">
      <c r="A505" s="11"/>
      <c r="B505" s="11"/>
      <c r="C505" s="11"/>
      <c r="D505" s="19"/>
      <c r="I505" s="27"/>
    </row>
    <row r="506" spans="1:9" x14ac:dyDescent="0.2">
      <c r="A506" s="11"/>
      <c r="B506" s="11"/>
      <c r="C506" s="11"/>
      <c r="D506" s="19"/>
      <c r="I506" s="27"/>
    </row>
    <row r="507" spans="1:9" x14ac:dyDescent="0.2">
      <c r="A507" s="11"/>
      <c r="B507" s="11"/>
      <c r="C507" s="11"/>
      <c r="D507" s="19"/>
      <c r="I507" s="27"/>
    </row>
    <row r="508" spans="1:9" x14ac:dyDescent="0.2">
      <c r="A508" s="11"/>
      <c r="B508" s="11"/>
      <c r="C508" s="11"/>
      <c r="D508" s="19"/>
      <c r="I508" s="27"/>
    </row>
    <row r="509" spans="1:9" x14ac:dyDescent="0.2">
      <c r="A509" s="11"/>
      <c r="B509" s="11"/>
      <c r="C509" s="11"/>
      <c r="D509" s="19"/>
      <c r="I509" s="27"/>
    </row>
    <row r="510" spans="1:9" x14ac:dyDescent="0.2">
      <c r="A510" s="11"/>
      <c r="B510" s="11"/>
      <c r="C510" s="11"/>
      <c r="D510" s="19"/>
      <c r="I510" s="27"/>
    </row>
    <row r="511" spans="1:9" x14ac:dyDescent="0.2">
      <c r="A511" s="11"/>
      <c r="B511" s="11"/>
      <c r="C511" s="11"/>
      <c r="D511" s="19"/>
      <c r="I511" s="27"/>
    </row>
    <row r="512" spans="1:9" x14ac:dyDescent="0.2">
      <c r="A512" s="11"/>
      <c r="B512" s="11"/>
      <c r="C512" s="11"/>
      <c r="D512" s="19"/>
      <c r="I512" s="27"/>
    </row>
    <row r="513" spans="1:9" x14ac:dyDescent="0.2">
      <c r="A513" s="11"/>
      <c r="B513" s="11"/>
      <c r="C513" s="11"/>
      <c r="D513" s="19"/>
      <c r="I513" s="27"/>
    </row>
    <row r="514" spans="1:9" x14ac:dyDescent="0.2">
      <c r="A514" s="11"/>
      <c r="B514" s="11"/>
      <c r="C514" s="11"/>
      <c r="D514" s="19"/>
      <c r="I514" s="27"/>
    </row>
    <row r="515" spans="1:9" x14ac:dyDescent="0.2">
      <c r="A515" s="11"/>
      <c r="B515" s="11"/>
      <c r="C515" s="11"/>
      <c r="D515" s="19"/>
      <c r="I515" s="27"/>
    </row>
    <row r="516" spans="1:9" x14ac:dyDescent="0.2">
      <c r="A516" s="11"/>
      <c r="B516" s="11"/>
      <c r="C516" s="11"/>
      <c r="D516" s="19"/>
      <c r="I516" s="27"/>
    </row>
    <row r="517" spans="1:9" x14ac:dyDescent="0.2">
      <c r="A517" s="11"/>
      <c r="B517" s="11"/>
      <c r="C517" s="11"/>
      <c r="D517" s="19"/>
      <c r="I517" s="27"/>
    </row>
    <row r="518" spans="1:9" x14ac:dyDescent="0.2">
      <c r="A518" s="11"/>
      <c r="B518" s="11"/>
      <c r="C518" s="11"/>
      <c r="D518" s="19"/>
      <c r="I518" s="27"/>
    </row>
    <row r="519" spans="1:9" x14ac:dyDescent="0.2">
      <c r="A519" s="11"/>
      <c r="B519" s="11"/>
      <c r="C519" s="11"/>
      <c r="D519" s="19"/>
      <c r="I519" s="27"/>
    </row>
    <row r="520" spans="1:9" x14ac:dyDescent="0.2">
      <c r="A520" s="11"/>
      <c r="B520" s="11"/>
      <c r="C520" s="11"/>
      <c r="D520" s="19"/>
      <c r="I520" s="27"/>
    </row>
    <row r="521" spans="1:9" x14ac:dyDescent="0.2">
      <c r="A521" s="11"/>
      <c r="B521" s="11"/>
      <c r="C521" s="11"/>
      <c r="D521" s="19"/>
      <c r="I521" s="27"/>
    </row>
    <row r="522" spans="1:9" x14ac:dyDescent="0.2">
      <c r="A522" s="11"/>
      <c r="B522" s="11"/>
      <c r="C522" s="11"/>
      <c r="D522" s="19"/>
      <c r="I522" s="27"/>
    </row>
    <row r="523" spans="1:9" x14ac:dyDescent="0.2">
      <c r="A523" s="11"/>
      <c r="B523" s="11"/>
      <c r="C523" s="11"/>
      <c r="D523" s="19"/>
      <c r="I523" s="27"/>
    </row>
    <row r="524" spans="1:9" x14ac:dyDescent="0.2">
      <c r="A524" s="11"/>
      <c r="B524" s="11"/>
      <c r="C524" s="11"/>
      <c r="D524" s="19"/>
      <c r="I524" s="27"/>
    </row>
    <row r="525" spans="1:9" x14ac:dyDescent="0.2">
      <c r="A525" s="11"/>
      <c r="B525" s="11"/>
      <c r="C525" s="11"/>
      <c r="D525" s="19"/>
      <c r="I525" s="27"/>
    </row>
    <row r="526" spans="1:9" x14ac:dyDescent="0.2">
      <c r="A526" s="11"/>
      <c r="B526" s="11"/>
      <c r="C526" s="11"/>
      <c r="D526" s="19"/>
      <c r="I526" s="27"/>
    </row>
    <row r="527" spans="1:9" x14ac:dyDescent="0.2">
      <c r="A527" s="11"/>
      <c r="B527" s="11"/>
      <c r="C527" s="11"/>
      <c r="D527" s="19"/>
      <c r="I527" s="27"/>
    </row>
    <row r="528" spans="1:9" x14ac:dyDescent="0.2">
      <c r="A528" s="11"/>
      <c r="B528" s="11"/>
      <c r="C528" s="11"/>
      <c r="D528" s="19"/>
      <c r="I528" s="27"/>
    </row>
    <row r="529" spans="1:9" x14ac:dyDescent="0.2">
      <c r="A529" s="11"/>
      <c r="B529" s="11"/>
      <c r="C529" s="11"/>
      <c r="D529" s="19"/>
      <c r="I529" s="27"/>
    </row>
    <row r="530" spans="1:9" x14ac:dyDescent="0.2">
      <c r="A530" s="11"/>
      <c r="B530" s="11"/>
      <c r="C530" s="11"/>
      <c r="D530" s="19"/>
      <c r="I530" s="27"/>
    </row>
    <row r="531" spans="1:9" x14ac:dyDescent="0.2">
      <c r="A531" s="11"/>
      <c r="B531" s="11"/>
      <c r="C531" s="11"/>
      <c r="D531" s="19"/>
      <c r="I531" s="27"/>
    </row>
    <row r="532" spans="1:9" x14ac:dyDescent="0.2">
      <c r="A532" s="11"/>
      <c r="B532" s="11"/>
      <c r="C532" s="11"/>
      <c r="D532" s="19"/>
      <c r="I532" s="27"/>
    </row>
    <row r="533" spans="1:9" x14ac:dyDescent="0.2">
      <c r="A533" s="11"/>
      <c r="B533" s="11"/>
      <c r="C533" s="11"/>
      <c r="D533" s="19"/>
      <c r="I533" s="27"/>
    </row>
    <row r="534" spans="1:9" x14ac:dyDescent="0.2">
      <c r="A534" s="11"/>
      <c r="B534" s="11"/>
      <c r="C534" s="11"/>
      <c r="D534" s="19"/>
      <c r="I534" s="27"/>
    </row>
    <row r="535" spans="1:9" x14ac:dyDescent="0.2">
      <c r="A535" s="11"/>
      <c r="B535" s="11"/>
      <c r="C535" s="11"/>
      <c r="D535" s="19"/>
      <c r="I535" s="27"/>
    </row>
    <row r="536" spans="1:9" x14ac:dyDescent="0.2">
      <c r="A536" s="11"/>
      <c r="B536" s="11"/>
      <c r="C536" s="11"/>
      <c r="D536" s="19"/>
      <c r="I536" s="27"/>
    </row>
    <row r="537" spans="1:9" x14ac:dyDescent="0.2">
      <c r="A537" s="11"/>
      <c r="B537" s="11"/>
      <c r="C537" s="11"/>
      <c r="D537" s="19"/>
      <c r="I537" s="27"/>
    </row>
    <row r="538" spans="1:9" x14ac:dyDescent="0.2">
      <c r="A538" s="11"/>
      <c r="B538" s="11"/>
      <c r="C538" s="11"/>
      <c r="D538" s="19"/>
      <c r="I538" s="27"/>
    </row>
    <row r="539" spans="1:9" x14ac:dyDescent="0.2">
      <c r="A539" s="11"/>
      <c r="B539" s="11"/>
      <c r="C539" s="11"/>
      <c r="D539" s="19"/>
      <c r="I539" s="27"/>
    </row>
    <row r="540" spans="1:9" x14ac:dyDescent="0.2">
      <c r="A540" s="11"/>
      <c r="B540" s="11"/>
      <c r="C540" s="11"/>
      <c r="D540" s="19"/>
      <c r="I540" s="27"/>
    </row>
    <row r="541" spans="1:9" x14ac:dyDescent="0.2">
      <c r="A541" s="11"/>
      <c r="B541" s="11"/>
      <c r="C541" s="11"/>
      <c r="D541" s="19"/>
      <c r="I541" s="27"/>
    </row>
    <row r="542" spans="1:9" x14ac:dyDescent="0.2">
      <c r="A542" s="11"/>
      <c r="B542" s="11"/>
      <c r="C542" s="11"/>
      <c r="D542" s="19"/>
      <c r="I542" s="27"/>
    </row>
    <row r="543" spans="1:9" x14ac:dyDescent="0.2">
      <c r="A543" s="11"/>
      <c r="B543" s="11"/>
      <c r="C543" s="11"/>
      <c r="D543" s="19"/>
      <c r="I543" s="27"/>
    </row>
    <row r="544" spans="1:9" x14ac:dyDescent="0.2">
      <c r="A544" s="11"/>
      <c r="B544" s="11"/>
      <c r="C544" s="11"/>
      <c r="D544" s="19"/>
      <c r="I544" s="27"/>
    </row>
    <row r="545" spans="1:9" x14ac:dyDescent="0.2">
      <c r="A545" s="11"/>
      <c r="B545" s="11"/>
      <c r="C545" s="11"/>
      <c r="D545" s="19"/>
      <c r="I545" s="27"/>
    </row>
    <row r="546" spans="1:9" x14ac:dyDescent="0.2">
      <c r="A546" s="11"/>
      <c r="B546" s="11"/>
      <c r="C546" s="11"/>
      <c r="D546" s="19"/>
      <c r="I546" s="27"/>
    </row>
    <row r="547" spans="1:9" x14ac:dyDescent="0.2">
      <c r="A547" s="11"/>
      <c r="B547" s="11"/>
      <c r="C547" s="11"/>
      <c r="D547" s="19"/>
      <c r="I547" s="27"/>
    </row>
    <row r="548" spans="1:9" x14ac:dyDescent="0.2">
      <c r="A548" s="11"/>
      <c r="B548" s="11"/>
      <c r="C548" s="11"/>
      <c r="D548" s="19"/>
      <c r="I548" s="27"/>
    </row>
    <row r="549" spans="1:9" x14ac:dyDescent="0.2">
      <c r="A549" s="11"/>
      <c r="B549" s="11"/>
      <c r="C549" s="11"/>
      <c r="D549" s="19"/>
      <c r="I549" s="27"/>
    </row>
    <row r="550" spans="1:9" x14ac:dyDescent="0.2">
      <c r="A550" s="11"/>
      <c r="B550" s="14"/>
      <c r="C550" s="14"/>
      <c r="D550" s="19"/>
      <c r="I550" s="27"/>
    </row>
    <row r="551" spans="1:9" x14ac:dyDescent="0.2">
      <c r="A551" s="11"/>
      <c r="B551" s="11"/>
      <c r="C551" s="11"/>
      <c r="D551" s="19"/>
      <c r="I551" s="27"/>
    </row>
    <row r="552" spans="1:9" x14ac:dyDescent="0.2">
      <c r="A552" s="11"/>
      <c r="B552" s="11"/>
      <c r="C552" s="11"/>
      <c r="D552" s="19"/>
      <c r="I552" s="27"/>
    </row>
    <row r="553" spans="1:9" x14ac:dyDescent="0.2">
      <c r="A553" s="11"/>
      <c r="B553" s="11"/>
      <c r="C553" s="11"/>
      <c r="D553" s="19"/>
      <c r="I553" s="27"/>
    </row>
    <row r="554" spans="1:9" x14ac:dyDescent="0.2">
      <c r="A554" s="11"/>
      <c r="B554" s="11"/>
      <c r="C554" s="11"/>
      <c r="D554" s="19"/>
      <c r="I554" s="27"/>
    </row>
    <row r="555" spans="1:9" x14ac:dyDescent="0.2">
      <c r="A555" s="11"/>
      <c r="B555" s="11"/>
      <c r="C555" s="11"/>
      <c r="D555" s="19"/>
      <c r="I555" s="27"/>
    </row>
    <row r="556" spans="1:9" x14ac:dyDescent="0.2">
      <c r="A556" s="11"/>
      <c r="B556" s="11"/>
      <c r="C556" s="11"/>
      <c r="D556" s="19"/>
      <c r="I556" s="27"/>
    </row>
    <row r="557" spans="1:9" x14ac:dyDescent="0.2">
      <c r="A557" s="11"/>
      <c r="B557" s="11"/>
      <c r="C557" s="11"/>
      <c r="D557" s="19"/>
      <c r="I557" s="27"/>
    </row>
    <row r="558" spans="1:9" x14ac:dyDescent="0.2">
      <c r="A558" s="11"/>
      <c r="B558" s="11"/>
      <c r="C558" s="11"/>
      <c r="D558" s="19"/>
      <c r="I558" s="27"/>
    </row>
    <row r="559" spans="1:9" x14ac:dyDescent="0.2">
      <c r="A559" s="11"/>
      <c r="B559" s="11"/>
      <c r="C559" s="11"/>
      <c r="D559" s="19"/>
      <c r="I559" s="27"/>
    </row>
    <row r="560" spans="1:9" x14ac:dyDescent="0.2">
      <c r="A560" s="11"/>
      <c r="B560" s="11"/>
      <c r="C560" s="11"/>
      <c r="D560" s="19"/>
      <c r="I560" s="27"/>
    </row>
    <row r="561" spans="1:9" x14ac:dyDescent="0.2">
      <c r="A561" s="11"/>
      <c r="B561" s="14"/>
      <c r="C561" s="14"/>
      <c r="D561" s="19"/>
      <c r="I561" s="27"/>
    </row>
    <row r="562" spans="1:9" x14ac:dyDescent="0.2">
      <c r="A562" s="11"/>
      <c r="B562" s="11"/>
      <c r="C562" s="11"/>
      <c r="D562" s="19"/>
      <c r="I562" s="27"/>
    </row>
    <row r="563" spans="1:9" x14ac:dyDescent="0.2">
      <c r="A563" s="11"/>
      <c r="B563" s="14"/>
      <c r="C563" s="14"/>
      <c r="D563" s="19"/>
      <c r="I563" s="27"/>
    </row>
    <row r="564" spans="1:9" x14ac:dyDescent="0.2">
      <c r="A564" s="11"/>
      <c r="B564" s="11"/>
      <c r="C564" s="11"/>
      <c r="D564" s="19"/>
      <c r="I564" s="27"/>
    </row>
    <row r="565" spans="1:9" x14ac:dyDescent="0.2">
      <c r="A565" s="11"/>
      <c r="B565" s="11"/>
      <c r="C565" s="11"/>
      <c r="D565" s="19"/>
      <c r="I565" s="27"/>
    </row>
    <row r="566" spans="1:9" x14ac:dyDescent="0.2">
      <c r="A566" s="11"/>
      <c r="B566" s="14"/>
      <c r="C566" s="14"/>
      <c r="D566" s="19"/>
      <c r="I566" s="27"/>
    </row>
    <row r="567" spans="1:9" x14ac:dyDescent="0.2">
      <c r="A567" s="11"/>
      <c r="B567" s="11"/>
      <c r="C567" s="11"/>
      <c r="D567" s="19"/>
      <c r="I567" s="27"/>
    </row>
    <row r="568" spans="1:9" x14ac:dyDescent="0.2">
      <c r="A568" s="11"/>
      <c r="B568" s="11"/>
      <c r="C568" s="11"/>
      <c r="D568" s="19"/>
      <c r="I568" s="27"/>
    </row>
    <row r="569" spans="1:9" x14ac:dyDescent="0.2">
      <c r="A569" s="11"/>
      <c r="B569" s="11"/>
      <c r="C569" s="11"/>
      <c r="D569" s="19"/>
      <c r="I569" s="27"/>
    </row>
    <row r="570" spans="1:9" x14ac:dyDescent="0.2">
      <c r="A570" s="11"/>
      <c r="B570" s="14"/>
      <c r="C570" s="14"/>
      <c r="D570" s="19"/>
      <c r="I570" s="27"/>
    </row>
    <row r="571" spans="1:9" x14ac:dyDescent="0.2">
      <c r="A571" s="11"/>
      <c r="B571" s="11"/>
      <c r="C571" s="11"/>
      <c r="D571" s="19"/>
      <c r="I571" s="27"/>
    </row>
    <row r="572" spans="1:9" x14ac:dyDescent="0.2">
      <c r="A572" s="11"/>
      <c r="D572" s="19"/>
      <c r="I572" s="27"/>
    </row>
    <row r="573" spans="1:9" x14ac:dyDescent="0.2">
      <c r="A573" s="11"/>
      <c r="B573" s="11"/>
      <c r="C573" s="11"/>
      <c r="D573" s="19"/>
      <c r="I573" s="27"/>
    </row>
    <row r="574" spans="1:9" x14ac:dyDescent="0.2">
      <c r="A574" s="11"/>
      <c r="B574" s="11"/>
      <c r="C574" s="11"/>
      <c r="D574" s="19"/>
      <c r="I574" s="27"/>
    </row>
    <row r="575" spans="1:9" x14ac:dyDescent="0.2">
      <c r="A575" s="11"/>
      <c r="B575" s="11"/>
      <c r="C575" s="11"/>
      <c r="D575" s="19"/>
      <c r="I575" s="27"/>
    </row>
    <row r="576" spans="1:9" x14ac:dyDescent="0.2">
      <c r="A576" s="11"/>
      <c r="B576" s="14"/>
      <c r="C576" s="14"/>
      <c r="D576" s="19"/>
      <c r="I576" s="27"/>
    </row>
    <row r="577" spans="1:9" x14ac:dyDescent="0.2">
      <c r="A577" s="11"/>
      <c r="B577" s="11"/>
      <c r="C577" s="11"/>
      <c r="D577" s="19"/>
      <c r="I577" s="27"/>
    </row>
    <row r="578" spans="1:9" x14ac:dyDescent="0.2">
      <c r="A578" s="11"/>
      <c r="B578" s="14"/>
      <c r="C578" s="14"/>
      <c r="D578" s="19"/>
      <c r="I578" s="27"/>
    </row>
    <row r="579" spans="1:9" x14ac:dyDescent="0.2">
      <c r="A579" s="11"/>
      <c r="B579" s="11"/>
      <c r="C579" s="11"/>
      <c r="D579" s="19"/>
      <c r="I579" s="27"/>
    </row>
    <row r="580" spans="1:9" x14ac:dyDescent="0.2">
      <c r="A580" s="11"/>
      <c r="B580" s="11"/>
      <c r="C580" s="11"/>
      <c r="D580" s="19"/>
      <c r="I580" s="27"/>
    </row>
    <row r="581" spans="1:9" x14ac:dyDescent="0.2">
      <c r="A581" s="11"/>
      <c r="B581" s="11"/>
      <c r="C581" s="11"/>
      <c r="D581" s="19"/>
      <c r="I581" s="27"/>
    </row>
    <row r="582" spans="1:9" x14ac:dyDescent="0.2">
      <c r="A582" s="11"/>
      <c r="B582" s="11"/>
      <c r="C582" s="11"/>
      <c r="D582" s="19"/>
      <c r="I582" s="27"/>
    </row>
    <row r="583" spans="1:9" x14ac:dyDescent="0.2">
      <c r="A583" s="11"/>
      <c r="B583" s="11"/>
      <c r="C583" s="11"/>
      <c r="D583" s="19"/>
      <c r="I583" s="27"/>
    </row>
    <row r="584" spans="1:9" x14ac:dyDescent="0.2">
      <c r="A584" s="11"/>
      <c r="B584" s="11"/>
      <c r="C584" s="11"/>
      <c r="D584" s="19"/>
      <c r="I584" s="27"/>
    </row>
    <row r="585" spans="1:9" x14ac:dyDescent="0.2">
      <c r="A585" s="11"/>
      <c r="B585" s="11"/>
      <c r="C585" s="11"/>
      <c r="D585" s="19"/>
      <c r="I585" s="27"/>
    </row>
    <row r="586" spans="1:9" x14ac:dyDescent="0.2">
      <c r="A586" s="11"/>
      <c r="B586" s="11"/>
      <c r="C586" s="11"/>
      <c r="D586" s="19"/>
      <c r="I586" s="27"/>
    </row>
    <row r="587" spans="1:9" x14ac:dyDescent="0.2">
      <c r="A587" s="11"/>
      <c r="B587" s="11"/>
      <c r="C587" s="11"/>
      <c r="D587" s="19"/>
      <c r="I587" s="27"/>
    </row>
    <row r="588" spans="1:9" x14ac:dyDescent="0.2">
      <c r="A588" s="11"/>
      <c r="B588" s="11"/>
      <c r="C588" s="11"/>
      <c r="D588" s="19"/>
      <c r="I588" s="27"/>
    </row>
    <row r="589" spans="1:9" x14ac:dyDescent="0.2">
      <c r="A589" s="11"/>
      <c r="B589" s="11"/>
      <c r="C589" s="11"/>
      <c r="D589" s="19"/>
      <c r="I589" s="27"/>
    </row>
    <row r="590" spans="1:9" x14ac:dyDescent="0.2">
      <c r="A590" s="11"/>
      <c r="B590" s="11"/>
      <c r="C590" s="11"/>
      <c r="D590" s="19"/>
      <c r="I590" s="27"/>
    </row>
    <row r="591" spans="1:9" x14ac:dyDescent="0.2">
      <c r="A591" s="11"/>
      <c r="B591" s="11"/>
      <c r="C591" s="11"/>
      <c r="D591" s="19"/>
      <c r="I591" s="27"/>
    </row>
    <row r="592" spans="1:9" x14ac:dyDescent="0.2">
      <c r="A592" s="11"/>
      <c r="B592" s="11"/>
      <c r="C592" s="11"/>
      <c r="D592" s="19"/>
      <c r="I592" s="27"/>
    </row>
    <row r="593" spans="1:9" x14ac:dyDescent="0.2">
      <c r="A593" s="11"/>
      <c r="B593" s="11"/>
      <c r="C593" s="11"/>
      <c r="D593" s="19"/>
      <c r="I593" s="27"/>
    </row>
    <row r="594" spans="1:9" x14ac:dyDescent="0.2">
      <c r="A594" s="11"/>
      <c r="B594" s="11"/>
      <c r="C594" s="11"/>
      <c r="D594" s="19"/>
      <c r="I594" s="27"/>
    </row>
    <row r="595" spans="1:9" x14ac:dyDescent="0.2">
      <c r="A595" s="11"/>
      <c r="B595" s="11"/>
      <c r="C595" s="11"/>
      <c r="D595" s="19"/>
      <c r="I595" s="27"/>
    </row>
    <row r="596" spans="1:9" x14ac:dyDescent="0.2">
      <c r="A596" s="11"/>
      <c r="B596" s="11"/>
      <c r="C596" s="11"/>
      <c r="D596" s="19"/>
      <c r="I596" s="27"/>
    </row>
    <row r="597" spans="1:9" x14ac:dyDescent="0.2">
      <c r="A597" s="11"/>
      <c r="B597" s="11"/>
      <c r="C597" s="11"/>
      <c r="D597" s="19"/>
      <c r="I597" s="27"/>
    </row>
    <row r="598" spans="1:9" x14ac:dyDescent="0.2">
      <c r="A598" s="11"/>
      <c r="B598" s="11"/>
      <c r="C598" s="11"/>
      <c r="D598" s="19"/>
      <c r="I598" s="27"/>
    </row>
    <row r="599" spans="1:9" x14ac:dyDescent="0.2">
      <c r="A599" s="11"/>
      <c r="B599" s="11"/>
      <c r="C599" s="11"/>
      <c r="D599" s="19"/>
      <c r="I599" s="27"/>
    </row>
    <row r="600" spans="1:9" x14ac:dyDescent="0.2">
      <c r="A600" s="11"/>
      <c r="B600" s="11"/>
      <c r="C600" s="11"/>
      <c r="D600" s="19"/>
      <c r="I600" s="27"/>
    </row>
    <row r="601" spans="1:9" x14ac:dyDescent="0.2">
      <c r="A601" s="11"/>
      <c r="B601" s="11"/>
      <c r="C601" s="11"/>
      <c r="D601" s="19"/>
      <c r="I601" s="27"/>
    </row>
    <row r="602" spans="1:9" x14ac:dyDescent="0.2">
      <c r="A602" s="11"/>
      <c r="B602" s="11"/>
      <c r="C602" s="11"/>
      <c r="D602" s="19"/>
      <c r="I602" s="27"/>
    </row>
    <row r="603" spans="1:9" x14ac:dyDescent="0.2">
      <c r="A603" s="11"/>
      <c r="B603" s="11"/>
      <c r="C603" s="11"/>
      <c r="D603" s="19"/>
      <c r="I603" s="27"/>
    </row>
    <row r="604" spans="1:9" x14ac:dyDescent="0.2">
      <c r="A604" s="11"/>
      <c r="B604" s="11"/>
      <c r="C604" s="11"/>
      <c r="D604" s="19"/>
      <c r="I604" s="27"/>
    </row>
    <row r="605" spans="1:9" x14ac:dyDescent="0.2">
      <c r="A605" s="11"/>
      <c r="B605" s="11"/>
      <c r="C605" s="11"/>
      <c r="D605" s="19"/>
      <c r="I605" s="27"/>
    </row>
    <row r="606" spans="1:9" x14ac:dyDescent="0.2">
      <c r="A606" s="11"/>
      <c r="B606" s="11"/>
      <c r="C606" s="11"/>
      <c r="D606" s="19"/>
      <c r="I606" s="27"/>
    </row>
    <row r="607" spans="1:9" x14ac:dyDescent="0.2">
      <c r="A607" s="11"/>
      <c r="B607" s="11"/>
      <c r="C607" s="11"/>
      <c r="D607" s="19"/>
      <c r="I607" s="27"/>
    </row>
    <row r="608" spans="1:9" x14ac:dyDescent="0.2">
      <c r="A608" s="11"/>
      <c r="B608" s="11"/>
      <c r="C608" s="11"/>
      <c r="D608" s="19"/>
      <c r="I608" s="27"/>
    </row>
    <row r="609" spans="1:9" x14ac:dyDescent="0.2">
      <c r="A609" s="11"/>
      <c r="B609" s="11"/>
      <c r="C609" s="11"/>
      <c r="D609" s="19"/>
      <c r="I609" s="27"/>
    </row>
    <row r="610" spans="1:9" x14ac:dyDescent="0.2">
      <c r="A610" s="11"/>
      <c r="B610" s="11"/>
      <c r="C610" s="11"/>
      <c r="D610" s="19"/>
      <c r="I610" s="27"/>
    </row>
    <row r="611" spans="1:9" x14ac:dyDescent="0.2">
      <c r="A611" s="11"/>
      <c r="B611" s="11"/>
      <c r="C611" s="11"/>
      <c r="D611" s="19"/>
      <c r="I611" s="27"/>
    </row>
    <row r="612" spans="1:9" x14ac:dyDescent="0.2">
      <c r="A612" s="11"/>
      <c r="B612" s="11"/>
      <c r="C612" s="11"/>
      <c r="D612" s="19"/>
      <c r="I612" s="27"/>
    </row>
    <row r="613" spans="1:9" x14ac:dyDescent="0.2">
      <c r="A613" s="11"/>
      <c r="B613" s="11"/>
      <c r="C613" s="11"/>
      <c r="D613" s="19"/>
      <c r="I613" s="27"/>
    </row>
    <row r="614" spans="1:9" x14ac:dyDescent="0.2">
      <c r="A614" s="11"/>
      <c r="B614" s="11"/>
      <c r="C614" s="11"/>
      <c r="D614" s="19"/>
      <c r="I614" s="27"/>
    </row>
    <row r="615" spans="1:9" x14ac:dyDescent="0.2">
      <c r="A615" s="11"/>
      <c r="B615" s="11"/>
      <c r="C615" s="11"/>
      <c r="D615" s="19"/>
      <c r="I615" s="27"/>
    </row>
    <row r="616" spans="1:9" x14ac:dyDescent="0.2">
      <c r="A616" s="11"/>
      <c r="B616" s="11"/>
      <c r="C616" s="11"/>
      <c r="D616" s="19"/>
      <c r="I616" s="27"/>
    </row>
    <row r="617" spans="1:9" x14ac:dyDescent="0.2">
      <c r="A617" s="11"/>
      <c r="B617" s="11"/>
      <c r="C617" s="11"/>
      <c r="D617" s="19"/>
      <c r="I617" s="27"/>
    </row>
    <row r="618" spans="1:9" x14ac:dyDescent="0.2">
      <c r="A618" s="11"/>
      <c r="B618" s="11"/>
      <c r="C618" s="11"/>
      <c r="D618" s="19"/>
      <c r="I618" s="27"/>
    </row>
    <row r="619" spans="1:9" x14ac:dyDescent="0.2">
      <c r="A619" s="11"/>
      <c r="B619" s="11"/>
      <c r="C619" s="11"/>
      <c r="D619" s="19"/>
      <c r="I619" s="27"/>
    </row>
    <row r="620" spans="1:9" x14ac:dyDescent="0.2">
      <c r="A620" s="11"/>
      <c r="B620" s="11"/>
      <c r="C620" s="11"/>
      <c r="D620" s="19"/>
      <c r="I620" s="27"/>
    </row>
    <row r="621" spans="1:9" x14ac:dyDescent="0.2">
      <c r="A621" s="11"/>
      <c r="B621" s="11"/>
      <c r="C621" s="11"/>
      <c r="D621" s="19"/>
      <c r="I621" s="27"/>
    </row>
    <row r="622" spans="1:9" x14ac:dyDescent="0.2">
      <c r="A622" s="11"/>
      <c r="B622" s="11"/>
      <c r="C622" s="11"/>
      <c r="D622" s="19"/>
      <c r="I622" s="27"/>
    </row>
    <row r="623" spans="1:9" x14ac:dyDescent="0.2">
      <c r="A623" s="11"/>
      <c r="B623" s="11"/>
      <c r="C623" s="11"/>
      <c r="D623" s="19"/>
      <c r="I623" s="27"/>
    </row>
    <row r="624" spans="1:9" x14ac:dyDescent="0.2">
      <c r="A624" s="11"/>
      <c r="B624" s="11"/>
      <c r="C624" s="11"/>
      <c r="D624" s="19"/>
      <c r="I624" s="27"/>
    </row>
    <row r="625" spans="1:9" x14ac:dyDescent="0.2">
      <c r="A625" s="17"/>
      <c r="B625" s="11"/>
      <c r="C625" s="11"/>
      <c r="D625" s="19"/>
      <c r="I625" s="27"/>
    </row>
    <row r="626" spans="1:9" x14ac:dyDescent="0.2">
      <c r="A626" s="17"/>
      <c r="B626" s="11"/>
      <c r="C626" s="11"/>
      <c r="D626" s="19"/>
      <c r="I626" s="27"/>
    </row>
    <row r="627" spans="1:9" x14ac:dyDescent="0.2">
      <c r="A627" s="11"/>
      <c r="B627" s="11"/>
      <c r="C627" s="11"/>
      <c r="D627" s="19"/>
      <c r="I627" s="27"/>
    </row>
    <row r="628" spans="1:9" x14ac:dyDescent="0.2">
      <c r="A628" s="11"/>
      <c r="B628" s="11"/>
      <c r="C628" s="11"/>
      <c r="D628" s="19"/>
      <c r="I628" s="27"/>
    </row>
    <row r="629" spans="1:9" x14ac:dyDescent="0.2">
      <c r="A629" s="11"/>
      <c r="B629" s="11"/>
      <c r="C629" s="11"/>
      <c r="D629" s="19"/>
      <c r="I629" s="27"/>
    </row>
    <row r="630" spans="1:9" x14ac:dyDescent="0.2">
      <c r="A630" s="11"/>
      <c r="B630" s="11"/>
      <c r="C630" s="11"/>
      <c r="D630" s="19"/>
      <c r="I630" s="27"/>
    </row>
    <row r="631" spans="1:9" x14ac:dyDescent="0.2">
      <c r="A631" s="11"/>
      <c r="B631" s="11"/>
      <c r="C631" s="11"/>
      <c r="D631" s="19"/>
      <c r="I631" s="27"/>
    </row>
    <row r="632" spans="1:9" x14ac:dyDescent="0.2">
      <c r="A632" s="11"/>
      <c r="B632" s="11"/>
      <c r="C632" s="11"/>
      <c r="D632" s="19"/>
      <c r="I632" s="27"/>
    </row>
    <row r="633" spans="1:9" x14ac:dyDescent="0.2">
      <c r="A633" s="11"/>
      <c r="B633" s="11"/>
      <c r="C633" s="11"/>
      <c r="D633" s="19"/>
      <c r="I633" s="27"/>
    </row>
    <row r="634" spans="1:9" x14ac:dyDescent="0.2">
      <c r="A634" s="11"/>
      <c r="B634" s="11"/>
      <c r="C634" s="11"/>
      <c r="D634" s="19"/>
      <c r="I634" s="27"/>
    </row>
    <row r="635" spans="1:9" x14ac:dyDescent="0.2">
      <c r="A635" s="11"/>
      <c r="B635" s="11"/>
      <c r="C635" s="11"/>
      <c r="D635" s="19"/>
      <c r="I635" s="27"/>
    </row>
    <row r="636" spans="1:9" x14ac:dyDescent="0.2">
      <c r="A636" s="11"/>
      <c r="B636" s="11"/>
      <c r="C636" s="11"/>
      <c r="D636" s="19"/>
      <c r="I636" s="27"/>
    </row>
    <row r="637" spans="1:9" x14ac:dyDescent="0.2">
      <c r="A637" s="11"/>
      <c r="B637" s="11"/>
      <c r="C637" s="11"/>
      <c r="D637" s="19"/>
      <c r="I637" s="27"/>
    </row>
    <row r="638" spans="1:9" x14ac:dyDescent="0.2">
      <c r="A638" s="11"/>
      <c r="B638" s="11"/>
      <c r="C638" s="11"/>
      <c r="D638" s="19"/>
      <c r="I638" s="27"/>
    </row>
    <row r="639" spans="1:9" x14ac:dyDescent="0.2">
      <c r="A639" s="11"/>
      <c r="B639" s="11"/>
      <c r="C639" s="11"/>
      <c r="D639" s="19"/>
      <c r="I639" s="27"/>
    </row>
    <row r="640" spans="1:9" x14ac:dyDescent="0.2">
      <c r="A640" s="11"/>
      <c r="B640" s="11"/>
      <c r="C640" s="11"/>
      <c r="D640" s="19"/>
      <c r="I640" s="27"/>
    </row>
    <row r="641" spans="1:9" x14ac:dyDescent="0.2">
      <c r="A641" s="11"/>
      <c r="B641" s="11"/>
      <c r="C641" s="11"/>
      <c r="D641" s="19"/>
      <c r="I641" s="27"/>
    </row>
    <row r="642" spans="1:9" x14ac:dyDescent="0.2">
      <c r="A642" s="11"/>
      <c r="B642" s="11"/>
      <c r="C642" s="11"/>
      <c r="D642" s="19"/>
      <c r="I642" s="27"/>
    </row>
    <row r="643" spans="1:9" x14ac:dyDescent="0.2">
      <c r="A643" s="11"/>
      <c r="B643" s="11"/>
      <c r="C643" s="11"/>
      <c r="D643" s="19"/>
      <c r="I643" s="27"/>
    </row>
    <row r="644" spans="1:9" x14ac:dyDescent="0.2">
      <c r="A644" s="11"/>
      <c r="B644" s="11"/>
      <c r="C644" s="11"/>
      <c r="D644" s="19"/>
      <c r="I644" s="27"/>
    </row>
    <row r="645" spans="1:9" x14ac:dyDescent="0.2">
      <c r="A645" s="11"/>
      <c r="B645" s="11"/>
      <c r="C645" s="11"/>
      <c r="D645" s="19"/>
      <c r="I645" s="27"/>
    </row>
    <row r="646" spans="1:9" x14ac:dyDescent="0.2">
      <c r="A646" s="11"/>
      <c r="B646" s="11"/>
      <c r="C646" s="11"/>
      <c r="D646" s="19"/>
      <c r="I646" s="27"/>
    </row>
    <row r="647" spans="1:9" x14ac:dyDescent="0.2">
      <c r="A647" s="11"/>
      <c r="B647" s="11"/>
      <c r="C647" s="11"/>
      <c r="D647" s="19"/>
      <c r="I647" s="27"/>
    </row>
    <row r="648" spans="1:9" x14ac:dyDescent="0.2">
      <c r="A648" s="11"/>
      <c r="B648" s="8"/>
      <c r="C648" s="8"/>
      <c r="D648" s="19"/>
      <c r="I648" s="27"/>
    </row>
    <row r="649" spans="1:9" x14ac:dyDescent="0.2">
      <c r="A649" s="11"/>
      <c r="B649" s="11"/>
      <c r="C649" s="11"/>
      <c r="D649" s="19"/>
      <c r="I649" s="27"/>
    </row>
    <row r="650" spans="1:9" x14ac:dyDescent="0.2">
      <c r="A650" s="11"/>
      <c r="B650" s="11"/>
      <c r="C650" s="11"/>
      <c r="D650" s="19"/>
      <c r="I650" s="27"/>
    </row>
    <row r="651" spans="1:9" x14ac:dyDescent="0.2">
      <c r="A651" s="7"/>
      <c r="B651" s="7"/>
      <c r="C651" s="7"/>
      <c r="D651" s="21"/>
      <c r="I651" s="27"/>
    </row>
    <row r="652" spans="1:9" x14ac:dyDescent="0.2">
      <c r="A652" s="11"/>
      <c r="B652" s="11"/>
      <c r="C652" s="11"/>
      <c r="D652" s="19"/>
      <c r="I652" s="27"/>
    </row>
    <row r="653" spans="1:9" x14ac:dyDescent="0.2">
      <c r="A653" s="11"/>
      <c r="B653" s="11"/>
      <c r="C653" s="11"/>
      <c r="D653" s="19"/>
      <c r="I653" s="27"/>
    </row>
    <row r="654" spans="1:9" x14ac:dyDescent="0.2">
      <c r="A654" s="11"/>
      <c r="B654" s="11"/>
      <c r="C654" s="11"/>
      <c r="D654" s="19"/>
      <c r="I654" s="27"/>
    </row>
    <row r="655" spans="1:9" x14ac:dyDescent="0.2">
      <c r="A655" s="7"/>
      <c r="B655" s="7"/>
      <c r="C655" s="7"/>
      <c r="D655" s="20"/>
      <c r="I655" s="27"/>
    </row>
    <row r="656" spans="1:9" x14ac:dyDescent="0.2">
      <c r="A656" s="11"/>
      <c r="B656" s="11"/>
      <c r="C656" s="11"/>
      <c r="D656" s="19"/>
      <c r="I656" s="27"/>
    </row>
    <row r="657" spans="1:9" x14ac:dyDescent="0.2">
      <c r="A657" s="11"/>
      <c r="B657" s="11"/>
      <c r="C657" s="11"/>
      <c r="D657" s="19"/>
      <c r="I657" s="27"/>
    </row>
    <row r="658" spans="1:9" x14ac:dyDescent="0.2">
      <c r="A658" s="11"/>
      <c r="B658" s="11"/>
      <c r="C658" s="11"/>
      <c r="D658" s="19"/>
      <c r="I658" s="27"/>
    </row>
    <row r="659" spans="1:9" x14ac:dyDescent="0.2">
      <c r="A659" s="11"/>
      <c r="B659" s="11"/>
      <c r="C659" s="11"/>
      <c r="D659" s="19"/>
      <c r="I659" s="27"/>
    </row>
    <row r="660" spans="1:9" x14ac:dyDescent="0.2">
      <c r="A660" s="11"/>
      <c r="B660" s="11"/>
      <c r="C660" s="11"/>
      <c r="D660" s="19"/>
      <c r="I660" s="27"/>
    </row>
    <row r="661" spans="1:9" x14ac:dyDescent="0.2">
      <c r="A661" s="11"/>
      <c r="B661" s="11"/>
      <c r="C661" s="11"/>
      <c r="D661" s="19"/>
      <c r="I661" s="27"/>
    </row>
    <row r="662" spans="1:9" x14ac:dyDescent="0.2">
      <c r="A662" s="11"/>
      <c r="B662" s="11"/>
      <c r="C662" s="11"/>
      <c r="D662" s="19"/>
      <c r="I662" s="27"/>
    </row>
    <row r="663" spans="1:9" x14ac:dyDescent="0.2">
      <c r="A663" s="11"/>
      <c r="B663" s="11"/>
      <c r="C663" s="11"/>
      <c r="D663" s="19"/>
      <c r="I663" s="27"/>
    </row>
    <row r="664" spans="1:9" x14ac:dyDescent="0.2">
      <c r="A664" s="11"/>
      <c r="B664" s="11"/>
      <c r="C664" s="11"/>
      <c r="D664" s="19"/>
      <c r="I664" s="27"/>
    </row>
    <row r="665" spans="1:9" x14ac:dyDescent="0.2">
      <c r="A665" s="11"/>
      <c r="B665" s="11"/>
      <c r="C665" s="11"/>
      <c r="D665" s="19"/>
      <c r="I665" s="27"/>
    </row>
    <row r="666" spans="1:9" x14ac:dyDescent="0.2">
      <c r="A666" s="11"/>
      <c r="B666" s="11"/>
      <c r="C666" s="11"/>
      <c r="D666" s="19"/>
      <c r="I666" s="27"/>
    </row>
    <row r="667" spans="1:9" x14ac:dyDescent="0.2">
      <c r="A667" s="11"/>
      <c r="B667" s="11"/>
      <c r="C667" s="11"/>
      <c r="D667" s="19"/>
      <c r="I667" s="27"/>
    </row>
    <row r="668" spans="1:9" x14ac:dyDescent="0.2">
      <c r="A668" s="11"/>
      <c r="B668" s="11"/>
      <c r="C668" s="11"/>
      <c r="D668" s="19"/>
      <c r="I668" s="27"/>
    </row>
    <row r="669" spans="1:9" x14ac:dyDescent="0.2">
      <c r="A669" s="11"/>
      <c r="B669" s="11"/>
      <c r="C669" s="11"/>
      <c r="D669" s="19"/>
      <c r="I669" s="27"/>
    </row>
    <row r="670" spans="1:9" x14ac:dyDescent="0.2">
      <c r="A670" s="11"/>
      <c r="B670" s="11"/>
      <c r="C670" s="11"/>
      <c r="D670" s="19"/>
      <c r="I670" s="27"/>
    </row>
    <row r="671" spans="1:9" x14ac:dyDescent="0.2">
      <c r="A671" s="11"/>
      <c r="B671" s="11"/>
      <c r="C671" s="11"/>
      <c r="D671" s="19"/>
      <c r="I671" s="27"/>
    </row>
    <row r="672" spans="1:9" x14ac:dyDescent="0.2">
      <c r="A672" s="11"/>
      <c r="B672" s="11"/>
      <c r="C672" s="11"/>
      <c r="D672" s="19"/>
      <c r="I672" s="27"/>
    </row>
    <row r="673" spans="1:9" x14ac:dyDescent="0.2">
      <c r="A673" s="11"/>
      <c r="B673" s="17"/>
      <c r="C673" s="17"/>
      <c r="D673" s="19"/>
      <c r="I673" s="27"/>
    </row>
    <row r="674" spans="1:9" x14ac:dyDescent="0.2">
      <c r="A674" s="11"/>
      <c r="B674" s="11"/>
      <c r="C674" s="11"/>
      <c r="D674" s="19"/>
      <c r="I674" s="27"/>
    </row>
    <row r="675" spans="1:9" x14ac:dyDescent="0.2">
      <c r="A675" s="11"/>
      <c r="B675" s="11"/>
      <c r="C675" s="11"/>
      <c r="D675" s="19"/>
      <c r="I675" s="27"/>
    </row>
    <row r="676" spans="1:9" x14ac:dyDescent="0.2">
      <c r="A676" s="11"/>
      <c r="B676" s="11"/>
      <c r="C676" s="11"/>
      <c r="D676" s="19"/>
      <c r="I676" s="27"/>
    </row>
    <row r="677" spans="1:9" x14ac:dyDescent="0.2">
      <c r="A677" s="11"/>
      <c r="B677" s="11"/>
      <c r="C677" s="11"/>
      <c r="D677" s="19"/>
      <c r="I677" s="27"/>
    </row>
    <row r="678" spans="1:9" x14ac:dyDescent="0.2">
      <c r="A678" s="11"/>
      <c r="B678" s="11"/>
      <c r="C678" s="11"/>
      <c r="D678" s="19"/>
      <c r="I678" s="27"/>
    </row>
    <row r="679" spans="1:9" x14ac:dyDescent="0.2">
      <c r="A679" s="11"/>
      <c r="B679" s="11"/>
      <c r="C679" s="11"/>
      <c r="D679" s="19"/>
      <c r="I679" s="27"/>
    </row>
    <row r="680" spans="1:9" x14ac:dyDescent="0.2">
      <c r="A680" s="11"/>
      <c r="B680" s="11"/>
      <c r="C680" s="11"/>
      <c r="D680" s="19"/>
      <c r="I680" s="27"/>
    </row>
    <row r="681" spans="1:9" x14ac:dyDescent="0.2">
      <c r="A681" s="11"/>
      <c r="B681" s="11"/>
      <c r="C681" s="11"/>
      <c r="D681" s="19"/>
      <c r="I681" s="27"/>
    </row>
    <row r="682" spans="1:9" x14ac:dyDescent="0.2">
      <c r="A682" s="11"/>
      <c r="B682" s="11"/>
      <c r="C682" s="11"/>
      <c r="I682" s="27"/>
    </row>
    <row r="683" spans="1:9" x14ac:dyDescent="0.2">
      <c r="A683" s="11"/>
      <c r="B683" s="11"/>
      <c r="C683" s="11"/>
      <c r="D683" s="19"/>
      <c r="I683" s="27"/>
    </row>
    <row r="684" spans="1:9" x14ac:dyDescent="0.2">
      <c r="A684" s="11"/>
      <c r="B684" s="11"/>
      <c r="C684" s="11"/>
      <c r="D684" s="19"/>
      <c r="I684" s="27"/>
    </row>
    <row r="685" spans="1:9" x14ac:dyDescent="0.2">
      <c r="A685" s="11"/>
      <c r="B685" s="11"/>
      <c r="C685" s="11"/>
      <c r="D685" s="19"/>
      <c r="I685" s="27"/>
    </row>
    <row r="686" spans="1:9" x14ac:dyDescent="0.2">
      <c r="A686" s="11"/>
      <c r="B686" s="11"/>
      <c r="C686" s="11"/>
      <c r="D686" s="19"/>
      <c r="I686" s="27"/>
    </row>
    <row r="687" spans="1:9" x14ac:dyDescent="0.2">
      <c r="A687" s="11"/>
      <c r="B687" s="11"/>
      <c r="C687" s="11"/>
      <c r="D687" s="19"/>
      <c r="I687" s="27"/>
    </row>
    <row r="688" spans="1:9" x14ac:dyDescent="0.2">
      <c r="A688" s="11"/>
      <c r="B688" s="11"/>
      <c r="C688" s="11"/>
      <c r="D688" s="19"/>
      <c r="I688" s="27"/>
    </row>
    <row r="689" spans="1:9" x14ac:dyDescent="0.2">
      <c r="A689" s="11"/>
      <c r="B689" s="11"/>
      <c r="C689" s="11"/>
      <c r="D689" s="19"/>
      <c r="I689" s="27"/>
    </row>
    <row r="690" spans="1:9" x14ac:dyDescent="0.2">
      <c r="A690" s="7"/>
      <c r="B690" s="7"/>
      <c r="C690" s="7"/>
      <c r="D690" s="20"/>
      <c r="I690" s="27"/>
    </row>
    <row r="691" spans="1:9" x14ac:dyDescent="0.2">
      <c r="A691" s="11"/>
      <c r="B691" s="11"/>
      <c r="C691" s="11"/>
      <c r="D691" s="19"/>
      <c r="I691" s="27"/>
    </row>
    <row r="692" spans="1:9" x14ac:dyDescent="0.2">
      <c r="A692" s="11"/>
      <c r="B692" s="11"/>
      <c r="C692" s="11"/>
      <c r="D692" s="19"/>
      <c r="I692" s="27"/>
    </row>
    <row r="693" spans="1:9" x14ac:dyDescent="0.2">
      <c r="A693" s="11"/>
      <c r="B693" s="11"/>
      <c r="C693" s="11"/>
      <c r="D693" s="19"/>
      <c r="I693" s="27"/>
    </row>
    <row r="694" spans="1:9" x14ac:dyDescent="0.2">
      <c r="A694" s="11"/>
      <c r="B694" s="11"/>
      <c r="C694" s="11"/>
      <c r="D694" s="19"/>
      <c r="I694" s="27"/>
    </row>
    <row r="695" spans="1:9" x14ac:dyDescent="0.2">
      <c r="A695" s="11"/>
      <c r="B695" s="11"/>
      <c r="C695" s="11"/>
      <c r="D695" s="19"/>
      <c r="I695" s="27"/>
    </row>
    <row r="696" spans="1:9" x14ac:dyDescent="0.2">
      <c r="A696" s="11"/>
      <c r="B696" s="11"/>
      <c r="C696" s="11"/>
      <c r="D696" s="19"/>
      <c r="I696" s="27"/>
    </row>
    <row r="697" spans="1:9" x14ac:dyDescent="0.2">
      <c r="A697" s="11"/>
      <c r="B697" s="11"/>
      <c r="C697" s="11"/>
      <c r="D697" s="19"/>
      <c r="I697" s="27"/>
    </row>
    <row r="698" spans="1:9" x14ac:dyDescent="0.2">
      <c r="A698" s="11"/>
      <c r="B698" s="11"/>
      <c r="C698" s="11"/>
      <c r="D698" s="19"/>
      <c r="I698" s="27"/>
    </row>
    <row r="699" spans="1:9" x14ac:dyDescent="0.2">
      <c r="A699" s="11"/>
      <c r="B699" s="11"/>
      <c r="C699" s="11"/>
      <c r="D699" s="19"/>
      <c r="I699" s="27"/>
    </row>
    <row r="700" spans="1:9" x14ac:dyDescent="0.2">
      <c r="A700" s="11"/>
      <c r="B700" s="11"/>
      <c r="C700" s="11"/>
      <c r="D700" s="19"/>
      <c r="I700" s="27"/>
    </row>
    <row r="701" spans="1:9" x14ac:dyDescent="0.2">
      <c r="A701" s="11"/>
      <c r="B701" s="11"/>
      <c r="C701" s="11"/>
      <c r="D701" s="19"/>
      <c r="I701" s="27"/>
    </row>
    <row r="702" spans="1:9" x14ac:dyDescent="0.2">
      <c r="A702" s="11"/>
      <c r="B702" s="11"/>
      <c r="C702" s="11"/>
      <c r="D702" s="19"/>
      <c r="I702" s="27"/>
    </row>
    <row r="703" spans="1:9" x14ac:dyDescent="0.2">
      <c r="A703" s="11"/>
      <c r="B703" s="11"/>
      <c r="C703" s="11"/>
      <c r="D703" s="19"/>
      <c r="I703" s="27"/>
    </row>
    <row r="704" spans="1:9" x14ac:dyDescent="0.2">
      <c r="A704" s="11"/>
      <c r="B704" s="11"/>
      <c r="C704" s="11"/>
      <c r="D704" s="19"/>
      <c r="I704" s="27"/>
    </row>
    <row r="705" spans="1:9" x14ac:dyDescent="0.2">
      <c r="A705" s="11"/>
      <c r="B705" s="11"/>
      <c r="C705" s="11"/>
      <c r="D705" s="19"/>
      <c r="I705" s="27"/>
    </row>
    <row r="706" spans="1:9" x14ac:dyDescent="0.2">
      <c r="A706" s="11"/>
      <c r="B706" s="11"/>
      <c r="C706" s="11"/>
      <c r="D706" s="19"/>
      <c r="I706" s="27"/>
    </row>
    <row r="707" spans="1:9" x14ac:dyDescent="0.2">
      <c r="A707" s="11"/>
      <c r="B707" s="11"/>
      <c r="C707" s="11"/>
      <c r="D707" s="19"/>
      <c r="I707" s="27"/>
    </row>
    <row r="708" spans="1:9" x14ac:dyDescent="0.2">
      <c r="A708" s="11"/>
      <c r="B708" s="11"/>
      <c r="C708" s="11"/>
      <c r="D708" s="19"/>
      <c r="I708" s="27"/>
    </row>
    <row r="709" spans="1:9" x14ac:dyDescent="0.2">
      <c r="A709" s="11"/>
      <c r="B709" s="11"/>
      <c r="C709" s="11"/>
      <c r="D709" s="19"/>
      <c r="I709" s="27"/>
    </row>
    <row r="710" spans="1:9" x14ac:dyDescent="0.2">
      <c r="A710" s="11"/>
      <c r="B710" s="11"/>
      <c r="C710" s="11"/>
      <c r="D710" s="19"/>
      <c r="I710" s="27"/>
    </row>
    <row r="1606" spans="9:9" x14ac:dyDescent="0.2">
      <c r="I1606" s="23"/>
    </row>
    <row r="1616" spans="9:9" x14ac:dyDescent="0.2">
      <c r="I1616" s="23"/>
    </row>
    <row r="1636" spans="9:9" x14ac:dyDescent="0.2">
      <c r="I1636" s="23"/>
    </row>
    <row r="1652" spans="9:9" x14ac:dyDescent="0.2">
      <c r="I1652" s="23"/>
    </row>
    <row r="1667" spans="9:9" x14ac:dyDescent="0.2">
      <c r="I1667" s="23"/>
    </row>
    <row r="1685" spans="9:9" x14ac:dyDescent="0.2">
      <c r="I1685" s="23"/>
    </row>
    <row r="1700" spans="9:9" x14ac:dyDescent="0.2">
      <c r="I1700" s="23"/>
    </row>
    <row r="1708" spans="9:9" x14ac:dyDescent="0.2">
      <c r="I1708" s="23"/>
    </row>
    <row r="1727" spans="9:9" x14ac:dyDescent="0.2">
      <c r="I1727" s="23"/>
    </row>
    <row r="1744" spans="9:9" x14ac:dyDescent="0.2">
      <c r="I1744" s="23"/>
    </row>
    <row r="1759" spans="9:9" x14ac:dyDescent="0.2">
      <c r="I1759" s="23"/>
    </row>
    <row r="1787" spans="9:9" x14ac:dyDescent="0.2">
      <c r="I1787" s="23"/>
    </row>
    <row r="3603" spans="9:9" x14ac:dyDescent="0.2">
      <c r="I3603" s="23"/>
    </row>
  </sheetData>
  <mergeCells count="1">
    <mergeCell ref="F2:I2"/>
  </mergeCells>
  <conditionalFormatting sqref="A5:A5000">
    <cfRule type="duplicateValues" dxfId="6"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sheetPr>
  <dimension ref="A1:R23"/>
  <sheetViews>
    <sheetView zoomScaleNormal="100" workbookViewId="0">
      <pane xSplit="6" ySplit="4" topLeftCell="G5" activePane="bottomRight" state="frozen"/>
      <selection pane="topRight" activeCell="G1" sqref="G1"/>
      <selection pane="bottomLeft" activeCell="A5" sqref="A5"/>
      <selection pane="bottomRight" sqref="A1:XFD1"/>
    </sheetView>
  </sheetViews>
  <sheetFormatPr defaultRowHeight="17.25" customHeight="1" x14ac:dyDescent="0.25"/>
  <cols>
    <col min="1" max="1" width="14.83203125" style="28" bestFit="1" customWidth="1"/>
    <col min="2" max="2" width="17.1640625" style="28" bestFit="1" customWidth="1"/>
    <col min="3" max="3" width="12.83203125" style="56" bestFit="1" customWidth="1"/>
    <col min="4" max="4" width="56.33203125" style="28" customWidth="1"/>
    <col min="5" max="5" width="40.6640625" style="28" customWidth="1"/>
    <col min="6" max="6" width="23.83203125" style="28" bestFit="1" customWidth="1"/>
    <col min="7" max="7" width="13" style="28" bestFit="1" customWidth="1"/>
    <col min="8" max="8" width="17.6640625" style="28" bestFit="1" customWidth="1"/>
    <col min="9" max="16384" width="9.33203125" style="28"/>
  </cols>
  <sheetData>
    <row r="1" spans="1:18" s="68" customFormat="1" ht="15" x14ac:dyDescent="0.25">
      <c r="A1" s="185" t="s">
        <v>41</v>
      </c>
      <c r="B1" s="28" t="s">
        <v>13</v>
      </c>
      <c r="C1" s="69" t="s">
        <v>42</v>
      </c>
      <c r="D1" s="28">
        <v>1.2</v>
      </c>
      <c r="E1" s="185" t="s">
        <v>257</v>
      </c>
      <c r="F1" s="192" t="b">
        <v>0</v>
      </c>
      <c r="G1" s="185" t="s">
        <v>973</v>
      </c>
      <c r="H1" s="144" t="s">
        <v>926</v>
      </c>
      <c r="I1" s="185" t="s">
        <v>974</v>
      </c>
      <c r="J1" s="143"/>
      <c r="K1" s="185"/>
      <c r="L1" s="192"/>
      <c r="M1" s="185"/>
      <c r="N1" s="192"/>
      <c r="O1" s="185"/>
      <c r="P1" s="192"/>
      <c r="Q1" s="185"/>
      <c r="R1" s="192"/>
    </row>
    <row r="2" spans="1:18" s="38" customFormat="1" ht="17.25" customHeight="1" x14ac:dyDescent="0.25">
      <c r="A2" s="81" t="s">
        <v>353</v>
      </c>
      <c r="B2" s="109" t="s">
        <v>352</v>
      </c>
      <c r="C2" s="109" t="s">
        <v>196</v>
      </c>
      <c r="D2" s="109" t="s">
        <v>350</v>
      </c>
      <c r="E2" s="37"/>
      <c r="F2" s="267" t="s">
        <v>283</v>
      </c>
      <c r="G2" s="268"/>
      <c r="H2" s="268"/>
      <c r="I2" s="269"/>
      <c r="J2" s="53"/>
    </row>
    <row r="3" spans="1:18" s="38" customFormat="1" ht="17.25" customHeight="1" x14ac:dyDescent="0.25">
      <c r="A3" s="109" t="s">
        <v>389</v>
      </c>
      <c r="B3" s="109" t="s">
        <v>349</v>
      </c>
      <c r="C3" s="109" t="s">
        <v>284</v>
      </c>
      <c r="D3" s="109" t="s">
        <v>351</v>
      </c>
      <c r="E3" s="37"/>
      <c r="F3" s="85" t="s">
        <v>284</v>
      </c>
      <c r="G3" s="86"/>
      <c r="H3" s="86"/>
      <c r="I3" s="86"/>
      <c r="J3" s="53"/>
    </row>
    <row r="4" spans="1:18" s="39" customFormat="1" ht="17.25" customHeight="1" x14ac:dyDescent="0.25">
      <c r="A4" s="77" t="s">
        <v>5</v>
      </c>
      <c r="B4" s="79" t="s">
        <v>285</v>
      </c>
      <c r="C4" s="79" t="s">
        <v>43</v>
      </c>
      <c r="D4" s="77" t="s">
        <v>973</v>
      </c>
      <c r="E4" s="78" t="s">
        <v>974</v>
      </c>
      <c r="F4" s="87" t="s">
        <v>282</v>
      </c>
      <c r="G4" s="86"/>
      <c r="H4" s="86"/>
      <c r="I4" s="86"/>
      <c r="J4" s="40"/>
    </row>
    <row r="5" spans="1:18" ht="17.25" customHeight="1" x14ac:dyDescent="0.25">
      <c r="A5" s="169" t="s">
        <v>8</v>
      </c>
      <c r="D5" s="169" t="s">
        <v>51</v>
      </c>
      <c r="E5" s="56" t="s">
        <v>91</v>
      </c>
      <c r="F5"/>
      <c r="G5" s="86"/>
      <c r="H5" s="86"/>
      <c r="I5" s="86"/>
    </row>
    <row r="6" spans="1:18" ht="17.25" customHeight="1" x14ac:dyDescent="0.25">
      <c r="A6" s="169" t="s">
        <v>3</v>
      </c>
      <c r="D6" s="169" t="s">
        <v>52</v>
      </c>
      <c r="E6" s="56" t="s">
        <v>92</v>
      </c>
      <c r="F6"/>
      <c r="G6" s="86"/>
      <c r="H6" s="86"/>
      <c r="I6" s="86"/>
    </row>
    <row r="7" spans="1:18" ht="17.25" customHeight="1" x14ac:dyDescent="0.25">
      <c r="A7" s="169" t="s">
        <v>11</v>
      </c>
      <c r="D7" s="169" t="s">
        <v>88</v>
      </c>
      <c r="E7" s="56" t="s">
        <v>89</v>
      </c>
      <c r="F7"/>
      <c r="G7" s="86"/>
      <c r="H7" s="86"/>
      <c r="I7" s="86"/>
    </row>
    <row r="8" spans="1:18" ht="17.25" customHeight="1" x14ac:dyDescent="0.25">
      <c r="A8" s="169" t="s">
        <v>10</v>
      </c>
      <c r="D8" s="169" t="s">
        <v>53</v>
      </c>
      <c r="E8" s="56" t="s">
        <v>90</v>
      </c>
      <c r="F8"/>
      <c r="G8" s="86"/>
      <c r="H8" s="86"/>
      <c r="I8" s="86"/>
    </row>
    <row r="9" spans="1:18" ht="17.25" customHeight="1" x14ac:dyDescent="0.25">
      <c r="A9" s="169" t="s">
        <v>2</v>
      </c>
      <c r="D9" s="169" t="s">
        <v>54</v>
      </c>
      <c r="E9" s="56" t="s">
        <v>93</v>
      </c>
      <c r="G9" s="86"/>
      <c r="H9" s="86"/>
      <c r="I9" s="86"/>
    </row>
    <row r="10" spans="1:18" ht="17.25" customHeight="1" x14ac:dyDescent="0.25">
      <c r="A10" s="169" t="s">
        <v>9</v>
      </c>
      <c r="D10" s="169" t="s">
        <v>94</v>
      </c>
      <c r="E10" s="56" t="s">
        <v>95</v>
      </c>
      <c r="G10" s="86"/>
      <c r="H10" s="86"/>
      <c r="I10" s="86"/>
    </row>
    <row r="11" spans="1:18" ht="17.25" customHeight="1" x14ac:dyDescent="0.25">
      <c r="A11" s="169" t="s">
        <v>96</v>
      </c>
      <c r="D11" s="169" t="s">
        <v>97</v>
      </c>
      <c r="E11" s="56" t="s">
        <v>98</v>
      </c>
      <c r="G11" s="86"/>
      <c r="H11" s="86"/>
      <c r="I11" s="86"/>
    </row>
    <row r="12" spans="1:18" ht="17.25" customHeight="1" x14ac:dyDescent="0.25">
      <c r="A12" s="169" t="s">
        <v>99</v>
      </c>
      <c r="D12" s="169" t="s">
        <v>100</v>
      </c>
      <c r="E12" s="56" t="s">
        <v>101</v>
      </c>
      <c r="G12" s="86"/>
      <c r="H12" s="86"/>
      <c r="I12" s="86"/>
    </row>
    <row r="13" spans="1:18" ht="17.25" customHeight="1" x14ac:dyDescent="0.25">
      <c r="A13" s="169" t="s">
        <v>102</v>
      </c>
      <c r="D13" s="169" t="s">
        <v>103</v>
      </c>
      <c r="E13" s="56" t="s">
        <v>104</v>
      </c>
      <c r="G13" s="86"/>
      <c r="H13" s="86"/>
      <c r="I13" s="86"/>
    </row>
    <row r="14" spans="1:18" ht="17.25" customHeight="1" x14ac:dyDescent="0.25">
      <c r="A14" s="169" t="s">
        <v>1</v>
      </c>
      <c r="D14" s="169" t="s">
        <v>105</v>
      </c>
      <c r="E14" s="56" t="s">
        <v>106</v>
      </c>
      <c r="G14" s="86"/>
      <c r="H14" s="86"/>
      <c r="I14" s="86"/>
    </row>
    <row r="15" spans="1:18" ht="17.25" customHeight="1" x14ac:dyDescent="0.25">
      <c r="H15" s="70"/>
    </row>
    <row r="16" spans="1:18" ht="17.25" customHeight="1" x14ac:dyDescent="0.25">
      <c r="H16" s="70"/>
    </row>
    <row r="17" spans="8:8" ht="17.25" customHeight="1" x14ac:dyDescent="0.25">
      <c r="H17" s="70"/>
    </row>
    <row r="18" spans="8:8" ht="17.25" customHeight="1" x14ac:dyDescent="0.25">
      <c r="H18" s="70"/>
    </row>
    <row r="19" spans="8:8" ht="17.25" customHeight="1" x14ac:dyDescent="0.25">
      <c r="H19" s="70"/>
    </row>
    <row r="20" spans="8:8" ht="17.25" customHeight="1" x14ac:dyDescent="0.25">
      <c r="H20" s="70"/>
    </row>
    <row r="21" spans="8:8" ht="17.25" customHeight="1" x14ac:dyDescent="0.25">
      <c r="H21" s="70"/>
    </row>
    <row r="22" spans="8:8" ht="17.25" customHeight="1" x14ac:dyDescent="0.25">
      <c r="H22" s="70"/>
    </row>
    <row r="23" spans="8:8" ht="17.25" customHeight="1" x14ac:dyDescent="0.25">
      <c r="H23" s="70"/>
    </row>
  </sheetData>
  <mergeCells count="1">
    <mergeCell ref="F2:I2"/>
  </mergeCells>
  <conditionalFormatting sqref="A5:A5000">
    <cfRule type="duplicateValues" dxfId="5"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39997558519241921"/>
  </sheetPr>
  <dimension ref="A1:R23"/>
  <sheetViews>
    <sheetView workbookViewId="0">
      <pane xSplit="6" ySplit="4" topLeftCell="G5" activePane="bottomRight" state="frozen"/>
      <selection pane="topRight" activeCell="G1" sqref="G1"/>
      <selection pane="bottomLeft" activeCell="A5" sqref="A5"/>
      <selection pane="bottomRight" activeCell="A3" sqref="A3"/>
    </sheetView>
  </sheetViews>
  <sheetFormatPr defaultRowHeight="11.25" x14ac:dyDescent="0.2"/>
  <cols>
    <col min="2" max="2" width="17.1640625" bestFit="1" customWidth="1"/>
    <col min="3" max="3" width="10.33203125" bestFit="1" customWidth="1"/>
    <col min="4" max="4" width="21.6640625" bestFit="1" customWidth="1"/>
    <col min="5" max="5" width="13" customWidth="1"/>
    <col min="6" max="6" width="14.5" customWidth="1"/>
    <col min="7" max="7" width="13" bestFit="1" customWidth="1"/>
    <col min="8" max="8" width="23.83203125" bestFit="1" customWidth="1"/>
  </cols>
  <sheetData>
    <row r="1" spans="1:18" s="68" customFormat="1" ht="15" x14ac:dyDescent="0.25">
      <c r="A1" s="185" t="s">
        <v>41</v>
      </c>
      <c r="B1" s="28" t="s">
        <v>13</v>
      </c>
      <c r="C1" s="69" t="s">
        <v>42</v>
      </c>
      <c r="D1" s="242" t="s">
        <v>109</v>
      </c>
      <c r="E1" s="185" t="s">
        <v>257</v>
      </c>
      <c r="F1" s="192" t="b">
        <v>0</v>
      </c>
      <c r="G1" s="185" t="s">
        <v>973</v>
      </c>
      <c r="H1" s="193" t="s">
        <v>928</v>
      </c>
      <c r="I1" s="185" t="s">
        <v>974</v>
      </c>
      <c r="J1" s="143"/>
      <c r="K1" s="185"/>
      <c r="L1" s="192"/>
      <c r="M1" s="185"/>
      <c r="N1" s="192"/>
      <c r="O1" s="185"/>
      <c r="P1" s="192"/>
      <c r="Q1" s="185"/>
      <c r="R1" s="192"/>
    </row>
    <row r="2" spans="1:18" ht="15" x14ac:dyDescent="0.25">
      <c r="A2" s="187" t="s">
        <v>353</v>
      </c>
      <c r="B2" s="191" t="s">
        <v>352</v>
      </c>
      <c r="C2" s="191" t="s">
        <v>196</v>
      </c>
      <c r="D2" s="191" t="s">
        <v>350</v>
      </c>
      <c r="E2" s="182"/>
      <c r="F2" s="267" t="s">
        <v>283</v>
      </c>
      <c r="G2" s="268"/>
      <c r="H2" s="268"/>
      <c r="I2" s="269"/>
      <c r="J2" s="184"/>
      <c r="K2" s="183"/>
      <c r="L2" s="183"/>
    </row>
    <row r="3" spans="1:18" ht="15" x14ac:dyDescent="0.25">
      <c r="A3" s="191" t="s">
        <v>389</v>
      </c>
      <c r="B3" s="191" t="s">
        <v>349</v>
      </c>
      <c r="C3" s="191" t="s">
        <v>284</v>
      </c>
      <c r="D3" s="191" t="s">
        <v>351</v>
      </c>
      <c r="E3" s="182"/>
      <c r="F3" s="188" t="s">
        <v>284</v>
      </c>
      <c r="G3" s="189"/>
      <c r="H3" s="189"/>
      <c r="I3" s="189"/>
      <c r="J3" s="184"/>
      <c r="K3" s="183"/>
      <c r="L3" s="183"/>
    </row>
    <row r="4" spans="1:18" ht="30" x14ac:dyDescent="0.25">
      <c r="A4" s="77" t="s">
        <v>5</v>
      </c>
      <c r="B4" s="79" t="s">
        <v>285</v>
      </c>
      <c r="C4" s="79" t="s">
        <v>43</v>
      </c>
      <c r="D4" s="77" t="s">
        <v>973</v>
      </c>
      <c r="E4" s="78" t="s">
        <v>974</v>
      </c>
      <c r="F4" s="190" t="s">
        <v>282</v>
      </c>
      <c r="G4" s="189"/>
      <c r="H4" s="189"/>
      <c r="I4" s="189"/>
      <c r="J4" s="186"/>
      <c r="K4" s="186"/>
      <c r="L4" s="186"/>
      <c r="M4" s="186"/>
    </row>
    <row r="5" spans="1:18" ht="15" x14ac:dyDescent="0.25">
      <c r="A5" s="186">
        <v>0</v>
      </c>
      <c r="C5" s="186"/>
      <c r="D5" s="186" t="s">
        <v>130</v>
      </c>
      <c r="E5" s="186"/>
      <c r="F5" s="181"/>
      <c r="G5" s="189"/>
      <c r="H5" s="189"/>
      <c r="I5" s="189"/>
      <c r="J5" s="186"/>
      <c r="K5" s="186"/>
      <c r="L5" s="186"/>
      <c r="M5" s="186"/>
    </row>
    <row r="6" spans="1:18" ht="15" x14ac:dyDescent="0.25">
      <c r="A6" s="186">
        <v>1</v>
      </c>
      <c r="C6" s="186"/>
      <c r="D6" s="186" t="s">
        <v>131</v>
      </c>
      <c r="E6" s="186"/>
      <c r="F6" s="181"/>
      <c r="G6" s="189"/>
      <c r="H6" s="189"/>
      <c r="I6" s="189"/>
      <c r="J6" s="186"/>
      <c r="K6" s="186"/>
      <c r="L6" s="186"/>
      <c r="M6" s="186"/>
    </row>
    <row r="7" spans="1:18" ht="15" x14ac:dyDescent="0.25">
      <c r="A7" s="186">
        <v>2</v>
      </c>
      <c r="C7" s="186"/>
      <c r="D7" s="186" t="s">
        <v>132</v>
      </c>
      <c r="E7" s="186"/>
      <c r="F7" s="181"/>
      <c r="G7" s="189"/>
      <c r="H7" s="189"/>
      <c r="I7" s="189"/>
      <c r="J7" s="186"/>
      <c r="K7" s="186"/>
      <c r="L7" s="186"/>
    </row>
    <row r="8" spans="1:18" ht="15" x14ac:dyDescent="0.25">
      <c r="A8" s="186">
        <v>3</v>
      </c>
      <c r="C8" s="186"/>
      <c r="D8" s="186" t="s">
        <v>133</v>
      </c>
      <c r="E8" s="186"/>
      <c r="F8" s="181"/>
      <c r="G8" s="189"/>
      <c r="H8" s="189"/>
      <c r="I8" s="189"/>
      <c r="J8" s="186"/>
      <c r="K8" s="186"/>
      <c r="L8" s="186"/>
    </row>
    <row r="9" spans="1:18" ht="15" x14ac:dyDescent="0.25">
      <c r="A9" s="186">
        <v>4</v>
      </c>
      <c r="C9" s="186"/>
      <c r="D9" s="186" t="s">
        <v>134</v>
      </c>
      <c r="E9" s="186"/>
      <c r="F9" s="186"/>
      <c r="G9" s="189"/>
      <c r="H9" s="189"/>
      <c r="I9" s="189"/>
      <c r="J9" s="186"/>
      <c r="K9" s="186"/>
      <c r="L9" s="186"/>
    </row>
    <row r="10" spans="1:18" ht="15" x14ac:dyDescent="0.25">
      <c r="A10" s="186">
        <v>5</v>
      </c>
      <c r="C10" s="186"/>
      <c r="D10" s="186" t="s">
        <v>135</v>
      </c>
      <c r="E10" s="186"/>
      <c r="F10" s="186"/>
      <c r="G10" s="189"/>
      <c r="H10" s="189"/>
      <c r="I10" s="189"/>
      <c r="J10" s="186"/>
      <c r="K10" s="186"/>
      <c r="L10" s="186"/>
    </row>
    <row r="11" spans="1:18" ht="15" x14ac:dyDescent="0.25">
      <c r="A11" s="186">
        <v>6</v>
      </c>
      <c r="C11" s="186"/>
      <c r="D11" s="186" t="s">
        <v>136</v>
      </c>
      <c r="E11" s="186"/>
      <c r="F11" s="186"/>
      <c r="G11" s="189"/>
      <c r="H11" s="189"/>
      <c r="I11" s="189"/>
      <c r="J11" s="186"/>
      <c r="K11" s="186"/>
      <c r="L11" s="186"/>
    </row>
    <row r="12" spans="1:18" ht="15" x14ac:dyDescent="0.25">
      <c r="A12" s="186">
        <v>7</v>
      </c>
      <c r="C12" s="186"/>
      <c r="D12" s="186" t="s">
        <v>137</v>
      </c>
      <c r="E12" s="186"/>
      <c r="F12" s="186"/>
      <c r="G12" s="189"/>
      <c r="H12" s="189"/>
      <c r="I12" s="189"/>
      <c r="J12" s="186"/>
      <c r="K12" s="186"/>
      <c r="L12" s="186"/>
    </row>
    <row r="13" spans="1:18" ht="15" x14ac:dyDescent="0.25">
      <c r="A13" s="186">
        <v>8</v>
      </c>
      <c r="C13" s="186"/>
      <c r="D13" s="186" t="s">
        <v>138</v>
      </c>
      <c r="E13" s="186"/>
      <c r="F13" s="186"/>
      <c r="G13" s="189"/>
      <c r="H13" s="189"/>
      <c r="I13" s="189"/>
      <c r="J13" s="186"/>
      <c r="K13" s="186"/>
      <c r="L13" s="186"/>
    </row>
    <row r="14" spans="1:18" ht="15" x14ac:dyDescent="0.25">
      <c r="A14" s="186">
        <v>9</v>
      </c>
      <c r="C14" s="186"/>
      <c r="D14" s="186" t="s">
        <v>139</v>
      </c>
      <c r="E14" s="186"/>
      <c r="F14" s="186"/>
      <c r="G14" s="189"/>
      <c r="H14" s="189"/>
      <c r="I14" s="189"/>
      <c r="J14" s="186"/>
      <c r="K14" s="186"/>
      <c r="L14" s="186"/>
    </row>
    <row r="15" spans="1:18" ht="15" x14ac:dyDescent="0.25">
      <c r="A15" s="186">
        <v>10</v>
      </c>
      <c r="C15" s="186"/>
      <c r="D15" s="186" t="s">
        <v>140</v>
      </c>
      <c r="E15" s="186"/>
      <c r="F15" s="186"/>
      <c r="G15" s="189"/>
      <c r="H15" s="189"/>
      <c r="I15" s="189"/>
      <c r="J15" s="186"/>
      <c r="K15" s="186"/>
      <c r="L15" s="186"/>
    </row>
    <row r="16" spans="1:18" ht="15" x14ac:dyDescent="0.25">
      <c r="A16" s="186">
        <v>11</v>
      </c>
      <c r="C16" s="186"/>
      <c r="D16" s="186" t="s">
        <v>141</v>
      </c>
      <c r="E16" s="186"/>
      <c r="F16" s="186"/>
      <c r="G16" s="189"/>
      <c r="H16" s="189"/>
      <c r="I16" s="189"/>
      <c r="J16" s="186"/>
      <c r="K16" s="186"/>
      <c r="L16" s="186"/>
    </row>
    <row r="17" spans="1:12" ht="15" x14ac:dyDescent="0.25">
      <c r="A17" s="186">
        <v>12</v>
      </c>
      <c r="C17" s="186"/>
      <c r="D17" s="186" t="s">
        <v>142</v>
      </c>
      <c r="E17" s="186"/>
      <c r="F17" s="186"/>
      <c r="G17" s="189"/>
      <c r="H17" s="189"/>
      <c r="I17" s="189"/>
      <c r="J17" s="186"/>
      <c r="K17" s="186"/>
      <c r="L17" s="186"/>
    </row>
    <row r="18" spans="1:12" ht="15" x14ac:dyDescent="0.25">
      <c r="A18" s="186">
        <v>13</v>
      </c>
      <c r="C18" s="186"/>
      <c r="D18" s="186" t="s">
        <v>143</v>
      </c>
      <c r="E18" s="186"/>
      <c r="F18" s="186"/>
      <c r="G18" s="189"/>
      <c r="H18" s="189"/>
      <c r="I18" s="189"/>
      <c r="J18" s="186"/>
      <c r="K18" s="186"/>
      <c r="L18" s="186"/>
    </row>
    <row r="19" spans="1:12" ht="15" x14ac:dyDescent="0.25">
      <c r="A19" s="186">
        <v>14</v>
      </c>
      <c r="C19" s="186"/>
      <c r="D19" s="186" t="s">
        <v>144</v>
      </c>
      <c r="E19" s="186"/>
      <c r="F19" s="186"/>
      <c r="G19" s="189"/>
      <c r="H19" s="189"/>
      <c r="I19" s="189"/>
      <c r="J19" s="186"/>
      <c r="K19" s="186"/>
      <c r="L19" s="186"/>
    </row>
    <row r="20" spans="1:12" ht="15" x14ac:dyDescent="0.25">
      <c r="A20" s="186">
        <v>15</v>
      </c>
      <c r="C20" s="186"/>
      <c r="D20" s="186" t="s">
        <v>145</v>
      </c>
      <c r="E20" s="186"/>
      <c r="F20" s="186"/>
      <c r="G20" s="189"/>
      <c r="H20" s="189"/>
      <c r="I20" s="189"/>
      <c r="J20" s="186"/>
      <c r="K20" s="186"/>
      <c r="L20" s="186"/>
    </row>
    <row r="23" spans="1:12" x14ac:dyDescent="0.2">
      <c r="A23" s="181"/>
      <c r="B23" s="181"/>
      <c r="C23" s="181"/>
      <c r="D23" s="181"/>
      <c r="E23" s="181"/>
      <c r="F23" s="181"/>
      <c r="G23" s="181"/>
      <c r="H23" s="181"/>
      <c r="I23" s="181"/>
      <c r="J23" s="181"/>
      <c r="K23" s="181"/>
      <c r="L23" s="181"/>
    </row>
  </sheetData>
  <mergeCells count="1">
    <mergeCell ref="F2:I2"/>
  </mergeCells>
  <conditionalFormatting sqref="A5:A5000">
    <cfRule type="duplicateValues" dxfId="4"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R24"/>
  <sheetViews>
    <sheetView zoomScaleNormal="100" workbookViewId="0">
      <pane xSplit="6" ySplit="4" topLeftCell="G5" activePane="bottomRight" state="frozen"/>
      <selection pane="topRight" activeCell="G1" sqref="G1"/>
      <selection pane="bottomLeft" activeCell="A5" sqref="A5"/>
      <selection pane="bottomRight" sqref="A1:XFD1"/>
    </sheetView>
  </sheetViews>
  <sheetFormatPr defaultRowHeight="14.25" customHeight="1" x14ac:dyDescent="0.25"/>
  <cols>
    <col min="1" max="1" width="15" style="28" bestFit="1" customWidth="1"/>
    <col min="2" max="2" width="17.1640625" style="28" bestFit="1" customWidth="1"/>
    <col min="3" max="3" width="12.83203125" style="60" bestFit="1" customWidth="1"/>
    <col min="4" max="4" width="51.83203125" style="28" bestFit="1" customWidth="1"/>
    <col min="5" max="5" width="41.5" style="28" customWidth="1"/>
    <col min="6" max="6" width="8" style="28" customWidth="1"/>
    <col min="7" max="7" width="14.33203125" style="28" bestFit="1" customWidth="1"/>
    <col min="8" max="8" width="17.6640625" style="28" bestFit="1" customWidth="1"/>
    <col min="9" max="9" width="14.6640625" style="28" customWidth="1"/>
    <col min="10" max="12" width="14.33203125" style="28" bestFit="1" customWidth="1"/>
    <col min="13" max="16384" width="9.33203125" style="28"/>
  </cols>
  <sheetData>
    <row r="1" spans="1:18" s="68" customFormat="1" ht="15" x14ac:dyDescent="0.25">
      <c r="A1" s="185" t="s">
        <v>41</v>
      </c>
      <c r="B1" s="28" t="s">
        <v>13</v>
      </c>
      <c r="C1" s="69" t="s">
        <v>42</v>
      </c>
      <c r="D1" s="28">
        <v>2.1</v>
      </c>
      <c r="E1" s="185" t="s">
        <v>257</v>
      </c>
      <c r="F1" s="192" t="b">
        <v>0</v>
      </c>
      <c r="G1" s="185" t="s">
        <v>973</v>
      </c>
      <c r="H1" s="193" t="s">
        <v>927</v>
      </c>
      <c r="I1" s="185" t="s">
        <v>974</v>
      </c>
      <c r="J1" s="143"/>
      <c r="K1" s="185"/>
      <c r="L1" s="192"/>
      <c r="M1" s="185"/>
      <c r="N1" s="192"/>
      <c r="O1" s="185"/>
      <c r="P1" s="192"/>
      <c r="Q1" s="185"/>
      <c r="R1" s="192"/>
    </row>
    <row r="2" spans="1:18" s="38" customFormat="1" ht="14.25" customHeight="1" x14ac:dyDescent="0.25">
      <c r="A2" s="81" t="s">
        <v>353</v>
      </c>
      <c r="B2" s="109" t="s">
        <v>352</v>
      </c>
      <c r="C2" s="109" t="s">
        <v>196</v>
      </c>
      <c r="D2" s="109" t="s">
        <v>350</v>
      </c>
      <c r="E2" s="37"/>
      <c r="F2" s="270" t="s">
        <v>283</v>
      </c>
      <c r="G2" s="271"/>
      <c r="H2" s="271"/>
      <c r="I2" s="271"/>
      <c r="J2" s="271"/>
      <c r="K2" s="271"/>
      <c r="L2" s="271"/>
    </row>
    <row r="3" spans="1:18" s="38" customFormat="1" ht="14.25" customHeight="1" x14ac:dyDescent="0.25">
      <c r="A3" s="109" t="s">
        <v>389</v>
      </c>
      <c r="B3" s="109" t="s">
        <v>349</v>
      </c>
      <c r="C3" s="109" t="s">
        <v>284</v>
      </c>
      <c r="D3" s="109" t="s">
        <v>351</v>
      </c>
      <c r="E3" s="37"/>
      <c r="F3" s="85" t="s">
        <v>284</v>
      </c>
      <c r="G3" s="89"/>
      <c r="H3" s="89"/>
      <c r="I3" s="89"/>
      <c r="J3" s="89"/>
      <c r="K3" s="89"/>
      <c r="L3" s="89"/>
    </row>
    <row r="4" spans="1:18" s="39" customFormat="1" ht="14.25" customHeight="1" x14ac:dyDescent="0.25">
      <c r="A4" s="77" t="s">
        <v>5</v>
      </c>
      <c r="B4" s="79" t="s">
        <v>285</v>
      </c>
      <c r="C4" s="79" t="s">
        <v>43</v>
      </c>
      <c r="D4" s="77" t="s">
        <v>973</v>
      </c>
      <c r="E4" s="78" t="s">
        <v>974</v>
      </c>
      <c r="F4" s="87" t="s">
        <v>282</v>
      </c>
      <c r="G4" s="89"/>
      <c r="H4" s="89"/>
      <c r="I4" s="89"/>
      <c r="J4" s="89"/>
      <c r="K4" s="89"/>
      <c r="L4" s="89"/>
    </row>
    <row r="5" spans="1:18" ht="14.25" customHeight="1" x14ac:dyDescent="0.25">
      <c r="A5" s="90" t="s">
        <v>9</v>
      </c>
      <c r="D5" s="90" t="s">
        <v>286</v>
      </c>
      <c r="E5" s="91" t="s">
        <v>287</v>
      </c>
      <c r="G5" s="89"/>
      <c r="H5" s="89"/>
      <c r="I5" s="89"/>
      <c r="J5" s="89"/>
      <c r="K5" s="89"/>
      <c r="L5" s="89"/>
    </row>
    <row r="6" spans="1:18" ht="14.25" customHeight="1" x14ac:dyDescent="0.25">
      <c r="A6" s="90" t="s">
        <v>7</v>
      </c>
      <c r="D6" s="90" t="s">
        <v>288</v>
      </c>
      <c r="E6" s="91" t="s">
        <v>289</v>
      </c>
      <c r="G6" s="89"/>
      <c r="H6" s="89"/>
      <c r="I6" s="89"/>
      <c r="J6" s="89"/>
      <c r="K6" s="89"/>
      <c r="L6" s="89"/>
    </row>
    <row r="7" spans="1:18" ht="14.25" customHeight="1" x14ac:dyDescent="0.25">
      <c r="A7" s="90" t="s">
        <v>3</v>
      </c>
      <c r="D7" s="90" t="s">
        <v>290</v>
      </c>
      <c r="E7" s="91" t="s">
        <v>291</v>
      </c>
      <c r="G7" s="89"/>
      <c r="H7" s="89"/>
      <c r="I7" s="89"/>
      <c r="J7" s="89"/>
      <c r="K7" s="89"/>
      <c r="L7" s="89"/>
    </row>
    <row r="8" spans="1:18" ht="14.25" customHeight="1" x14ac:dyDescent="0.25">
      <c r="A8" s="90" t="s">
        <v>292</v>
      </c>
      <c r="D8" s="90" t="s">
        <v>293</v>
      </c>
      <c r="E8" s="92" t="s">
        <v>294</v>
      </c>
      <c r="G8" s="89"/>
      <c r="H8" s="89"/>
      <c r="I8" s="89"/>
      <c r="J8" s="89"/>
      <c r="K8" s="89"/>
      <c r="L8" s="89"/>
    </row>
    <row r="9" spans="1:18" ht="14.25" customHeight="1" x14ac:dyDescent="0.25">
      <c r="A9" s="90" t="s">
        <v>11</v>
      </c>
      <c r="D9" s="90" t="s">
        <v>295</v>
      </c>
      <c r="E9" s="91" t="s">
        <v>296</v>
      </c>
      <c r="G9" s="87"/>
      <c r="H9" s="87"/>
      <c r="I9" s="87"/>
      <c r="J9" s="87"/>
      <c r="K9" s="87"/>
      <c r="L9" s="87"/>
    </row>
    <row r="10" spans="1:18" ht="14.25" customHeight="1" x14ac:dyDescent="0.25">
      <c r="A10" s="90" t="s">
        <v>102</v>
      </c>
      <c r="D10" s="90" t="s">
        <v>297</v>
      </c>
      <c r="E10" s="91" t="s">
        <v>298</v>
      </c>
      <c r="G10" s="87"/>
      <c r="H10" s="87"/>
      <c r="I10" s="87"/>
      <c r="J10" s="87"/>
      <c r="K10" s="87"/>
      <c r="L10" s="87"/>
    </row>
    <row r="11" spans="1:18" ht="14.25" customHeight="1" x14ac:dyDescent="0.25">
      <c r="A11" s="90" t="s">
        <v>299</v>
      </c>
      <c r="D11" s="90" t="s">
        <v>300</v>
      </c>
      <c r="E11" s="91" t="s">
        <v>301</v>
      </c>
      <c r="G11" s="87"/>
      <c r="H11" s="87"/>
      <c r="I11" s="87"/>
      <c r="J11" s="87"/>
      <c r="K11" s="87"/>
      <c r="L11" s="87"/>
    </row>
    <row r="12" spans="1:18" ht="14.25" customHeight="1" x14ac:dyDescent="0.25">
      <c r="A12" s="90" t="s">
        <v>302</v>
      </c>
      <c r="D12" s="90" t="s">
        <v>303</v>
      </c>
      <c r="E12" s="91" t="s">
        <v>941</v>
      </c>
      <c r="G12" s="87"/>
      <c r="H12" s="87"/>
      <c r="I12" s="87"/>
      <c r="J12" s="87"/>
      <c r="K12" s="87"/>
      <c r="L12" s="87"/>
    </row>
    <row r="13" spans="1:18" ht="14.25" customHeight="1" x14ac:dyDescent="0.25">
      <c r="A13" s="90" t="s">
        <v>12</v>
      </c>
      <c r="D13" s="90" t="s">
        <v>304</v>
      </c>
      <c r="E13" s="91" t="s">
        <v>305</v>
      </c>
      <c r="G13" s="87"/>
      <c r="H13" s="87"/>
      <c r="I13" s="87"/>
      <c r="J13" s="87"/>
      <c r="K13" s="87"/>
      <c r="L13" s="87"/>
    </row>
    <row r="14" spans="1:18" ht="14.25" customHeight="1" x14ac:dyDescent="0.25">
      <c r="A14" s="90" t="s">
        <v>96</v>
      </c>
      <c r="D14" s="90" t="s">
        <v>306</v>
      </c>
      <c r="E14" s="91" t="s">
        <v>307</v>
      </c>
      <c r="G14" s="89"/>
      <c r="H14" s="89"/>
      <c r="I14" s="89"/>
      <c r="J14" s="89"/>
      <c r="K14" s="89"/>
      <c r="L14" s="89"/>
    </row>
    <row r="15" spans="1:18" ht="14.25" customHeight="1" x14ac:dyDescent="0.25">
      <c r="A15" s="90" t="s">
        <v>1</v>
      </c>
      <c r="D15" s="90" t="s">
        <v>308</v>
      </c>
      <c r="E15" s="92" t="s">
        <v>309</v>
      </c>
      <c r="G15" s="87"/>
      <c r="H15" s="87"/>
      <c r="I15" s="87"/>
      <c r="J15" s="87"/>
      <c r="K15" s="87"/>
      <c r="L15" s="87"/>
    </row>
    <row r="16" spans="1:18" ht="14.25" customHeight="1" x14ac:dyDescent="0.25">
      <c r="A16" s="90" t="s">
        <v>310</v>
      </c>
      <c r="D16" s="90" t="s">
        <v>311</v>
      </c>
      <c r="E16" s="91" t="s">
        <v>312</v>
      </c>
      <c r="G16" s="87"/>
      <c r="H16" s="87"/>
      <c r="I16" s="87"/>
      <c r="J16" s="87"/>
      <c r="K16" s="87"/>
      <c r="L16" s="87"/>
    </row>
    <row r="17" spans="1:12" ht="14.25" customHeight="1" x14ac:dyDescent="0.25">
      <c r="A17" s="90" t="s">
        <v>2</v>
      </c>
      <c r="D17" s="90" t="s">
        <v>313</v>
      </c>
      <c r="E17" s="91" t="s">
        <v>314</v>
      </c>
      <c r="G17" s="87"/>
      <c r="H17" s="87"/>
      <c r="I17" s="87"/>
      <c r="J17" s="87"/>
      <c r="K17" s="87"/>
      <c r="L17" s="87"/>
    </row>
    <row r="18" spans="1:12" ht="14.25" customHeight="1" x14ac:dyDescent="0.25">
      <c r="A18" s="90" t="s">
        <v>315</v>
      </c>
      <c r="D18" s="90" t="s">
        <v>316</v>
      </c>
      <c r="E18" s="91" t="s">
        <v>317</v>
      </c>
      <c r="G18" s="89"/>
      <c r="H18" s="89"/>
      <c r="I18" s="89"/>
      <c r="J18" s="89"/>
      <c r="K18" s="89"/>
      <c r="L18" s="89"/>
    </row>
    <row r="19" spans="1:12" ht="14.25" customHeight="1" x14ac:dyDescent="0.25">
      <c r="A19" s="90" t="s">
        <v>0</v>
      </c>
      <c r="D19" s="90" t="s">
        <v>318</v>
      </c>
      <c r="E19" s="91" t="s">
        <v>319</v>
      </c>
      <c r="G19" s="89"/>
      <c r="H19" s="89"/>
      <c r="I19" s="89"/>
      <c r="J19" s="89"/>
      <c r="K19" s="89"/>
      <c r="L19" s="89"/>
    </row>
    <row r="20" spans="1:12" ht="14.25" customHeight="1" x14ac:dyDescent="0.25">
      <c r="A20" s="90" t="s">
        <v>6</v>
      </c>
      <c r="D20" s="90" t="s">
        <v>320</v>
      </c>
      <c r="E20" s="91" t="s">
        <v>321</v>
      </c>
      <c r="G20" s="89"/>
      <c r="H20" s="89"/>
      <c r="I20" s="89"/>
      <c r="J20" s="89"/>
      <c r="K20" s="89"/>
      <c r="L20" s="89"/>
    </row>
    <row r="21" spans="1:12" ht="14.25" customHeight="1" x14ac:dyDescent="0.25">
      <c r="A21" s="90" t="s">
        <v>322</v>
      </c>
      <c r="D21" s="90" t="s">
        <v>323</v>
      </c>
      <c r="E21" s="91" t="s">
        <v>324</v>
      </c>
      <c r="G21" s="87"/>
      <c r="H21" s="87"/>
      <c r="I21" s="87"/>
      <c r="J21" s="87"/>
      <c r="K21" s="87"/>
      <c r="L21" s="87"/>
    </row>
    <row r="22" spans="1:12" ht="14.25" customHeight="1" x14ac:dyDescent="0.25">
      <c r="A22" s="90" t="s">
        <v>10</v>
      </c>
      <c r="D22" s="90" t="s">
        <v>325</v>
      </c>
      <c r="E22" s="91" t="s">
        <v>326</v>
      </c>
      <c r="G22" s="87"/>
      <c r="H22" s="87"/>
      <c r="I22" s="87"/>
      <c r="J22" s="87"/>
      <c r="K22" s="87"/>
      <c r="L22" s="87"/>
    </row>
    <row r="23" spans="1:12" ht="14.25" customHeight="1" x14ac:dyDescent="0.25">
      <c r="A23" s="90" t="s">
        <v>327</v>
      </c>
      <c r="D23" s="90" t="s">
        <v>328</v>
      </c>
      <c r="E23" s="91" t="s">
        <v>329</v>
      </c>
      <c r="G23" s="87"/>
      <c r="H23" s="87"/>
      <c r="I23" s="87"/>
      <c r="J23" s="87"/>
      <c r="K23" s="87"/>
      <c r="L23" s="87"/>
    </row>
    <row r="24" spans="1:12" ht="14.25" customHeight="1" x14ac:dyDescent="0.25">
      <c r="A24" s="90" t="s">
        <v>330</v>
      </c>
      <c r="D24" s="90" t="s">
        <v>331</v>
      </c>
      <c r="E24" s="91" t="s">
        <v>332</v>
      </c>
      <c r="G24" s="87"/>
      <c r="H24" s="87"/>
      <c r="I24" s="87"/>
      <c r="J24" s="87"/>
      <c r="K24" s="87"/>
      <c r="L24" s="87"/>
    </row>
  </sheetData>
  <mergeCells count="1">
    <mergeCell ref="F2:L2"/>
  </mergeCells>
  <conditionalFormatting sqref="A5:A5000">
    <cfRule type="duplicateValues" dxfId="3"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R25"/>
  <sheetViews>
    <sheetView zoomScaleNormal="100" workbookViewId="0">
      <pane xSplit="6" ySplit="4" topLeftCell="G5" activePane="bottomRight" state="frozen"/>
      <selection pane="topRight" activeCell="G1" sqref="G1"/>
      <selection pane="bottomLeft" activeCell="A5" sqref="A5"/>
      <selection pane="bottomRight" activeCell="G11" sqref="G11"/>
    </sheetView>
  </sheetViews>
  <sheetFormatPr defaultColWidth="40" defaultRowHeight="15.75" customHeight="1" x14ac:dyDescent="0.25"/>
  <cols>
    <col min="1" max="1" width="14.83203125" style="28" bestFit="1" customWidth="1"/>
    <col min="2" max="2" width="17.1640625" style="28" bestFit="1" customWidth="1"/>
    <col min="3" max="3" width="12.83203125" style="95" bestFit="1" customWidth="1"/>
    <col min="4" max="4" width="39.6640625" style="28" bestFit="1" customWidth="1"/>
    <col min="5" max="5" width="64.33203125" style="28" customWidth="1"/>
    <col min="6" max="6" width="14" style="28" bestFit="1" customWidth="1"/>
    <col min="7" max="7" width="40" style="28"/>
    <col min="8" max="8" width="40" style="73"/>
    <col min="9" max="16384" width="40" style="28"/>
  </cols>
  <sheetData>
    <row r="1" spans="1:18" s="68" customFormat="1" ht="15" x14ac:dyDescent="0.25">
      <c r="A1" s="185" t="s">
        <v>41</v>
      </c>
      <c r="B1" s="28" t="s">
        <v>13</v>
      </c>
      <c r="C1" s="69" t="s">
        <v>42</v>
      </c>
      <c r="D1" s="242" t="s">
        <v>129</v>
      </c>
      <c r="E1" s="185" t="s">
        <v>257</v>
      </c>
      <c r="F1" s="192" t="b">
        <v>0</v>
      </c>
      <c r="G1" s="185" t="s">
        <v>973</v>
      </c>
      <c r="H1" s="193" t="s">
        <v>929</v>
      </c>
      <c r="I1" s="185" t="s">
        <v>974</v>
      </c>
      <c r="J1" s="143"/>
      <c r="K1" s="185"/>
      <c r="L1" s="192"/>
      <c r="M1" s="185"/>
      <c r="N1" s="192"/>
      <c r="O1" s="185"/>
      <c r="P1" s="192"/>
      <c r="Q1" s="185"/>
      <c r="R1" s="192"/>
    </row>
    <row r="2" spans="1:18" s="38" customFormat="1" ht="15.75" customHeight="1" x14ac:dyDescent="0.25">
      <c r="A2" s="81" t="s">
        <v>353</v>
      </c>
      <c r="B2" s="109" t="s">
        <v>352</v>
      </c>
      <c r="C2" s="109" t="s">
        <v>196</v>
      </c>
      <c r="D2" s="109" t="s">
        <v>350</v>
      </c>
      <c r="E2" s="37"/>
      <c r="F2" s="267" t="s">
        <v>283</v>
      </c>
      <c r="G2" s="268"/>
      <c r="H2" s="268"/>
      <c r="I2" s="269"/>
      <c r="J2" s="53"/>
    </row>
    <row r="3" spans="1:18" s="38" customFormat="1" ht="15.75" customHeight="1" x14ac:dyDescent="0.25">
      <c r="A3" s="109" t="s">
        <v>389</v>
      </c>
      <c r="B3" s="109" t="s">
        <v>349</v>
      </c>
      <c r="C3" s="109" t="s">
        <v>284</v>
      </c>
      <c r="D3" s="109" t="s">
        <v>351</v>
      </c>
      <c r="E3" s="37"/>
      <c r="F3" s="85" t="s">
        <v>284</v>
      </c>
      <c r="G3" s="86"/>
      <c r="H3" s="86"/>
      <c r="I3" s="86"/>
      <c r="J3" s="53"/>
    </row>
    <row r="4" spans="1:18" s="39" customFormat="1" ht="15.75" customHeight="1" x14ac:dyDescent="0.25">
      <c r="A4" s="77" t="s">
        <v>5</v>
      </c>
      <c r="B4" s="79" t="s">
        <v>285</v>
      </c>
      <c r="C4" s="79" t="s">
        <v>43</v>
      </c>
      <c r="D4" s="77" t="s">
        <v>973</v>
      </c>
      <c r="E4" s="78" t="s">
        <v>974</v>
      </c>
      <c r="F4" s="87" t="s">
        <v>282</v>
      </c>
      <c r="G4" s="86"/>
      <c r="H4" s="86"/>
      <c r="I4" s="86"/>
      <c r="J4" s="40"/>
    </row>
    <row r="5" spans="1:18" ht="15.75" customHeight="1" x14ac:dyDescent="0.25">
      <c r="A5" s="72" t="s">
        <v>154</v>
      </c>
      <c r="D5" s="72" t="s">
        <v>55</v>
      </c>
      <c r="E5" s="94" t="s">
        <v>71</v>
      </c>
      <c r="F5"/>
      <c r="G5" s="86"/>
      <c r="H5" s="86"/>
      <c r="I5" s="86"/>
      <c r="J5" s="72"/>
      <c r="K5" s="72"/>
      <c r="L5" s="70"/>
    </row>
    <row r="6" spans="1:18" ht="15.75" customHeight="1" x14ac:dyDescent="0.25">
      <c r="A6" s="72" t="s">
        <v>155</v>
      </c>
      <c r="D6" s="72" t="s">
        <v>56</v>
      </c>
      <c r="E6" s="94" t="s">
        <v>72</v>
      </c>
      <c r="F6"/>
      <c r="G6" s="86"/>
      <c r="H6" s="86"/>
      <c r="I6" s="86"/>
      <c r="J6" s="72"/>
      <c r="K6" s="72"/>
      <c r="L6" s="70"/>
    </row>
    <row r="7" spans="1:18" ht="15.75" customHeight="1" x14ac:dyDescent="0.25">
      <c r="A7" s="72" t="s">
        <v>156</v>
      </c>
      <c r="D7" s="72" t="s">
        <v>157</v>
      </c>
      <c r="E7" s="94" t="s">
        <v>73</v>
      </c>
      <c r="F7"/>
      <c r="G7" s="86"/>
      <c r="H7" s="86"/>
      <c r="I7" s="86"/>
      <c r="J7" s="72"/>
      <c r="K7" s="72"/>
      <c r="L7" s="70"/>
    </row>
    <row r="8" spans="1:18" ht="15.75" customHeight="1" x14ac:dyDescent="0.25">
      <c r="A8" s="72" t="s">
        <v>158</v>
      </c>
      <c r="D8" s="72" t="s">
        <v>159</v>
      </c>
      <c r="E8" s="94" t="s">
        <v>74</v>
      </c>
      <c r="F8"/>
      <c r="G8" s="86"/>
      <c r="H8" s="86"/>
      <c r="I8" s="86"/>
      <c r="J8" s="72"/>
      <c r="K8" s="72"/>
      <c r="L8" s="70"/>
    </row>
    <row r="9" spans="1:18" ht="15.75" customHeight="1" x14ac:dyDescent="0.25">
      <c r="A9" s="72" t="s">
        <v>160</v>
      </c>
      <c r="D9" s="72" t="s">
        <v>161</v>
      </c>
      <c r="E9" s="94" t="s">
        <v>75</v>
      </c>
      <c r="F9" s="72"/>
      <c r="G9" s="86"/>
      <c r="H9" s="86"/>
      <c r="I9" s="86"/>
      <c r="J9" s="72"/>
      <c r="K9" s="72"/>
      <c r="L9" s="70"/>
    </row>
    <row r="10" spans="1:18" ht="15.75" customHeight="1" x14ac:dyDescent="0.25">
      <c r="A10" s="72" t="s">
        <v>162</v>
      </c>
      <c r="D10" s="72" t="s">
        <v>163</v>
      </c>
      <c r="E10" s="94" t="s">
        <v>76</v>
      </c>
      <c r="F10" s="72"/>
      <c r="G10" s="86"/>
      <c r="H10" s="86"/>
      <c r="I10" s="86"/>
      <c r="J10" s="72"/>
      <c r="K10" s="72"/>
      <c r="L10" s="70"/>
    </row>
    <row r="11" spans="1:18" ht="15.75" customHeight="1" x14ac:dyDescent="0.25">
      <c r="A11" s="72" t="s">
        <v>164</v>
      </c>
      <c r="D11" s="72" t="s">
        <v>165</v>
      </c>
      <c r="E11" s="94" t="s">
        <v>77</v>
      </c>
      <c r="F11" s="72"/>
      <c r="G11" s="86"/>
      <c r="H11" s="86"/>
      <c r="I11" s="86"/>
      <c r="J11" s="72"/>
      <c r="K11" s="72"/>
      <c r="L11" s="70"/>
    </row>
    <row r="12" spans="1:18" ht="15.75" customHeight="1" x14ac:dyDescent="0.25">
      <c r="A12" s="72" t="s">
        <v>166</v>
      </c>
      <c r="D12" s="72" t="s">
        <v>167</v>
      </c>
      <c r="E12" s="94" t="s">
        <v>78</v>
      </c>
      <c r="F12" s="72"/>
      <c r="G12" s="86"/>
      <c r="H12" s="86"/>
      <c r="I12" s="86"/>
      <c r="J12" s="72"/>
      <c r="K12" s="72"/>
      <c r="L12" s="70"/>
    </row>
    <row r="13" spans="1:18" ht="15.75" customHeight="1" x14ac:dyDescent="0.25">
      <c r="A13" s="72" t="s">
        <v>168</v>
      </c>
      <c r="D13" s="72" t="s">
        <v>169</v>
      </c>
      <c r="E13" s="94" t="s">
        <v>79</v>
      </c>
      <c r="F13" s="72"/>
      <c r="G13" s="86"/>
      <c r="H13" s="86"/>
      <c r="I13" s="86"/>
      <c r="J13" s="72"/>
      <c r="K13" s="72"/>
      <c r="L13" s="70"/>
    </row>
    <row r="14" spans="1:18" ht="15.75" customHeight="1" x14ac:dyDescent="0.25">
      <c r="A14" s="72" t="s">
        <v>170</v>
      </c>
      <c r="D14" s="72" t="s">
        <v>69</v>
      </c>
      <c r="E14" s="94" t="s">
        <v>80</v>
      </c>
      <c r="F14" s="72"/>
      <c r="G14" s="86"/>
      <c r="H14" s="86"/>
      <c r="I14" s="86"/>
      <c r="J14" s="72"/>
      <c r="K14" s="72"/>
      <c r="L14" s="70"/>
    </row>
    <row r="15" spans="1:18" ht="15.75" customHeight="1" x14ac:dyDescent="0.25">
      <c r="A15" s="72" t="s">
        <v>171</v>
      </c>
      <c r="D15" s="72" t="s">
        <v>70</v>
      </c>
      <c r="E15" s="94" t="s">
        <v>81</v>
      </c>
      <c r="F15" s="72"/>
      <c r="G15" s="86"/>
      <c r="H15" s="86"/>
      <c r="I15" s="86"/>
      <c r="J15" s="72"/>
      <c r="K15" s="72"/>
      <c r="L15" s="70"/>
    </row>
    <row r="16" spans="1:18" ht="15.75" customHeight="1" x14ac:dyDescent="0.25">
      <c r="A16" s="72" t="s">
        <v>172</v>
      </c>
      <c r="D16" s="72" t="s">
        <v>82</v>
      </c>
      <c r="E16" s="94" t="s">
        <v>85</v>
      </c>
      <c r="F16" s="72"/>
      <c r="G16" s="86"/>
      <c r="H16" s="86"/>
      <c r="I16" s="86"/>
      <c r="J16" s="72"/>
      <c r="K16" s="72"/>
      <c r="L16" s="70"/>
    </row>
    <row r="17" spans="1:12" ht="15.75" customHeight="1" x14ac:dyDescent="0.25">
      <c r="A17" s="72" t="s">
        <v>173</v>
      </c>
      <c r="D17" s="72" t="s">
        <v>83</v>
      </c>
      <c r="E17" s="94" t="s">
        <v>86</v>
      </c>
      <c r="F17" s="72"/>
      <c r="G17" s="86"/>
      <c r="H17" s="86"/>
      <c r="I17" s="86"/>
      <c r="J17" s="72"/>
      <c r="K17" s="72"/>
      <c r="L17" s="70"/>
    </row>
    <row r="18" spans="1:12" ht="15.75" customHeight="1" x14ac:dyDescent="0.25">
      <c r="A18" s="72" t="s">
        <v>174</v>
      </c>
      <c r="D18" s="72" t="s">
        <v>84</v>
      </c>
      <c r="E18" s="94" t="s">
        <v>87</v>
      </c>
      <c r="F18" s="72"/>
      <c r="G18" s="86"/>
      <c r="H18" s="86"/>
      <c r="I18" s="86"/>
      <c r="J18" s="72"/>
      <c r="K18" s="72"/>
      <c r="L18" s="70"/>
    </row>
    <row r="19" spans="1:12" ht="15.75" customHeight="1" x14ac:dyDescent="0.25">
      <c r="A19" s="72" t="s">
        <v>57</v>
      </c>
      <c r="D19" s="72" t="s">
        <v>175</v>
      </c>
      <c r="E19" s="94" t="s">
        <v>58</v>
      </c>
      <c r="F19" s="72"/>
      <c r="G19" s="86"/>
      <c r="H19" s="86"/>
      <c r="I19" s="86"/>
      <c r="J19" s="72"/>
      <c r="K19" s="72"/>
      <c r="L19" s="70"/>
    </row>
    <row r="20" spans="1:12" ht="15.75" customHeight="1" x14ac:dyDescent="0.25">
      <c r="A20" s="72" t="s">
        <v>59</v>
      </c>
      <c r="D20" s="72" t="s">
        <v>60</v>
      </c>
      <c r="E20" s="94" t="s">
        <v>58</v>
      </c>
      <c r="F20" s="72"/>
      <c r="G20" s="86"/>
      <c r="H20" s="86"/>
      <c r="I20" s="86"/>
      <c r="J20" s="72"/>
      <c r="K20" s="72"/>
      <c r="L20" s="70"/>
    </row>
    <row r="21" spans="1:12" ht="15.75" customHeight="1" x14ac:dyDescent="0.25">
      <c r="A21" s="72" t="s">
        <v>61</v>
      </c>
      <c r="D21" s="72" t="s">
        <v>21</v>
      </c>
      <c r="E21" s="94" t="s">
        <v>58</v>
      </c>
      <c r="F21" s="72"/>
      <c r="G21" s="86"/>
      <c r="H21" s="86"/>
      <c r="I21" s="86"/>
      <c r="J21" s="72"/>
      <c r="K21" s="72"/>
      <c r="L21" s="70"/>
    </row>
    <row r="22" spans="1:12" ht="15.75" customHeight="1" x14ac:dyDescent="0.25">
      <c r="A22" s="72" t="s">
        <v>62</v>
      </c>
      <c r="D22" s="72" t="s">
        <v>22</v>
      </c>
      <c r="E22" s="94" t="s">
        <v>58</v>
      </c>
      <c r="F22" s="72"/>
      <c r="G22" s="86"/>
      <c r="H22" s="86"/>
      <c r="I22" s="86"/>
      <c r="J22" s="72"/>
      <c r="K22" s="72"/>
      <c r="L22" s="70"/>
    </row>
    <row r="23" spans="1:12" ht="15.75" customHeight="1" x14ac:dyDescent="0.25">
      <c r="A23" s="72" t="s">
        <v>63</v>
      </c>
      <c r="D23" s="72" t="s">
        <v>64</v>
      </c>
      <c r="E23" s="94" t="s">
        <v>58</v>
      </c>
      <c r="F23" s="72"/>
      <c r="G23" s="86"/>
      <c r="H23" s="86"/>
      <c r="I23" s="86"/>
      <c r="J23" s="72"/>
      <c r="K23" s="72"/>
      <c r="L23" s="70"/>
    </row>
    <row r="24" spans="1:12" ht="15.75" customHeight="1" x14ac:dyDescent="0.25">
      <c r="A24" s="72" t="s">
        <v>65</v>
      </c>
      <c r="D24" s="72" t="s">
        <v>66</v>
      </c>
      <c r="E24" s="94" t="s">
        <v>58</v>
      </c>
      <c r="F24" s="72"/>
      <c r="G24" s="86"/>
      <c r="H24" s="86"/>
      <c r="I24" s="86"/>
      <c r="J24" s="72"/>
      <c r="K24" s="72"/>
      <c r="L24" s="70"/>
    </row>
    <row r="25" spans="1:12" ht="15.75" customHeight="1" x14ac:dyDescent="0.25">
      <c r="A25" s="72" t="s">
        <v>67</v>
      </c>
      <c r="D25" s="72" t="s">
        <v>68</v>
      </c>
      <c r="E25" s="94" t="s">
        <v>58</v>
      </c>
      <c r="F25" s="72"/>
      <c r="G25" s="86"/>
      <c r="H25" s="86"/>
      <c r="I25" s="86"/>
      <c r="J25" s="72"/>
      <c r="K25" s="72"/>
      <c r="L25" s="70"/>
    </row>
  </sheetData>
  <mergeCells count="1">
    <mergeCell ref="F2:I2"/>
  </mergeCells>
  <conditionalFormatting sqref="A5:A5000">
    <cfRule type="duplicateValues" dxfId="2"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XFD35"/>
  <sheetViews>
    <sheetView zoomScale="70" zoomScaleNormal="70" workbookViewId="0">
      <pane xSplit="6" ySplit="4" topLeftCell="G5" activePane="bottomRight" state="frozen"/>
      <selection pane="topRight" activeCell="G1" sqref="G1"/>
      <selection pane="bottomLeft" activeCell="A5" sqref="A5"/>
      <selection pane="bottomRight" sqref="A1:XFD1"/>
    </sheetView>
  </sheetViews>
  <sheetFormatPr defaultColWidth="21.6640625" defaultRowHeight="15" x14ac:dyDescent="0.2"/>
  <cols>
    <col min="1" max="1" width="15" style="58" bestFit="1" customWidth="1"/>
    <col min="2" max="2" width="17.1640625" style="58" bestFit="1" customWidth="1"/>
    <col min="3" max="3" width="12.83203125" style="58" bestFit="1" customWidth="1"/>
    <col min="4" max="4" width="25.5" style="58" bestFit="1" customWidth="1"/>
    <col min="5" max="5" width="13.5" style="58" bestFit="1" customWidth="1"/>
    <col min="6" max="6" width="16.5" style="58" bestFit="1" customWidth="1"/>
    <col min="7" max="7" width="13" style="58" bestFit="1" customWidth="1"/>
    <col min="8" max="8" width="17.6640625" style="58" bestFit="1" customWidth="1"/>
    <col min="9" max="9" width="22" style="58" bestFit="1" customWidth="1"/>
    <col min="10" max="10" width="7.33203125" style="58" bestFit="1" customWidth="1"/>
    <col min="11" max="16384" width="21.6640625" style="58"/>
  </cols>
  <sheetData>
    <row r="1" spans="1:16384" s="68" customFormat="1" x14ac:dyDescent="0.25">
      <c r="A1" s="185" t="s">
        <v>41</v>
      </c>
      <c r="B1" s="28" t="s">
        <v>13</v>
      </c>
      <c r="C1" s="69" t="s">
        <v>42</v>
      </c>
      <c r="D1" s="143" t="s">
        <v>363</v>
      </c>
      <c r="E1" s="185" t="s">
        <v>257</v>
      </c>
      <c r="F1" s="192" t="b">
        <v>0</v>
      </c>
      <c r="G1" s="185" t="s">
        <v>973</v>
      </c>
      <c r="H1" s="192" t="s">
        <v>930</v>
      </c>
      <c r="I1" s="185" t="s">
        <v>974</v>
      </c>
      <c r="J1" s="143"/>
      <c r="K1" s="184"/>
      <c r="L1" s="184"/>
      <c r="M1" s="184"/>
      <c r="N1" s="184"/>
      <c r="O1" s="184"/>
      <c r="P1" s="184"/>
      <c r="Q1" s="184"/>
      <c r="R1" s="184"/>
      <c r="S1" s="184"/>
      <c r="T1" s="184"/>
      <c r="U1" s="184"/>
      <c r="V1" s="184"/>
      <c r="W1" s="184"/>
      <c r="X1" s="184"/>
      <c r="Y1" s="184"/>
      <c r="Z1" s="184"/>
      <c r="AA1" s="184"/>
      <c r="AB1" s="184"/>
      <c r="AC1" s="184"/>
      <c r="AD1" s="184"/>
      <c r="AE1" s="184"/>
      <c r="AF1" s="184"/>
      <c r="AG1" s="184"/>
      <c r="AH1" s="184"/>
      <c r="AI1" s="184"/>
      <c r="AJ1" s="184"/>
      <c r="AK1" s="184"/>
      <c r="AL1" s="184"/>
      <c r="AM1" s="184"/>
      <c r="AN1" s="184"/>
      <c r="AO1" s="184"/>
      <c r="AP1" s="184"/>
      <c r="AQ1" s="184"/>
      <c r="AR1" s="184"/>
      <c r="AS1" s="184"/>
      <c r="AT1" s="184"/>
      <c r="AU1" s="184"/>
      <c r="AV1" s="184"/>
      <c r="AW1" s="184"/>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c r="DR1" s="184"/>
      <c r="DS1" s="184"/>
      <c r="DT1" s="184"/>
      <c r="DU1" s="184"/>
      <c r="DV1" s="184"/>
      <c r="DW1" s="184"/>
      <c r="DX1" s="184"/>
      <c r="DY1" s="184"/>
      <c r="DZ1" s="184"/>
      <c r="EA1" s="184"/>
      <c r="EB1" s="184"/>
      <c r="EC1" s="184"/>
      <c r="ED1" s="184"/>
      <c r="EE1" s="184"/>
      <c r="EF1" s="184"/>
      <c r="EG1" s="184"/>
      <c r="EH1" s="184"/>
      <c r="EI1" s="184"/>
      <c r="EJ1" s="184"/>
      <c r="EK1" s="184"/>
      <c r="EL1" s="184"/>
      <c r="EM1" s="184"/>
      <c r="EN1" s="184"/>
      <c r="EO1" s="184"/>
      <c r="EP1" s="184"/>
      <c r="EQ1" s="184"/>
      <c r="ER1" s="184"/>
      <c r="ES1" s="184"/>
      <c r="ET1" s="184"/>
      <c r="EU1" s="184"/>
      <c r="EV1" s="184"/>
      <c r="EW1" s="184"/>
      <c r="EX1" s="184"/>
      <c r="EY1" s="184"/>
      <c r="EZ1" s="184"/>
      <c r="FA1" s="184"/>
      <c r="FB1" s="184"/>
      <c r="FC1" s="184"/>
      <c r="FD1" s="184"/>
      <c r="FE1" s="184"/>
      <c r="FF1" s="184"/>
      <c r="FG1" s="184"/>
      <c r="FH1" s="184"/>
      <c r="FI1" s="184"/>
      <c r="FJ1" s="184"/>
      <c r="FK1" s="184"/>
      <c r="FL1" s="184"/>
      <c r="FM1" s="184"/>
      <c r="FN1" s="184"/>
      <c r="FO1" s="184"/>
      <c r="FP1" s="184"/>
      <c r="FQ1" s="184"/>
      <c r="FR1" s="184"/>
      <c r="FS1" s="184"/>
      <c r="FT1" s="184"/>
      <c r="FU1" s="184"/>
      <c r="FV1" s="184"/>
      <c r="FW1" s="184"/>
      <c r="FX1" s="184"/>
      <c r="FY1" s="184"/>
      <c r="FZ1" s="184"/>
      <c r="GA1" s="184"/>
      <c r="GB1" s="184"/>
      <c r="GC1" s="184"/>
      <c r="GD1" s="184"/>
      <c r="GE1" s="184"/>
      <c r="GF1" s="184"/>
      <c r="GG1" s="184"/>
      <c r="GH1" s="184"/>
      <c r="GI1" s="184"/>
      <c r="GJ1" s="184"/>
      <c r="GK1" s="184"/>
      <c r="GL1" s="184"/>
      <c r="GM1" s="184"/>
      <c r="GN1" s="184"/>
      <c r="GO1" s="184"/>
      <c r="GP1" s="184"/>
      <c r="GQ1" s="184"/>
      <c r="GR1" s="184"/>
      <c r="GS1" s="184"/>
      <c r="GT1" s="184"/>
      <c r="GU1" s="184"/>
      <c r="GV1" s="184"/>
      <c r="GW1" s="184"/>
      <c r="GX1" s="184"/>
      <c r="GY1" s="184"/>
      <c r="GZ1" s="184"/>
      <c r="HA1" s="184"/>
      <c r="HB1" s="184"/>
      <c r="HC1" s="184"/>
      <c r="HD1" s="184"/>
      <c r="HE1" s="184"/>
      <c r="HF1" s="184"/>
      <c r="HG1" s="184"/>
      <c r="HH1" s="184"/>
      <c r="HI1" s="184"/>
      <c r="HJ1" s="184"/>
      <c r="HK1" s="184"/>
      <c r="HL1" s="184"/>
      <c r="HM1" s="184"/>
      <c r="HN1" s="184"/>
      <c r="HO1" s="184"/>
      <c r="HP1" s="184"/>
      <c r="HQ1" s="184"/>
      <c r="HR1" s="184"/>
      <c r="HS1" s="184"/>
      <c r="HT1" s="184"/>
      <c r="HU1" s="184"/>
      <c r="HV1" s="184"/>
      <c r="HW1" s="184"/>
      <c r="HX1" s="184"/>
      <c r="HY1" s="184"/>
      <c r="HZ1" s="184"/>
      <c r="IA1" s="184"/>
      <c r="IB1" s="184"/>
      <c r="IC1" s="184"/>
      <c r="ID1" s="184"/>
      <c r="IE1" s="184"/>
      <c r="IF1" s="184"/>
      <c r="IG1" s="184"/>
      <c r="IH1" s="184"/>
      <c r="II1" s="184"/>
      <c r="IJ1" s="184"/>
      <c r="IK1" s="184"/>
      <c r="IL1" s="184"/>
      <c r="IM1" s="184"/>
      <c r="IN1" s="184"/>
      <c r="IO1" s="184"/>
      <c r="IP1" s="184"/>
      <c r="IQ1" s="184"/>
      <c r="IR1" s="184"/>
      <c r="IS1" s="184"/>
      <c r="IT1" s="184"/>
      <c r="IU1" s="184"/>
      <c r="IV1" s="184"/>
      <c r="IW1" s="184"/>
      <c r="IX1" s="184"/>
      <c r="IY1" s="184"/>
      <c r="IZ1" s="184"/>
      <c r="JA1" s="184"/>
      <c r="JB1" s="184"/>
      <c r="JC1" s="184"/>
      <c r="JD1" s="184"/>
      <c r="JE1" s="184"/>
      <c r="JF1" s="184"/>
      <c r="JG1" s="184"/>
      <c r="JH1" s="184"/>
      <c r="JI1" s="184"/>
      <c r="JJ1" s="184"/>
      <c r="JK1" s="184"/>
      <c r="JL1" s="184"/>
      <c r="JM1" s="184"/>
      <c r="JN1" s="184"/>
      <c r="JO1" s="184"/>
      <c r="JP1" s="184"/>
      <c r="JQ1" s="184"/>
      <c r="JR1" s="184"/>
      <c r="JS1" s="184"/>
      <c r="JT1" s="184"/>
      <c r="JU1" s="184"/>
      <c r="JV1" s="184"/>
      <c r="JW1" s="184"/>
      <c r="JX1" s="184"/>
      <c r="JY1" s="184"/>
      <c r="JZ1" s="184"/>
      <c r="KA1" s="184"/>
      <c r="KB1" s="184"/>
      <c r="KC1" s="184"/>
      <c r="KD1" s="184"/>
      <c r="KE1" s="184"/>
      <c r="KF1" s="184"/>
      <c r="KG1" s="184"/>
      <c r="KH1" s="184"/>
      <c r="KI1" s="184"/>
      <c r="KJ1" s="184"/>
      <c r="KK1" s="184"/>
      <c r="KL1" s="184"/>
      <c r="KM1" s="184"/>
      <c r="KN1" s="184"/>
      <c r="KO1" s="184"/>
      <c r="KP1" s="184"/>
      <c r="KQ1" s="184"/>
      <c r="KR1" s="184"/>
      <c r="KS1" s="184"/>
      <c r="KT1" s="184"/>
      <c r="KU1" s="184"/>
      <c r="KV1" s="184"/>
      <c r="KW1" s="184"/>
      <c r="KX1" s="184"/>
      <c r="KY1" s="184"/>
      <c r="KZ1" s="184"/>
      <c r="LA1" s="184"/>
      <c r="LB1" s="184"/>
      <c r="LC1" s="184"/>
      <c r="LD1" s="184"/>
      <c r="LE1" s="184"/>
      <c r="LF1" s="184"/>
      <c r="LG1" s="184"/>
      <c r="LH1" s="184"/>
      <c r="LI1" s="184"/>
      <c r="LJ1" s="184"/>
      <c r="LK1" s="184"/>
      <c r="LL1" s="184"/>
      <c r="LM1" s="184"/>
      <c r="LN1" s="184"/>
      <c r="LO1" s="184"/>
      <c r="LP1" s="184"/>
      <c r="LQ1" s="184"/>
      <c r="LR1" s="184"/>
      <c r="LS1" s="184"/>
      <c r="LT1" s="184"/>
      <c r="LU1" s="184"/>
      <c r="LV1" s="184"/>
      <c r="LW1" s="184"/>
      <c r="LX1" s="184"/>
      <c r="LY1" s="184"/>
      <c r="LZ1" s="184"/>
      <c r="MA1" s="184"/>
      <c r="MB1" s="184"/>
      <c r="MC1" s="184"/>
      <c r="MD1" s="184"/>
      <c r="ME1" s="184"/>
      <c r="MF1" s="184"/>
      <c r="MG1" s="184"/>
      <c r="MH1" s="184"/>
      <c r="MI1" s="184"/>
      <c r="MJ1" s="184"/>
      <c r="MK1" s="184"/>
      <c r="ML1" s="184"/>
      <c r="MM1" s="184"/>
      <c r="MN1" s="184"/>
      <c r="MO1" s="184"/>
      <c r="MP1" s="184"/>
      <c r="MQ1" s="184"/>
      <c r="MR1" s="184"/>
      <c r="MS1" s="184"/>
      <c r="MT1" s="184"/>
      <c r="MU1" s="184"/>
      <c r="MV1" s="184"/>
      <c r="MW1" s="184"/>
      <c r="MX1" s="184"/>
      <c r="MY1" s="184"/>
      <c r="MZ1" s="184"/>
      <c r="NA1" s="184"/>
      <c r="NB1" s="184"/>
      <c r="NC1" s="184"/>
      <c r="ND1" s="184"/>
      <c r="NE1" s="184"/>
      <c r="NF1" s="184"/>
      <c r="NG1" s="184"/>
      <c r="NH1" s="184"/>
      <c r="NI1" s="184"/>
      <c r="NJ1" s="184"/>
      <c r="NK1" s="184"/>
      <c r="NL1" s="184"/>
      <c r="NM1" s="184"/>
      <c r="NN1" s="184"/>
      <c r="NO1" s="184"/>
      <c r="NP1" s="184"/>
      <c r="NQ1" s="184"/>
      <c r="NR1" s="184"/>
      <c r="NS1" s="184"/>
      <c r="NT1" s="184"/>
      <c r="NU1" s="184"/>
      <c r="NV1" s="184"/>
      <c r="NW1" s="184"/>
      <c r="NX1" s="184"/>
      <c r="NY1" s="184"/>
      <c r="NZ1" s="184"/>
      <c r="OA1" s="184"/>
      <c r="OB1" s="184"/>
      <c r="OC1" s="184"/>
      <c r="OD1" s="184"/>
      <c r="OE1" s="184"/>
      <c r="OF1" s="184"/>
      <c r="OG1" s="184"/>
      <c r="OH1" s="184"/>
      <c r="OI1" s="184"/>
      <c r="OJ1" s="184"/>
      <c r="OK1" s="184"/>
      <c r="OL1" s="184"/>
      <c r="OM1" s="184"/>
      <c r="ON1" s="184"/>
      <c r="OO1" s="184"/>
      <c r="OP1" s="184"/>
      <c r="OQ1" s="184"/>
      <c r="OR1" s="184"/>
      <c r="OS1" s="184"/>
      <c r="OT1" s="184"/>
      <c r="OU1" s="184"/>
      <c r="OV1" s="184"/>
      <c r="OW1" s="184"/>
      <c r="OX1" s="184"/>
      <c r="OY1" s="184"/>
      <c r="OZ1" s="184"/>
      <c r="PA1" s="184"/>
      <c r="PB1" s="184"/>
      <c r="PC1" s="184"/>
      <c r="PD1" s="184"/>
      <c r="PE1" s="184"/>
      <c r="PF1" s="184"/>
      <c r="PG1" s="184"/>
      <c r="PH1" s="184"/>
      <c r="PI1" s="184"/>
      <c r="PJ1" s="184"/>
      <c r="PK1" s="184"/>
      <c r="PL1" s="184"/>
      <c r="PM1" s="184"/>
      <c r="PN1" s="184"/>
      <c r="PO1" s="184"/>
      <c r="PP1" s="184"/>
      <c r="PQ1" s="184"/>
      <c r="PR1" s="184"/>
      <c r="PS1" s="184"/>
      <c r="PT1" s="184"/>
      <c r="PU1" s="184"/>
      <c r="PV1" s="184"/>
      <c r="PW1" s="184"/>
      <c r="PX1" s="184"/>
      <c r="PY1" s="184"/>
      <c r="PZ1" s="184"/>
      <c r="QA1" s="184"/>
      <c r="QB1" s="184"/>
      <c r="QC1" s="184"/>
      <c r="QD1" s="184"/>
      <c r="QE1" s="184"/>
      <c r="QF1" s="184"/>
      <c r="QG1" s="184"/>
      <c r="QH1" s="184"/>
      <c r="QI1" s="184"/>
      <c r="QJ1" s="184"/>
      <c r="QK1" s="184"/>
      <c r="QL1" s="184"/>
      <c r="QM1" s="184"/>
      <c r="QN1" s="184"/>
      <c r="QO1" s="184"/>
      <c r="QP1" s="184"/>
      <c r="QQ1" s="184"/>
      <c r="QR1" s="184"/>
      <c r="QS1" s="184"/>
      <c r="QT1" s="184"/>
      <c r="QU1" s="184"/>
      <c r="QV1" s="184"/>
      <c r="QW1" s="184"/>
      <c r="QX1" s="184"/>
      <c r="QY1" s="184"/>
      <c r="QZ1" s="184"/>
      <c r="RA1" s="184"/>
      <c r="RB1" s="184"/>
      <c r="RC1" s="184"/>
      <c r="RD1" s="184"/>
      <c r="RE1" s="184"/>
      <c r="RF1" s="184"/>
      <c r="RG1" s="184"/>
      <c r="RH1" s="184"/>
      <c r="RI1" s="184"/>
      <c r="RJ1" s="184"/>
      <c r="RK1" s="184"/>
      <c r="RL1" s="184"/>
      <c r="RM1" s="184"/>
      <c r="RN1" s="184"/>
      <c r="RO1" s="184"/>
      <c r="RP1" s="184"/>
      <c r="RQ1" s="184"/>
      <c r="RR1" s="184"/>
      <c r="RS1" s="184"/>
      <c r="RT1" s="184"/>
      <c r="RU1" s="184"/>
      <c r="RV1" s="184"/>
      <c r="RW1" s="184"/>
      <c r="RX1" s="184"/>
      <c r="RY1" s="184"/>
      <c r="RZ1" s="184"/>
      <c r="SA1" s="184"/>
      <c r="SB1" s="184"/>
      <c r="SC1" s="184"/>
      <c r="SD1" s="184"/>
      <c r="SE1" s="184"/>
      <c r="SF1" s="184"/>
      <c r="SG1" s="184"/>
      <c r="SH1" s="184"/>
      <c r="SI1" s="184"/>
      <c r="SJ1" s="184"/>
      <c r="SK1" s="184"/>
      <c r="SL1" s="184"/>
      <c r="SM1" s="184"/>
      <c r="SN1" s="184"/>
      <c r="SO1" s="184"/>
      <c r="SP1" s="184"/>
      <c r="SQ1" s="184"/>
      <c r="SR1" s="184"/>
      <c r="SS1" s="184"/>
      <c r="ST1" s="184"/>
      <c r="SU1" s="184"/>
      <c r="SV1" s="184"/>
      <c r="SW1" s="184"/>
      <c r="SX1" s="184"/>
      <c r="SY1" s="184"/>
      <c r="SZ1" s="184"/>
      <c r="TA1" s="184"/>
      <c r="TB1" s="184"/>
      <c r="TC1" s="184"/>
      <c r="TD1" s="184"/>
      <c r="TE1" s="184"/>
      <c r="TF1" s="184"/>
      <c r="TG1" s="184"/>
      <c r="TH1" s="184"/>
      <c r="TI1" s="184"/>
      <c r="TJ1" s="184"/>
      <c r="TK1" s="184"/>
      <c r="TL1" s="184"/>
      <c r="TM1" s="184"/>
      <c r="TN1" s="184"/>
      <c r="TO1" s="184"/>
      <c r="TP1" s="184"/>
      <c r="TQ1" s="184"/>
      <c r="TR1" s="184"/>
      <c r="TS1" s="184"/>
      <c r="TT1" s="184"/>
      <c r="TU1" s="184"/>
      <c r="TV1" s="184"/>
      <c r="TW1" s="184"/>
      <c r="TX1" s="184"/>
      <c r="TY1" s="184"/>
      <c r="TZ1" s="184"/>
      <c r="UA1" s="184"/>
      <c r="UB1" s="184"/>
      <c r="UC1" s="184"/>
      <c r="UD1" s="184"/>
      <c r="UE1" s="184"/>
      <c r="UF1" s="184"/>
      <c r="UG1" s="184"/>
      <c r="UH1" s="184"/>
      <c r="UI1" s="184"/>
      <c r="UJ1" s="184"/>
      <c r="UK1" s="184"/>
      <c r="UL1" s="184"/>
      <c r="UM1" s="184"/>
      <c r="UN1" s="184"/>
      <c r="UO1" s="184"/>
      <c r="UP1" s="184"/>
      <c r="UQ1" s="184"/>
      <c r="UR1" s="184"/>
      <c r="US1" s="184"/>
      <c r="UT1" s="184"/>
      <c r="UU1" s="184"/>
      <c r="UV1" s="184"/>
      <c r="UW1" s="184"/>
      <c r="UX1" s="184"/>
      <c r="UY1" s="184"/>
      <c r="UZ1" s="184"/>
      <c r="VA1" s="184"/>
      <c r="VB1" s="184"/>
      <c r="VC1" s="184"/>
      <c r="VD1" s="184"/>
      <c r="VE1" s="184"/>
      <c r="VF1" s="184"/>
      <c r="VG1" s="184"/>
      <c r="VH1" s="184"/>
      <c r="VI1" s="184"/>
      <c r="VJ1" s="184"/>
      <c r="VK1" s="184"/>
      <c r="VL1" s="184"/>
      <c r="VM1" s="184"/>
      <c r="VN1" s="184"/>
      <c r="VO1" s="184"/>
      <c r="VP1" s="184"/>
      <c r="VQ1" s="184"/>
      <c r="VR1" s="184"/>
      <c r="VS1" s="184"/>
      <c r="VT1" s="184"/>
      <c r="VU1" s="184"/>
      <c r="VV1" s="184"/>
      <c r="VW1" s="184"/>
      <c r="VX1" s="184"/>
      <c r="VY1" s="184"/>
      <c r="VZ1" s="184"/>
      <c r="WA1" s="184"/>
      <c r="WB1" s="184"/>
      <c r="WC1" s="184"/>
      <c r="WD1" s="184"/>
      <c r="WE1" s="184"/>
      <c r="WF1" s="184"/>
      <c r="WG1" s="184"/>
      <c r="WH1" s="184"/>
      <c r="WI1" s="184"/>
      <c r="WJ1" s="184"/>
      <c r="WK1" s="184"/>
      <c r="WL1" s="184"/>
      <c r="WM1" s="184"/>
      <c r="WN1" s="184"/>
      <c r="WO1" s="184"/>
      <c r="WP1" s="184"/>
      <c r="WQ1" s="184"/>
      <c r="WR1" s="184"/>
      <c r="WS1" s="184"/>
      <c r="WT1" s="184"/>
      <c r="WU1" s="184"/>
      <c r="WV1" s="184"/>
      <c r="WW1" s="184"/>
      <c r="WX1" s="184"/>
      <c r="WY1" s="184"/>
      <c r="WZ1" s="184"/>
      <c r="XA1" s="184"/>
      <c r="XB1" s="184"/>
      <c r="XC1" s="184"/>
      <c r="XD1" s="184"/>
      <c r="XE1" s="184"/>
      <c r="XF1" s="184"/>
      <c r="XG1" s="184"/>
      <c r="XH1" s="184"/>
      <c r="XI1" s="184"/>
      <c r="XJ1" s="184"/>
      <c r="XK1" s="184"/>
      <c r="XL1" s="184"/>
      <c r="XM1" s="184"/>
      <c r="XN1" s="184"/>
      <c r="XO1" s="184"/>
      <c r="XP1" s="184"/>
      <c r="XQ1" s="184"/>
      <c r="XR1" s="184"/>
      <c r="XS1" s="184"/>
      <c r="XT1" s="184"/>
      <c r="XU1" s="184"/>
      <c r="XV1" s="184"/>
      <c r="XW1" s="184"/>
      <c r="XX1" s="184"/>
      <c r="XY1" s="184"/>
      <c r="XZ1" s="184"/>
      <c r="YA1" s="184"/>
      <c r="YB1" s="184"/>
      <c r="YC1" s="184"/>
      <c r="YD1" s="184"/>
      <c r="YE1" s="184"/>
      <c r="YF1" s="184"/>
      <c r="YG1" s="184"/>
      <c r="YH1" s="184"/>
      <c r="YI1" s="184"/>
      <c r="YJ1" s="184"/>
      <c r="YK1" s="184"/>
      <c r="YL1" s="184"/>
      <c r="YM1" s="184"/>
      <c r="YN1" s="184"/>
      <c r="YO1" s="184"/>
      <c r="YP1" s="184"/>
      <c r="YQ1" s="184"/>
      <c r="YR1" s="184"/>
      <c r="YS1" s="184"/>
      <c r="YT1" s="184"/>
      <c r="YU1" s="184"/>
      <c r="YV1" s="184"/>
      <c r="YW1" s="184"/>
      <c r="YX1" s="184"/>
      <c r="YY1" s="184"/>
      <c r="YZ1" s="184"/>
      <c r="ZA1" s="184"/>
      <c r="ZB1" s="184"/>
      <c r="ZC1" s="184"/>
      <c r="ZD1" s="184"/>
      <c r="ZE1" s="184"/>
      <c r="ZF1" s="184"/>
      <c r="ZG1" s="184"/>
      <c r="ZH1" s="184"/>
      <c r="ZI1" s="184"/>
      <c r="ZJ1" s="184"/>
      <c r="ZK1" s="184"/>
      <c r="ZL1" s="184"/>
      <c r="ZM1" s="184"/>
      <c r="ZN1" s="184"/>
      <c r="ZO1" s="184"/>
      <c r="ZP1" s="184"/>
      <c r="ZQ1" s="184"/>
      <c r="ZR1" s="184"/>
      <c r="ZS1" s="184"/>
      <c r="ZT1" s="184"/>
      <c r="ZU1" s="184"/>
      <c r="ZV1" s="184"/>
      <c r="ZW1" s="184"/>
      <c r="ZX1" s="184"/>
      <c r="ZY1" s="184"/>
      <c r="ZZ1" s="184"/>
      <c r="AAA1" s="184"/>
      <c r="AAB1" s="184"/>
      <c r="AAC1" s="184"/>
      <c r="AAD1" s="184"/>
      <c r="AAE1" s="184"/>
      <c r="AAF1" s="184"/>
      <c r="AAG1" s="184"/>
      <c r="AAH1" s="184"/>
      <c r="AAI1" s="184"/>
      <c r="AAJ1" s="184"/>
      <c r="AAK1" s="184"/>
      <c r="AAL1" s="184"/>
      <c r="AAM1" s="184"/>
      <c r="AAN1" s="184"/>
      <c r="AAO1" s="184"/>
      <c r="AAP1" s="184"/>
      <c r="AAQ1" s="184"/>
      <c r="AAR1" s="184"/>
      <c r="AAS1" s="184"/>
      <c r="AAT1" s="184"/>
      <c r="AAU1" s="184"/>
      <c r="AAV1" s="184"/>
      <c r="AAW1" s="184"/>
      <c r="AAX1" s="184"/>
      <c r="AAY1" s="184"/>
      <c r="AAZ1" s="184"/>
      <c r="ABA1" s="184"/>
      <c r="ABB1" s="184"/>
      <c r="ABC1" s="184"/>
      <c r="ABD1" s="184"/>
      <c r="ABE1" s="184"/>
      <c r="ABF1" s="184"/>
      <c r="ABG1" s="184"/>
      <c r="ABH1" s="184"/>
      <c r="ABI1" s="184"/>
      <c r="ABJ1" s="184"/>
      <c r="ABK1" s="184"/>
      <c r="ABL1" s="184"/>
      <c r="ABM1" s="184"/>
      <c r="ABN1" s="184"/>
      <c r="ABO1" s="184"/>
      <c r="ABP1" s="184"/>
      <c r="ABQ1" s="184"/>
      <c r="ABR1" s="184"/>
      <c r="ABS1" s="184"/>
      <c r="ABT1" s="184"/>
      <c r="ABU1" s="184"/>
      <c r="ABV1" s="184"/>
      <c r="ABW1" s="184"/>
      <c r="ABX1" s="184"/>
      <c r="ABY1" s="184"/>
      <c r="ABZ1" s="184"/>
      <c r="ACA1" s="184"/>
      <c r="ACB1" s="184"/>
      <c r="ACC1" s="184"/>
      <c r="ACD1" s="184"/>
      <c r="ACE1" s="184"/>
      <c r="ACF1" s="184"/>
      <c r="ACG1" s="184"/>
      <c r="ACH1" s="184"/>
      <c r="ACI1" s="184"/>
      <c r="ACJ1" s="184"/>
      <c r="ACK1" s="184"/>
      <c r="ACL1" s="184"/>
      <c r="ACM1" s="184"/>
      <c r="ACN1" s="184"/>
      <c r="ACO1" s="184"/>
      <c r="ACP1" s="184"/>
      <c r="ACQ1" s="184"/>
      <c r="ACR1" s="184"/>
      <c r="ACS1" s="184"/>
      <c r="ACT1" s="184"/>
      <c r="ACU1" s="184"/>
      <c r="ACV1" s="184"/>
      <c r="ACW1" s="184"/>
      <c r="ACX1" s="184"/>
      <c r="ACY1" s="184"/>
      <c r="ACZ1" s="184"/>
      <c r="ADA1" s="184"/>
      <c r="ADB1" s="184"/>
      <c r="ADC1" s="184"/>
      <c r="ADD1" s="184"/>
      <c r="ADE1" s="184"/>
      <c r="ADF1" s="184"/>
      <c r="ADG1" s="184"/>
      <c r="ADH1" s="184"/>
      <c r="ADI1" s="184"/>
      <c r="ADJ1" s="184"/>
      <c r="ADK1" s="184"/>
      <c r="ADL1" s="184"/>
      <c r="ADM1" s="184"/>
      <c r="ADN1" s="184"/>
      <c r="ADO1" s="184"/>
      <c r="ADP1" s="184"/>
      <c r="ADQ1" s="184"/>
      <c r="ADR1" s="184"/>
      <c r="ADS1" s="184"/>
      <c r="ADT1" s="184"/>
      <c r="ADU1" s="184"/>
      <c r="ADV1" s="184"/>
      <c r="ADW1" s="184"/>
      <c r="ADX1" s="184"/>
      <c r="ADY1" s="184"/>
      <c r="ADZ1" s="184"/>
      <c r="AEA1" s="184"/>
      <c r="AEB1" s="184"/>
      <c r="AEC1" s="184"/>
      <c r="AED1" s="184"/>
      <c r="AEE1" s="184"/>
      <c r="AEF1" s="184"/>
      <c r="AEG1" s="184"/>
      <c r="AEH1" s="184"/>
      <c r="AEI1" s="184"/>
      <c r="AEJ1" s="184"/>
      <c r="AEK1" s="184"/>
      <c r="AEL1" s="184"/>
      <c r="AEM1" s="184"/>
      <c r="AEN1" s="184"/>
      <c r="AEO1" s="184"/>
      <c r="AEP1" s="184"/>
      <c r="AEQ1" s="184"/>
      <c r="AER1" s="184"/>
      <c r="AES1" s="184"/>
      <c r="AET1" s="184"/>
      <c r="AEU1" s="184"/>
      <c r="AEV1" s="184"/>
      <c r="AEW1" s="184"/>
      <c r="AEX1" s="184"/>
      <c r="AEY1" s="184"/>
      <c r="AEZ1" s="184"/>
      <c r="AFA1" s="184"/>
      <c r="AFB1" s="184"/>
      <c r="AFC1" s="184"/>
      <c r="AFD1" s="184"/>
      <c r="AFE1" s="184"/>
      <c r="AFF1" s="184"/>
      <c r="AFG1" s="184"/>
      <c r="AFH1" s="184"/>
      <c r="AFI1" s="184"/>
      <c r="AFJ1" s="184"/>
      <c r="AFK1" s="184"/>
      <c r="AFL1" s="184"/>
      <c r="AFM1" s="184"/>
      <c r="AFN1" s="184"/>
      <c r="AFO1" s="184"/>
      <c r="AFP1" s="184"/>
      <c r="AFQ1" s="184"/>
      <c r="AFR1" s="184"/>
      <c r="AFS1" s="184"/>
      <c r="AFT1" s="184"/>
      <c r="AFU1" s="184"/>
      <c r="AFV1" s="184"/>
      <c r="AFW1" s="184"/>
      <c r="AFX1" s="184"/>
      <c r="AFY1" s="184"/>
      <c r="AFZ1" s="184"/>
      <c r="AGA1" s="184"/>
      <c r="AGB1" s="184"/>
      <c r="AGC1" s="184"/>
      <c r="AGD1" s="184"/>
      <c r="AGE1" s="184"/>
      <c r="AGF1" s="184"/>
      <c r="AGG1" s="184"/>
      <c r="AGH1" s="184"/>
      <c r="AGI1" s="184"/>
      <c r="AGJ1" s="184"/>
      <c r="AGK1" s="184"/>
      <c r="AGL1" s="184"/>
      <c r="AGM1" s="184"/>
      <c r="AGN1" s="184"/>
      <c r="AGO1" s="184"/>
      <c r="AGP1" s="184"/>
      <c r="AGQ1" s="184"/>
      <c r="AGR1" s="184"/>
      <c r="AGS1" s="184"/>
      <c r="AGT1" s="184"/>
      <c r="AGU1" s="184"/>
      <c r="AGV1" s="184"/>
      <c r="AGW1" s="184"/>
      <c r="AGX1" s="184"/>
      <c r="AGY1" s="184"/>
      <c r="AGZ1" s="184"/>
      <c r="AHA1" s="184"/>
      <c r="AHB1" s="184"/>
      <c r="AHC1" s="184"/>
      <c r="AHD1" s="184"/>
      <c r="AHE1" s="184"/>
      <c r="AHF1" s="184"/>
      <c r="AHG1" s="184"/>
      <c r="AHH1" s="184"/>
      <c r="AHI1" s="184"/>
      <c r="AHJ1" s="184"/>
      <c r="AHK1" s="184"/>
      <c r="AHL1" s="184"/>
      <c r="AHM1" s="184"/>
      <c r="AHN1" s="184"/>
      <c r="AHO1" s="184"/>
      <c r="AHP1" s="184"/>
      <c r="AHQ1" s="184"/>
      <c r="AHR1" s="184"/>
      <c r="AHS1" s="184"/>
      <c r="AHT1" s="184"/>
      <c r="AHU1" s="184"/>
      <c r="AHV1" s="184"/>
      <c r="AHW1" s="184"/>
      <c r="AHX1" s="184"/>
      <c r="AHY1" s="184"/>
      <c r="AHZ1" s="184"/>
      <c r="AIA1" s="184"/>
      <c r="AIB1" s="184"/>
      <c r="AIC1" s="184"/>
      <c r="AID1" s="184"/>
      <c r="AIE1" s="184"/>
      <c r="AIF1" s="184"/>
      <c r="AIG1" s="184"/>
      <c r="AIH1" s="184"/>
      <c r="AII1" s="184"/>
      <c r="AIJ1" s="184"/>
      <c r="AIK1" s="184"/>
      <c r="AIL1" s="184"/>
      <c r="AIM1" s="184"/>
      <c r="AIN1" s="184"/>
      <c r="AIO1" s="184"/>
      <c r="AIP1" s="184"/>
      <c r="AIQ1" s="184"/>
      <c r="AIR1" s="184"/>
      <c r="AIS1" s="184"/>
      <c r="AIT1" s="184"/>
      <c r="AIU1" s="184"/>
      <c r="AIV1" s="184"/>
      <c r="AIW1" s="184"/>
      <c r="AIX1" s="184"/>
      <c r="AIY1" s="184"/>
      <c r="AIZ1" s="184"/>
      <c r="AJA1" s="184"/>
      <c r="AJB1" s="184"/>
      <c r="AJC1" s="184"/>
      <c r="AJD1" s="184"/>
      <c r="AJE1" s="184"/>
      <c r="AJF1" s="184"/>
      <c r="AJG1" s="184"/>
      <c r="AJH1" s="184"/>
      <c r="AJI1" s="184"/>
      <c r="AJJ1" s="184"/>
      <c r="AJK1" s="184"/>
      <c r="AJL1" s="184"/>
      <c r="AJM1" s="184"/>
      <c r="AJN1" s="184"/>
      <c r="AJO1" s="184"/>
      <c r="AJP1" s="184"/>
      <c r="AJQ1" s="184"/>
      <c r="AJR1" s="184"/>
      <c r="AJS1" s="184"/>
      <c r="AJT1" s="184"/>
      <c r="AJU1" s="184"/>
      <c r="AJV1" s="184"/>
      <c r="AJW1" s="184"/>
      <c r="AJX1" s="184"/>
      <c r="AJY1" s="184"/>
      <c r="AJZ1" s="184"/>
      <c r="AKA1" s="184"/>
      <c r="AKB1" s="184"/>
      <c r="AKC1" s="184"/>
      <c r="AKD1" s="184"/>
      <c r="AKE1" s="184"/>
      <c r="AKF1" s="184"/>
      <c r="AKG1" s="184"/>
      <c r="AKH1" s="184"/>
      <c r="AKI1" s="184"/>
      <c r="AKJ1" s="184"/>
      <c r="AKK1" s="184"/>
      <c r="AKL1" s="184"/>
      <c r="AKM1" s="184"/>
      <c r="AKN1" s="184"/>
      <c r="AKO1" s="184"/>
      <c r="AKP1" s="184"/>
      <c r="AKQ1" s="184"/>
      <c r="AKR1" s="184"/>
      <c r="AKS1" s="184"/>
      <c r="AKT1" s="184"/>
      <c r="AKU1" s="184"/>
      <c r="AKV1" s="184"/>
      <c r="AKW1" s="184"/>
      <c r="AKX1" s="184"/>
      <c r="AKY1" s="184"/>
      <c r="AKZ1" s="184"/>
      <c r="ALA1" s="184"/>
      <c r="ALB1" s="184"/>
      <c r="ALC1" s="184"/>
      <c r="ALD1" s="184"/>
      <c r="ALE1" s="184"/>
      <c r="ALF1" s="184"/>
      <c r="ALG1" s="184"/>
      <c r="ALH1" s="184"/>
      <c r="ALI1" s="184"/>
      <c r="ALJ1" s="184"/>
      <c r="ALK1" s="184"/>
      <c r="ALL1" s="184"/>
      <c r="ALM1" s="184"/>
      <c r="ALN1" s="184"/>
      <c r="ALO1" s="184"/>
      <c r="ALP1" s="184"/>
      <c r="ALQ1" s="184"/>
      <c r="ALR1" s="184"/>
      <c r="ALS1" s="184"/>
      <c r="ALT1" s="184"/>
      <c r="ALU1" s="184"/>
      <c r="ALV1" s="184"/>
      <c r="ALW1" s="184"/>
      <c r="ALX1" s="184"/>
      <c r="ALY1" s="184"/>
      <c r="ALZ1" s="184"/>
      <c r="AMA1" s="184"/>
      <c r="AMB1" s="184"/>
      <c r="AMC1" s="184"/>
      <c r="AMD1" s="184"/>
      <c r="AME1" s="184"/>
      <c r="AMF1" s="184"/>
      <c r="AMG1" s="184"/>
      <c r="AMH1" s="184"/>
      <c r="AMI1" s="184"/>
      <c r="AMJ1" s="184"/>
      <c r="AMK1" s="184"/>
      <c r="AML1" s="184"/>
      <c r="AMM1" s="184"/>
      <c r="AMN1" s="184"/>
      <c r="AMO1" s="184"/>
      <c r="AMP1" s="184"/>
      <c r="AMQ1" s="184"/>
      <c r="AMR1" s="184"/>
      <c r="AMS1" s="184"/>
      <c r="AMT1" s="184"/>
      <c r="AMU1" s="184"/>
      <c r="AMV1" s="184"/>
      <c r="AMW1" s="184"/>
      <c r="AMX1" s="184"/>
      <c r="AMY1" s="184"/>
      <c r="AMZ1" s="184"/>
      <c r="ANA1" s="184"/>
      <c r="ANB1" s="184"/>
      <c r="ANC1" s="184"/>
      <c r="AND1" s="184"/>
      <c r="ANE1" s="184"/>
      <c r="ANF1" s="184"/>
      <c r="ANG1" s="184"/>
      <c r="ANH1" s="184"/>
      <c r="ANI1" s="184"/>
      <c r="ANJ1" s="184"/>
      <c r="ANK1" s="184"/>
      <c r="ANL1" s="184"/>
      <c r="ANM1" s="184"/>
      <c r="ANN1" s="184"/>
      <c r="ANO1" s="184"/>
      <c r="ANP1" s="184"/>
      <c r="ANQ1" s="184"/>
      <c r="ANR1" s="184"/>
      <c r="ANS1" s="184"/>
      <c r="ANT1" s="184"/>
      <c r="ANU1" s="184"/>
      <c r="ANV1" s="184"/>
      <c r="ANW1" s="184"/>
      <c r="ANX1" s="184"/>
      <c r="ANY1" s="184"/>
      <c r="ANZ1" s="184"/>
      <c r="AOA1" s="184"/>
      <c r="AOB1" s="184"/>
      <c r="AOC1" s="184"/>
      <c r="AOD1" s="184"/>
      <c r="AOE1" s="184"/>
      <c r="AOF1" s="184"/>
      <c r="AOG1" s="184"/>
      <c r="AOH1" s="184"/>
      <c r="AOI1" s="184"/>
      <c r="AOJ1" s="184"/>
      <c r="AOK1" s="184"/>
      <c r="AOL1" s="184"/>
      <c r="AOM1" s="184"/>
      <c r="AON1" s="184"/>
      <c r="AOO1" s="184"/>
      <c r="AOP1" s="184"/>
      <c r="AOQ1" s="184"/>
      <c r="AOR1" s="184"/>
      <c r="AOS1" s="184"/>
      <c r="AOT1" s="184"/>
      <c r="AOU1" s="184"/>
      <c r="AOV1" s="184"/>
      <c r="AOW1" s="184"/>
      <c r="AOX1" s="184"/>
      <c r="AOY1" s="184"/>
      <c r="AOZ1" s="184"/>
      <c r="APA1" s="184"/>
      <c r="APB1" s="184"/>
      <c r="APC1" s="184"/>
      <c r="APD1" s="184"/>
      <c r="APE1" s="184"/>
      <c r="APF1" s="184"/>
      <c r="APG1" s="184"/>
      <c r="APH1" s="184"/>
      <c r="API1" s="184"/>
      <c r="APJ1" s="184"/>
      <c r="APK1" s="184"/>
      <c r="APL1" s="184"/>
      <c r="APM1" s="184"/>
      <c r="APN1" s="184"/>
      <c r="APO1" s="184"/>
      <c r="APP1" s="184"/>
      <c r="APQ1" s="184"/>
      <c r="APR1" s="184"/>
      <c r="APS1" s="184"/>
      <c r="APT1" s="184"/>
      <c r="APU1" s="184"/>
      <c r="APV1" s="184"/>
      <c r="APW1" s="184"/>
      <c r="APX1" s="184"/>
      <c r="APY1" s="184"/>
      <c r="APZ1" s="184"/>
      <c r="AQA1" s="184"/>
      <c r="AQB1" s="184"/>
      <c r="AQC1" s="184"/>
      <c r="AQD1" s="184"/>
      <c r="AQE1" s="184"/>
      <c r="AQF1" s="184"/>
      <c r="AQG1" s="184"/>
      <c r="AQH1" s="184"/>
      <c r="AQI1" s="184"/>
      <c r="AQJ1" s="184"/>
      <c r="AQK1" s="184"/>
      <c r="AQL1" s="184"/>
      <c r="AQM1" s="184"/>
      <c r="AQN1" s="184"/>
      <c r="AQO1" s="184"/>
      <c r="AQP1" s="184"/>
      <c r="AQQ1" s="184"/>
      <c r="AQR1" s="184"/>
      <c r="AQS1" s="184"/>
      <c r="AQT1" s="184"/>
      <c r="AQU1" s="184"/>
      <c r="AQV1" s="184"/>
      <c r="AQW1" s="184"/>
      <c r="AQX1" s="184"/>
      <c r="AQY1" s="184"/>
      <c r="AQZ1" s="184"/>
      <c r="ARA1" s="184"/>
      <c r="ARB1" s="184"/>
      <c r="ARC1" s="184"/>
      <c r="ARD1" s="184"/>
      <c r="ARE1" s="184"/>
      <c r="ARF1" s="184"/>
      <c r="ARG1" s="184"/>
      <c r="ARH1" s="184"/>
      <c r="ARI1" s="184"/>
      <c r="ARJ1" s="184"/>
      <c r="ARK1" s="184"/>
      <c r="ARL1" s="184"/>
      <c r="ARM1" s="184"/>
      <c r="ARN1" s="184"/>
      <c r="ARO1" s="184"/>
      <c r="ARP1" s="184"/>
      <c r="ARQ1" s="184"/>
      <c r="ARR1" s="184"/>
      <c r="ARS1" s="184"/>
      <c r="ART1" s="184"/>
      <c r="ARU1" s="184"/>
      <c r="ARV1" s="184"/>
      <c r="ARW1" s="184"/>
      <c r="ARX1" s="184"/>
      <c r="ARY1" s="184"/>
      <c r="ARZ1" s="184"/>
      <c r="ASA1" s="184"/>
      <c r="ASB1" s="184"/>
      <c r="ASC1" s="184"/>
      <c r="ASD1" s="184"/>
      <c r="ASE1" s="184"/>
      <c r="ASF1" s="184"/>
      <c r="ASG1" s="184"/>
      <c r="ASH1" s="184"/>
      <c r="ASI1" s="184"/>
      <c r="ASJ1" s="184"/>
      <c r="ASK1" s="184"/>
      <c r="ASL1" s="184"/>
      <c r="ASM1" s="184"/>
      <c r="ASN1" s="184"/>
      <c r="ASO1" s="184"/>
      <c r="ASP1" s="184"/>
      <c r="ASQ1" s="184"/>
      <c r="ASR1" s="184"/>
      <c r="ASS1" s="184"/>
      <c r="AST1" s="184"/>
      <c r="ASU1" s="184"/>
      <c r="ASV1" s="184"/>
      <c r="ASW1" s="184"/>
      <c r="ASX1" s="184"/>
      <c r="ASY1" s="184"/>
      <c r="ASZ1" s="184"/>
      <c r="ATA1" s="184"/>
      <c r="ATB1" s="184"/>
      <c r="ATC1" s="184"/>
      <c r="ATD1" s="184"/>
      <c r="ATE1" s="184"/>
      <c r="ATF1" s="184"/>
      <c r="ATG1" s="184"/>
      <c r="ATH1" s="184"/>
      <c r="ATI1" s="184"/>
      <c r="ATJ1" s="184"/>
      <c r="ATK1" s="184"/>
      <c r="ATL1" s="184"/>
      <c r="ATM1" s="184"/>
      <c r="ATN1" s="184"/>
      <c r="ATO1" s="184"/>
      <c r="ATP1" s="184"/>
      <c r="ATQ1" s="184"/>
      <c r="ATR1" s="184"/>
      <c r="ATS1" s="184"/>
      <c r="ATT1" s="184"/>
      <c r="ATU1" s="184"/>
      <c r="ATV1" s="184"/>
      <c r="ATW1" s="184"/>
      <c r="ATX1" s="184"/>
      <c r="ATY1" s="184"/>
      <c r="ATZ1" s="184"/>
      <c r="AUA1" s="184"/>
      <c r="AUB1" s="184"/>
      <c r="AUC1" s="184"/>
      <c r="AUD1" s="184"/>
      <c r="AUE1" s="184"/>
      <c r="AUF1" s="184"/>
      <c r="AUG1" s="184"/>
      <c r="AUH1" s="184"/>
      <c r="AUI1" s="184"/>
      <c r="AUJ1" s="184"/>
      <c r="AUK1" s="184"/>
      <c r="AUL1" s="184"/>
      <c r="AUM1" s="184"/>
      <c r="AUN1" s="184"/>
      <c r="AUO1" s="184"/>
      <c r="AUP1" s="184"/>
      <c r="AUQ1" s="184"/>
      <c r="AUR1" s="184"/>
      <c r="AUS1" s="184"/>
      <c r="AUT1" s="184"/>
      <c r="AUU1" s="184"/>
      <c r="AUV1" s="184"/>
      <c r="AUW1" s="184"/>
      <c r="AUX1" s="184"/>
      <c r="AUY1" s="184"/>
      <c r="AUZ1" s="184"/>
      <c r="AVA1" s="184"/>
      <c r="AVB1" s="184"/>
      <c r="AVC1" s="184"/>
      <c r="AVD1" s="184"/>
      <c r="AVE1" s="184"/>
      <c r="AVF1" s="184"/>
      <c r="AVG1" s="184"/>
      <c r="AVH1" s="184"/>
      <c r="AVI1" s="184"/>
      <c r="AVJ1" s="184"/>
      <c r="AVK1" s="184"/>
      <c r="AVL1" s="184"/>
      <c r="AVM1" s="184"/>
      <c r="AVN1" s="184"/>
      <c r="AVO1" s="184"/>
      <c r="AVP1" s="184"/>
      <c r="AVQ1" s="184"/>
      <c r="AVR1" s="184"/>
      <c r="AVS1" s="184"/>
      <c r="AVT1" s="184"/>
      <c r="AVU1" s="184"/>
      <c r="AVV1" s="184"/>
      <c r="AVW1" s="184"/>
      <c r="AVX1" s="184"/>
      <c r="AVY1" s="184"/>
      <c r="AVZ1" s="184"/>
      <c r="AWA1" s="184"/>
      <c r="AWB1" s="184"/>
      <c r="AWC1" s="184"/>
      <c r="AWD1" s="184"/>
      <c r="AWE1" s="184"/>
      <c r="AWF1" s="184"/>
      <c r="AWG1" s="184"/>
      <c r="AWH1" s="184"/>
      <c r="AWI1" s="184"/>
      <c r="AWJ1" s="184"/>
      <c r="AWK1" s="184"/>
      <c r="AWL1" s="184"/>
      <c r="AWM1" s="184"/>
      <c r="AWN1" s="184"/>
      <c r="AWO1" s="184"/>
      <c r="AWP1" s="184"/>
      <c r="AWQ1" s="184"/>
      <c r="AWR1" s="184"/>
      <c r="AWS1" s="184"/>
      <c r="AWT1" s="184"/>
      <c r="AWU1" s="184"/>
      <c r="AWV1" s="184"/>
      <c r="AWW1" s="184"/>
      <c r="AWX1" s="184"/>
      <c r="AWY1" s="184"/>
      <c r="AWZ1" s="184"/>
      <c r="AXA1" s="184"/>
      <c r="AXB1" s="184"/>
      <c r="AXC1" s="184"/>
      <c r="AXD1" s="184"/>
      <c r="AXE1" s="184"/>
      <c r="AXF1" s="184"/>
      <c r="AXG1" s="184"/>
      <c r="AXH1" s="184"/>
      <c r="AXI1" s="184"/>
      <c r="AXJ1" s="184"/>
      <c r="AXK1" s="184"/>
      <c r="AXL1" s="184"/>
      <c r="AXM1" s="184"/>
      <c r="AXN1" s="184"/>
      <c r="AXO1" s="184"/>
      <c r="AXP1" s="184"/>
      <c r="AXQ1" s="184"/>
      <c r="AXR1" s="184"/>
      <c r="AXS1" s="184"/>
      <c r="AXT1" s="184"/>
      <c r="AXU1" s="184"/>
      <c r="AXV1" s="184"/>
      <c r="AXW1" s="184"/>
      <c r="AXX1" s="184"/>
      <c r="AXY1" s="184"/>
      <c r="AXZ1" s="184"/>
      <c r="AYA1" s="184"/>
      <c r="AYB1" s="184"/>
      <c r="AYC1" s="184"/>
      <c r="AYD1" s="184"/>
      <c r="AYE1" s="184"/>
      <c r="AYF1" s="184"/>
      <c r="AYG1" s="184"/>
      <c r="AYH1" s="184"/>
      <c r="AYI1" s="184"/>
      <c r="AYJ1" s="184"/>
      <c r="AYK1" s="184"/>
      <c r="AYL1" s="184"/>
      <c r="AYM1" s="184"/>
      <c r="AYN1" s="184"/>
      <c r="AYO1" s="184"/>
      <c r="AYP1" s="184"/>
      <c r="AYQ1" s="184"/>
      <c r="AYR1" s="184"/>
      <c r="AYS1" s="184"/>
      <c r="AYT1" s="184"/>
      <c r="AYU1" s="184"/>
      <c r="AYV1" s="184"/>
      <c r="AYW1" s="184"/>
      <c r="AYX1" s="184"/>
      <c r="AYY1" s="184"/>
      <c r="AYZ1" s="184"/>
      <c r="AZA1" s="184"/>
      <c r="AZB1" s="184"/>
      <c r="AZC1" s="184"/>
      <c r="AZD1" s="184"/>
      <c r="AZE1" s="184"/>
      <c r="AZF1" s="184"/>
      <c r="AZG1" s="184"/>
      <c r="AZH1" s="184"/>
      <c r="AZI1" s="184"/>
      <c r="AZJ1" s="184"/>
      <c r="AZK1" s="184"/>
      <c r="AZL1" s="184"/>
      <c r="AZM1" s="184"/>
      <c r="AZN1" s="184"/>
      <c r="AZO1" s="184"/>
      <c r="AZP1" s="184"/>
      <c r="AZQ1" s="184"/>
      <c r="AZR1" s="184"/>
      <c r="AZS1" s="184"/>
      <c r="AZT1" s="184"/>
      <c r="AZU1" s="184"/>
      <c r="AZV1" s="184"/>
      <c r="AZW1" s="184"/>
      <c r="AZX1" s="184"/>
      <c r="AZY1" s="184"/>
      <c r="AZZ1" s="184"/>
      <c r="BAA1" s="184"/>
      <c r="BAB1" s="184"/>
      <c r="BAC1" s="184"/>
      <c r="BAD1" s="184"/>
      <c r="BAE1" s="184"/>
      <c r="BAF1" s="184"/>
      <c r="BAG1" s="184"/>
      <c r="BAH1" s="184"/>
      <c r="BAI1" s="184"/>
      <c r="BAJ1" s="184"/>
      <c r="BAK1" s="184"/>
      <c r="BAL1" s="184"/>
      <c r="BAM1" s="184"/>
      <c r="BAN1" s="184"/>
      <c r="BAO1" s="184"/>
      <c r="BAP1" s="184"/>
      <c r="BAQ1" s="184"/>
      <c r="BAR1" s="184"/>
      <c r="BAS1" s="184"/>
      <c r="BAT1" s="184"/>
      <c r="BAU1" s="184"/>
      <c r="BAV1" s="184"/>
      <c r="BAW1" s="184"/>
      <c r="BAX1" s="184"/>
      <c r="BAY1" s="184"/>
      <c r="BAZ1" s="184"/>
      <c r="BBA1" s="184"/>
      <c r="BBB1" s="184"/>
      <c r="BBC1" s="184"/>
      <c r="BBD1" s="184"/>
      <c r="BBE1" s="184"/>
      <c r="BBF1" s="184"/>
      <c r="BBG1" s="184"/>
      <c r="BBH1" s="184"/>
      <c r="BBI1" s="184"/>
      <c r="BBJ1" s="184"/>
      <c r="BBK1" s="184"/>
      <c r="BBL1" s="184"/>
      <c r="BBM1" s="184"/>
      <c r="BBN1" s="184"/>
      <c r="BBO1" s="184"/>
      <c r="BBP1" s="184"/>
      <c r="BBQ1" s="184"/>
      <c r="BBR1" s="184"/>
      <c r="BBS1" s="184"/>
      <c r="BBT1" s="184"/>
      <c r="BBU1" s="184"/>
      <c r="BBV1" s="184"/>
      <c r="BBW1" s="184"/>
      <c r="BBX1" s="184"/>
      <c r="BBY1" s="184"/>
      <c r="BBZ1" s="184"/>
      <c r="BCA1" s="184"/>
      <c r="BCB1" s="184"/>
      <c r="BCC1" s="184"/>
      <c r="BCD1" s="184"/>
      <c r="BCE1" s="184"/>
      <c r="BCF1" s="184"/>
      <c r="BCG1" s="184"/>
      <c r="BCH1" s="184"/>
      <c r="BCI1" s="184"/>
      <c r="BCJ1" s="184"/>
      <c r="BCK1" s="184"/>
      <c r="BCL1" s="184"/>
      <c r="BCM1" s="184"/>
      <c r="BCN1" s="184"/>
      <c r="BCO1" s="184"/>
      <c r="BCP1" s="184"/>
      <c r="BCQ1" s="184"/>
      <c r="BCR1" s="184"/>
      <c r="BCS1" s="184"/>
      <c r="BCT1" s="184"/>
      <c r="BCU1" s="184"/>
      <c r="BCV1" s="184"/>
      <c r="BCW1" s="184"/>
      <c r="BCX1" s="184"/>
      <c r="BCY1" s="184"/>
      <c r="BCZ1" s="184"/>
      <c r="BDA1" s="184"/>
      <c r="BDB1" s="184"/>
      <c r="BDC1" s="184"/>
      <c r="BDD1" s="184"/>
      <c r="BDE1" s="184"/>
      <c r="BDF1" s="184"/>
      <c r="BDG1" s="184"/>
      <c r="BDH1" s="184"/>
      <c r="BDI1" s="184"/>
      <c r="BDJ1" s="184"/>
      <c r="BDK1" s="184"/>
      <c r="BDL1" s="184"/>
      <c r="BDM1" s="184"/>
      <c r="BDN1" s="184"/>
      <c r="BDO1" s="184"/>
      <c r="BDP1" s="184"/>
      <c r="BDQ1" s="184"/>
      <c r="BDR1" s="184"/>
      <c r="BDS1" s="184"/>
      <c r="BDT1" s="184"/>
      <c r="BDU1" s="184"/>
      <c r="BDV1" s="184"/>
      <c r="BDW1" s="184"/>
      <c r="BDX1" s="184"/>
      <c r="BDY1" s="184"/>
      <c r="BDZ1" s="184"/>
      <c r="BEA1" s="184"/>
      <c r="BEB1" s="184"/>
      <c r="BEC1" s="184"/>
      <c r="BED1" s="184"/>
      <c r="BEE1" s="184"/>
      <c r="BEF1" s="184"/>
      <c r="BEG1" s="184"/>
      <c r="BEH1" s="184"/>
      <c r="BEI1" s="184"/>
      <c r="BEJ1" s="184"/>
      <c r="BEK1" s="184"/>
      <c r="BEL1" s="184"/>
      <c r="BEM1" s="184"/>
      <c r="BEN1" s="184"/>
      <c r="BEO1" s="184"/>
      <c r="BEP1" s="184"/>
      <c r="BEQ1" s="184"/>
      <c r="BER1" s="184"/>
      <c r="BES1" s="184"/>
      <c r="BET1" s="184"/>
      <c r="BEU1" s="184"/>
      <c r="BEV1" s="184"/>
      <c r="BEW1" s="184"/>
      <c r="BEX1" s="184"/>
      <c r="BEY1" s="184"/>
      <c r="BEZ1" s="184"/>
      <c r="BFA1" s="184"/>
      <c r="BFB1" s="184"/>
      <c r="BFC1" s="184"/>
      <c r="BFD1" s="184"/>
      <c r="BFE1" s="184"/>
      <c r="BFF1" s="184"/>
      <c r="BFG1" s="184"/>
      <c r="BFH1" s="184"/>
      <c r="BFI1" s="184"/>
      <c r="BFJ1" s="184"/>
      <c r="BFK1" s="184"/>
      <c r="BFL1" s="184"/>
      <c r="BFM1" s="184"/>
      <c r="BFN1" s="184"/>
      <c r="BFO1" s="184"/>
      <c r="BFP1" s="184"/>
      <c r="BFQ1" s="184"/>
      <c r="BFR1" s="184"/>
      <c r="BFS1" s="184"/>
      <c r="BFT1" s="184"/>
      <c r="BFU1" s="184"/>
      <c r="BFV1" s="184"/>
      <c r="BFW1" s="184"/>
      <c r="BFX1" s="184"/>
      <c r="BFY1" s="184"/>
      <c r="BFZ1" s="184"/>
      <c r="BGA1" s="184"/>
      <c r="BGB1" s="184"/>
      <c r="BGC1" s="184"/>
      <c r="BGD1" s="184"/>
      <c r="BGE1" s="184"/>
      <c r="BGF1" s="184"/>
      <c r="BGG1" s="184"/>
      <c r="BGH1" s="184"/>
      <c r="BGI1" s="184"/>
      <c r="BGJ1" s="184"/>
      <c r="BGK1" s="184"/>
      <c r="BGL1" s="184"/>
      <c r="BGM1" s="184"/>
      <c r="BGN1" s="184"/>
      <c r="BGO1" s="184"/>
      <c r="BGP1" s="184"/>
      <c r="BGQ1" s="184"/>
      <c r="BGR1" s="184"/>
      <c r="BGS1" s="184"/>
      <c r="BGT1" s="184"/>
      <c r="BGU1" s="184"/>
      <c r="BGV1" s="184"/>
      <c r="BGW1" s="184"/>
      <c r="BGX1" s="184"/>
      <c r="BGY1" s="184"/>
      <c r="BGZ1" s="184"/>
      <c r="BHA1" s="184"/>
      <c r="BHB1" s="184"/>
      <c r="BHC1" s="184"/>
      <c r="BHD1" s="184"/>
      <c r="BHE1" s="184"/>
      <c r="BHF1" s="184"/>
      <c r="BHG1" s="184"/>
      <c r="BHH1" s="184"/>
      <c r="BHI1" s="184"/>
      <c r="BHJ1" s="184"/>
      <c r="BHK1" s="184"/>
      <c r="BHL1" s="184"/>
      <c r="BHM1" s="184"/>
      <c r="BHN1" s="184"/>
      <c r="BHO1" s="184"/>
      <c r="BHP1" s="184"/>
      <c r="BHQ1" s="184"/>
      <c r="BHR1" s="184"/>
      <c r="BHS1" s="184"/>
      <c r="BHT1" s="184"/>
      <c r="BHU1" s="184"/>
      <c r="BHV1" s="184"/>
      <c r="BHW1" s="184"/>
      <c r="BHX1" s="184"/>
      <c r="BHY1" s="184"/>
      <c r="BHZ1" s="184"/>
      <c r="BIA1" s="184"/>
      <c r="BIB1" s="184"/>
      <c r="BIC1" s="184"/>
      <c r="BID1" s="184"/>
      <c r="BIE1" s="184"/>
      <c r="BIF1" s="184"/>
      <c r="BIG1" s="184"/>
      <c r="BIH1" s="184"/>
      <c r="BII1" s="184"/>
      <c r="BIJ1" s="184"/>
      <c r="BIK1" s="184"/>
      <c r="BIL1" s="184"/>
      <c r="BIM1" s="184"/>
      <c r="BIN1" s="184"/>
      <c r="BIO1" s="184"/>
      <c r="BIP1" s="184"/>
      <c r="BIQ1" s="184"/>
      <c r="BIR1" s="184"/>
      <c r="BIS1" s="184"/>
      <c r="BIT1" s="184"/>
      <c r="BIU1" s="184"/>
      <c r="BIV1" s="184"/>
      <c r="BIW1" s="184"/>
      <c r="BIX1" s="184"/>
      <c r="BIY1" s="184"/>
      <c r="BIZ1" s="184"/>
      <c r="BJA1" s="184"/>
      <c r="BJB1" s="184"/>
      <c r="BJC1" s="184"/>
      <c r="BJD1" s="184"/>
      <c r="BJE1" s="184"/>
      <c r="BJF1" s="184"/>
      <c r="BJG1" s="184"/>
      <c r="BJH1" s="184"/>
      <c r="BJI1" s="184"/>
      <c r="BJJ1" s="184"/>
      <c r="BJK1" s="184"/>
      <c r="BJL1" s="184"/>
      <c r="BJM1" s="184"/>
      <c r="BJN1" s="184"/>
      <c r="BJO1" s="184"/>
      <c r="BJP1" s="184"/>
      <c r="BJQ1" s="184"/>
      <c r="BJR1" s="184"/>
      <c r="BJS1" s="184"/>
      <c r="BJT1" s="184"/>
      <c r="BJU1" s="184"/>
      <c r="BJV1" s="184"/>
      <c r="BJW1" s="184"/>
      <c r="BJX1" s="184"/>
      <c r="BJY1" s="184"/>
      <c r="BJZ1" s="184"/>
      <c r="BKA1" s="184"/>
      <c r="BKB1" s="184"/>
      <c r="BKC1" s="184"/>
      <c r="BKD1" s="184"/>
      <c r="BKE1" s="184"/>
      <c r="BKF1" s="184"/>
      <c r="BKG1" s="184"/>
      <c r="BKH1" s="184"/>
      <c r="BKI1" s="184"/>
      <c r="BKJ1" s="184"/>
      <c r="BKK1" s="184"/>
      <c r="BKL1" s="184"/>
      <c r="BKM1" s="184"/>
      <c r="BKN1" s="184"/>
      <c r="BKO1" s="184"/>
      <c r="BKP1" s="184"/>
      <c r="BKQ1" s="184"/>
      <c r="BKR1" s="184"/>
      <c r="BKS1" s="184"/>
      <c r="BKT1" s="184"/>
      <c r="BKU1" s="184"/>
      <c r="BKV1" s="184"/>
      <c r="BKW1" s="184"/>
      <c r="BKX1" s="184"/>
      <c r="BKY1" s="184"/>
      <c r="BKZ1" s="184"/>
      <c r="BLA1" s="184"/>
      <c r="BLB1" s="184"/>
      <c r="BLC1" s="184"/>
      <c r="BLD1" s="184"/>
      <c r="BLE1" s="184"/>
      <c r="BLF1" s="184"/>
      <c r="BLG1" s="184"/>
      <c r="BLH1" s="184"/>
      <c r="BLI1" s="184"/>
      <c r="BLJ1" s="184"/>
      <c r="BLK1" s="184"/>
      <c r="BLL1" s="184"/>
      <c r="BLM1" s="184"/>
      <c r="BLN1" s="184"/>
      <c r="BLO1" s="184"/>
      <c r="BLP1" s="184"/>
      <c r="BLQ1" s="184"/>
      <c r="BLR1" s="184"/>
      <c r="BLS1" s="184"/>
      <c r="BLT1" s="184"/>
      <c r="BLU1" s="184"/>
      <c r="BLV1" s="184"/>
      <c r="BLW1" s="184"/>
      <c r="BLX1" s="184"/>
      <c r="BLY1" s="184"/>
      <c r="BLZ1" s="184"/>
      <c r="BMA1" s="184"/>
      <c r="BMB1" s="184"/>
      <c r="BMC1" s="184"/>
      <c r="BMD1" s="184"/>
      <c r="BME1" s="184"/>
      <c r="BMF1" s="184"/>
      <c r="BMG1" s="184"/>
      <c r="BMH1" s="184"/>
      <c r="BMI1" s="184"/>
      <c r="BMJ1" s="184"/>
      <c r="BMK1" s="184"/>
      <c r="BML1" s="184"/>
      <c r="BMM1" s="184"/>
      <c r="BMN1" s="184"/>
      <c r="BMO1" s="184"/>
      <c r="BMP1" s="184"/>
      <c r="BMQ1" s="184"/>
      <c r="BMR1" s="184"/>
      <c r="BMS1" s="184"/>
      <c r="BMT1" s="184"/>
      <c r="BMU1" s="184"/>
      <c r="BMV1" s="184"/>
      <c r="BMW1" s="184"/>
      <c r="BMX1" s="184"/>
      <c r="BMY1" s="184"/>
      <c r="BMZ1" s="184"/>
      <c r="BNA1" s="184"/>
      <c r="BNB1" s="184"/>
      <c r="BNC1" s="184"/>
      <c r="BND1" s="184"/>
      <c r="BNE1" s="184"/>
      <c r="BNF1" s="184"/>
      <c r="BNG1" s="184"/>
      <c r="BNH1" s="184"/>
      <c r="BNI1" s="184"/>
      <c r="BNJ1" s="184"/>
      <c r="BNK1" s="184"/>
      <c r="BNL1" s="184"/>
      <c r="BNM1" s="184"/>
      <c r="BNN1" s="184"/>
      <c r="BNO1" s="184"/>
      <c r="BNP1" s="184"/>
      <c r="BNQ1" s="184"/>
      <c r="BNR1" s="184"/>
      <c r="BNS1" s="184"/>
      <c r="BNT1" s="184"/>
      <c r="BNU1" s="184"/>
      <c r="BNV1" s="184"/>
      <c r="BNW1" s="184"/>
      <c r="BNX1" s="184"/>
      <c r="BNY1" s="184"/>
      <c r="BNZ1" s="184"/>
      <c r="BOA1" s="184"/>
      <c r="BOB1" s="184"/>
      <c r="BOC1" s="184"/>
      <c r="BOD1" s="184"/>
      <c r="BOE1" s="184"/>
      <c r="BOF1" s="184"/>
      <c r="BOG1" s="184"/>
      <c r="BOH1" s="184"/>
      <c r="BOI1" s="184"/>
      <c r="BOJ1" s="184"/>
      <c r="BOK1" s="184"/>
      <c r="BOL1" s="184"/>
      <c r="BOM1" s="184"/>
      <c r="BON1" s="184"/>
      <c r="BOO1" s="184"/>
      <c r="BOP1" s="184"/>
      <c r="BOQ1" s="184"/>
      <c r="BOR1" s="184"/>
      <c r="BOS1" s="184"/>
      <c r="BOT1" s="184"/>
      <c r="BOU1" s="184"/>
      <c r="BOV1" s="184"/>
      <c r="BOW1" s="184"/>
      <c r="BOX1" s="184"/>
      <c r="BOY1" s="184"/>
      <c r="BOZ1" s="184"/>
      <c r="BPA1" s="184"/>
      <c r="BPB1" s="184"/>
      <c r="BPC1" s="184"/>
      <c r="BPD1" s="184"/>
      <c r="BPE1" s="184"/>
      <c r="BPF1" s="184"/>
      <c r="BPG1" s="184"/>
      <c r="BPH1" s="184"/>
      <c r="BPI1" s="184"/>
      <c r="BPJ1" s="184"/>
      <c r="BPK1" s="184"/>
      <c r="BPL1" s="184"/>
      <c r="BPM1" s="184"/>
      <c r="BPN1" s="184"/>
      <c r="BPO1" s="184"/>
      <c r="BPP1" s="184"/>
      <c r="BPQ1" s="184"/>
      <c r="BPR1" s="184"/>
      <c r="BPS1" s="184"/>
      <c r="BPT1" s="184"/>
      <c r="BPU1" s="184"/>
      <c r="BPV1" s="184"/>
      <c r="BPW1" s="184"/>
      <c r="BPX1" s="184"/>
      <c r="BPY1" s="184"/>
      <c r="BPZ1" s="184"/>
      <c r="BQA1" s="184"/>
      <c r="BQB1" s="184"/>
      <c r="BQC1" s="184"/>
      <c r="BQD1" s="184"/>
      <c r="BQE1" s="184"/>
      <c r="BQF1" s="184"/>
      <c r="BQG1" s="184"/>
      <c r="BQH1" s="184"/>
      <c r="BQI1" s="184"/>
      <c r="BQJ1" s="184"/>
      <c r="BQK1" s="184"/>
      <c r="BQL1" s="184"/>
      <c r="BQM1" s="184"/>
      <c r="BQN1" s="184"/>
      <c r="BQO1" s="184"/>
      <c r="BQP1" s="184"/>
      <c r="BQQ1" s="184"/>
      <c r="BQR1" s="184"/>
      <c r="BQS1" s="184"/>
      <c r="BQT1" s="184"/>
      <c r="BQU1" s="184"/>
      <c r="BQV1" s="184"/>
      <c r="BQW1" s="184"/>
      <c r="BQX1" s="184"/>
      <c r="BQY1" s="184"/>
      <c r="BQZ1" s="184"/>
      <c r="BRA1" s="184"/>
      <c r="BRB1" s="184"/>
      <c r="BRC1" s="184"/>
      <c r="BRD1" s="184"/>
      <c r="BRE1" s="184"/>
      <c r="BRF1" s="184"/>
      <c r="BRG1" s="184"/>
      <c r="BRH1" s="184"/>
      <c r="BRI1" s="184"/>
      <c r="BRJ1" s="184"/>
      <c r="BRK1" s="184"/>
      <c r="BRL1" s="184"/>
      <c r="BRM1" s="184"/>
      <c r="BRN1" s="184"/>
      <c r="BRO1" s="184"/>
      <c r="BRP1" s="184"/>
      <c r="BRQ1" s="184"/>
      <c r="BRR1" s="184"/>
      <c r="BRS1" s="184"/>
      <c r="BRT1" s="184"/>
      <c r="BRU1" s="184"/>
      <c r="BRV1" s="184"/>
      <c r="BRW1" s="184"/>
      <c r="BRX1" s="184"/>
      <c r="BRY1" s="184"/>
      <c r="BRZ1" s="184"/>
      <c r="BSA1" s="184"/>
      <c r="BSB1" s="184"/>
      <c r="BSC1" s="184"/>
      <c r="BSD1" s="184"/>
      <c r="BSE1" s="184"/>
      <c r="BSF1" s="184"/>
      <c r="BSG1" s="184"/>
      <c r="BSH1" s="184"/>
      <c r="BSI1" s="184"/>
      <c r="BSJ1" s="184"/>
      <c r="BSK1" s="184"/>
      <c r="BSL1" s="184"/>
      <c r="BSM1" s="184"/>
      <c r="BSN1" s="184"/>
      <c r="BSO1" s="184"/>
      <c r="BSP1" s="184"/>
      <c r="BSQ1" s="184"/>
      <c r="BSR1" s="184"/>
      <c r="BSS1" s="184"/>
      <c r="BST1" s="184"/>
      <c r="BSU1" s="184"/>
      <c r="BSV1" s="184"/>
      <c r="BSW1" s="184"/>
      <c r="BSX1" s="184"/>
      <c r="BSY1" s="184"/>
      <c r="BSZ1" s="184"/>
      <c r="BTA1" s="184"/>
      <c r="BTB1" s="184"/>
      <c r="BTC1" s="184"/>
      <c r="BTD1" s="184"/>
      <c r="BTE1" s="184"/>
      <c r="BTF1" s="184"/>
      <c r="BTG1" s="184"/>
      <c r="BTH1" s="184"/>
      <c r="BTI1" s="184"/>
      <c r="BTJ1" s="184"/>
      <c r="BTK1" s="184"/>
      <c r="BTL1" s="184"/>
      <c r="BTM1" s="184"/>
      <c r="BTN1" s="184"/>
      <c r="BTO1" s="184"/>
      <c r="BTP1" s="184"/>
      <c r="BTQ1" s="184"/>
      <c r="BTR1" s="184"/>
      <c r="BTS1" s="184"/>
      <c r="BTT1" s="184"/>
      <c r="BTU1" s="184"/>
      <c r="BTV1" s="184"/>
      <c r="BTW1" s="184"/>
      <c r="BTX1" s="184"/>
      <c r="BTY1" s="184"/>
      <c r="BTZ1" s="184"/>
      <c r="BUA1" s="184"/>
      <c r="BUB1" s="184"/>
      <c r="BUC1" s="184"/>
      <c r="BUD1" s="184"/>
      <c r="BUE1" s="184"/>
      <c r="BUF1" s="184"/>
      <c r="BUG1" s="184"/>
      <c r="BUH1" s="184"/>
      <c r="BUI1" s="184"/>
      <c r="BUJ1" s="184"/>
      <c r="BUK1" s="184"/>
      <c r="BUL1" s="184"/>
      <c r="BUM1" s="184"/>
      <c r="BUN1" s="184"/>
      <c r="BUO1" s="184"/>
      <c r="BUP1" s="184"/>
      <c r="BUQ1" s="184"/>
      <c r="BUR1" s="184"/>
      <c r="BUS1" s="184"/>
      <c r="BUT1" s="184"/>
      <c r="BUU1" s="184"/>
      <c r="BUV1" s="184"/>
      <c r="BUW1" s="184"/>
      <c r="BUX1" s="184"/>
      <c r="BUY1" s="184"/>
      <c r="BUZ1" s="184"/>
      <c r="BVA1" s="184"/>
      <c r="BVB1" s="184"/>
      <c r="BVC1" s="184"/>
      <c r="BVD1" s="184"/>
      <c r="BVE1" s="184"/>
      <c r="BVF1" s="184"/>
      <c r="BVG1" s="184"/>
      <c r="BVH1" s="184"/>
      <c r="BVI1" s="184"/>
      <c r="BVJ1" s="184"/>
      <c r="BVK1" s="184"/>
      <c r="BVL1" s="184"/>
      <c r="BVM1" s="184"/>
      <c r="BVN1" s="184"/>
      <c r="BVO1" s="184"/>
      <c r="BVP1" s="184"/>
      <c r="BVQ1" s="184"/>
      <c r="BVR1" s="184"/>
      <c r="BVS1" s="184"/>
      <c r="BVT1" s="184"/>
      <c r="BVU1" s="184"/>
      <c r="BVV1" s="184"/>
      <c r="BVW1" s="184"/>
      <c r="BVX1" s="184"/>
      <c r="BVY1" s="184"/>
      <c r="BVZ1" s="184"/>
      <c r="BWA1" s="184"/>
      <c r="BWB1" s="184"/>
      <c r="BWC1" s="184"/>
      <c r="BWD1" s="184"/>
      <c r="BWE1" s="184"/>
      <c r="BWF1" s="184"/>
      <c r="BWG1" s="184"/>
      <c r="BWH1" s="184"/>
      <c r="BWI1" s="184"/>
      <c r="BWJ1" s="184"/>
      <c r="BWK1" s="184"/>
      <c r="BWL1" s="184"/>
      <c r="BWM1" s="184"/>
      <c r="BWN1" s="184"/>
      <c r="BWO1" s="184"/>
      <c r="BWP1" s="184"/>
      <c r="BWQ1" s="184"/>
      <c r="BWR1" s="184"/>
      <c r="BWS1" s="184"/>
      <c r="BWT1" s="184"/>
      <c r="BWU1" s="184"/>
      <c r="BWV1" s="184"/>
      <c r="BWW1" s="184"/>
      <c r="BWX1" s="184"/>
      <c r="BWY1" s="184"/>
      <c r="BWZ1" s="184"/>
      <c r="BXA1" s="184"/>
      <c r="BXB1" s="184"/>
      <c r="BXC1" s="184"/>
      <c r="BXD1" s="184"/>
      <c r="BXE1" s="184"/>
      <c r="BXF1" s="184"/>
      <c r="BXG1" s="184"/>
      <c r="BXH1" s="184"/>
      <c r="BXI1" s="184"/>
      <c r="BXJ1" s="184"/>
      <c r="BXK1" s="184"/>
      <c r="BXL1" s="184"/>
      <c r="BXM1" s="184"/>
      <c r="BXN1" s="184"/>
      <c r="BXO1" s="184"/>
      <c r="BXP1" s="184"/>
      <c r="BXQ1" s="184"/>
      <c r="BXR1" s="184"/>
      <c r="BXS1" s="184"/>
      <c r="BXT1" s="184"/>
      <c r="BXU1" s="184"/>
      <c r="BXV1" s="184"/>
      <c r="BXW1" s="184"/>
      <c r="BXX1" s="184"/>
      <c r="BXY1" s="184"/>
      <c r="BXZ1" s="184"/>
      <c r="BYA1" s="184"/>
      <c r="BYB1" s="184"/>
      <c r="BYC1" s="184"/>
      <c r="BYD1" s="184"/>
      <c r="BYE1" s="184"/>
      <c r="BYF1" s="184"/>
      <c r="BYG1" s="184"/>
      <c r="BYH1" s="184"/>
      <c r="BYI1" s="184"/>
      <c r="BYJ1" s="184"/>
      <c r="BYK1" s="184"/>
      <c r="BYL1" s="184"/>
      <c r="BYM1" s="184"/>
      <c r="BYN1" s="184"/>
      <c r="BYO1" s="184"/>
      <c r="BYP1" s="184"/>
      <c r="BYQ1" s="184"/>
      <c r="BYR1" s="184"/>
      <c r="BYS1" s="184"/>
      <c r="BYT1" s="184"/>
      <c r="BYU1" s="184"/>
      <c r="BYV1" s="184"/>
      <c r="BYW1" s="184"/>
      <c r="BYX1" s="184"/>
      <c r="BYY1" s="184"/>
      <c r="BYZ1" s="184"/>
      <c r="BZA1" s="184"/>
      <c r="BZB1" s="184"/>
      <c r="BZC1" s="184"/>
      <c r="BZD1" s="184"/>
      <c r="BZE1" s="184"/>
      <c r="BZF1" s="184"/>
      <c r="BZG1" s="184"/>
      <c r="BZH1" s="184"/>
      <c r="BZI1" s="184"/>
      <c r="BZJ1" s="184"/>
      <c r="BZK1" s="184"/>
      <c r="BZL1" s="184"/>
      <c r="BZM1" s="184"/>
      <c r="BZN1" s="184"/>
      <c r="BZO1" s="184"/>
      <c r="BZP1" s="184"/>
      <c r="BZQ1" s="184"/>
      <c r="BZR1" s="184"/>
      <c r="BZS1" s="184"/>
      <c r="BZT1" s="184"/>
      <c r="BZU1" s="184"/>
      <c r="BZV1" s="184"/>
      <c r="BZW1" s="184"/>
      <c r="BZX1" s="184"/>
      <c r="BZY1" s="184"/>
      <c r="BZZ1" s="184"/>
      <c r="CAA1" s="184"/>
      <c r="CAB1" s="184"/>
      <c r="CAC1" s="184"/>
      <c r="CAD1" s="184"/>
      <c r="CAE1" s="184"/>
      <c r="CAF1" s="184"/>
      <c r="CAG1" s="184"/>
      <c r="CAH1" s="184"/>
      <c r="CAI1" s="184"/>
      <c r="CAJ1" s="184"/>
      <c r="CAK1" s="184"/>
      <c r="CAL1" s="184"/>
      <c r="CAM1" s="184"/>
      <c r="CAN1" s="184"/>
      <c r="CAO1" s="184"/>
      <c r="CAP1" s="184"/>
      <c r="CAQ1" s="184"/>
      <c r="CAR1" s="184"/>
      <c r="CAS1" s="184"/>
      <c r="CAT1" s="184"/>
      <c r="CAU1" s="184"/>
      <c r="CAV1" s="184"/>
      <c r="CAW1" s="184"/>
      <c r="CAX1" s="184"/>
      <c r="CAY1" s="184"/>
      <c r="CAZ1" s="184"/>
      <c r="CBA1" s="184"/>
      <c r="CBB1" s="184"/>
      <c r="CBC1" s="184"/>
      <c r="CBD1" s="184"/>
      <c r="CBE1" s="184"/>
      <c r="CBF1" s="184"/>
      <c r="CBG1" s="184"/>
      <c r="CBH1" s="184"/>
      <c r="CBI1" s="184"/>
      <c r="CBJ1" s="184"/>
      <c r="CBK1" s="184"/>
      <c r="CBL1" s="184"/>
      <c r="CBM1" s="184"/>
      <c r="CBN1" s="184"/>
      <c r="CBO1" s="184"/>
      <c r="CBP1" s="184"/>
      <c r="CBQ1" s="184"/>
      <c r="CBR1" s="184"/>
      <c r="CBS1" s="184"/>
      <c r="CBT1" s="184"/>
      <c r="CBU1" s="184"/>
      <c r="CBV1" s="184"/>
      <c r="CBW1" s="184"/>
      <c r="CBX1" s="184"/>
      <c r="CBY1" s="184"/>
      <c r="CBZ1" s="184"/>
      <c r="CCA1" s="184"/>
      <c r="CCB1" s="184"/>
      <c r="CCC1" s="184"/>
      <c r="CCD1" s="184"/>
      <c r="CCE1" s="184"/>
      <c r="CCF1" s="184"/>
      <c r="CCG1" s="184"/>
      <c r="CCH1" s="184"/>
      <c r="CCI1" s="184"/>
      <c r="CCJ1" s="184"/>
      <c r="CCK1" s="184"/>
      <c r="CCL1" s="184"/>
      <c r="CCM1" s="184"/>
      <c r="CCN1" s="184"/>
      <c r="CCO1" s="184"/>
      <c r="CCP1" s="184"/>
      <c r="CCQ1" s="184"/>
      <c r="CCR1" s="184"/>
      <c r="CCS1" s="184"/>
      <c r="CCT1" s="184"/>
      <c r="CCU1" s="184"/>
      <c r="CCV1" s="184"/>
      <c r="CCW1" s="184"/>
      <c r="CCX1" s="184"/>
      <c r="CCY1" s="184"/>
      <c r="CCZ1" s="184"/>
      <c r="CDA1" s="184"/>
      <c r="CDB1" s="184"/>
      <c r="CDC1" s="184"/>
      <c r="CDD1" s="184"/>
      <c r="CDE1" s="184"/>
      <c r="CDF1" s="184"/>
      <c r="CDG1" s="184"/>
      <c r="CDH1" s="184"/>
      <c r="CDI1" s="184"/>
      <c r="CDJ1" s="184"/>
      <c r="CDK1" s="184"/>
      <c r="CDL1" s="184"/>
      <c r="CDM1" s="184"/>
      <c r="CDN1" s="184"/>
      <c r="CDO1" s="184"/>
      <c r="CDP1" s="184"/>
      <c r="CDQ1" s="184"/>
      <c r="CDR1" s="184"/>
      <c r="CDS1" s="184"/>
      <c r="CDT1" s="184"/>
      <c r="CDU1" s="184"/>
      <c r="CDV1" s="184"/>
      <c r="CDW1" s="184"/>
      <c r="CDX1" s="184"/>
      <c r="CDY1" s="184"/>
      <c r="CDZ1" s="184"/>
      <c r="CEA1" s="184"/>
      <c r="CEB1" s="184"/>
      <c r="CEC1" s="184"/>
      <c r="CED1" s="184"/>
      <c r="CEE1" s="184"/>
      <c r="CEF1" s="184"/>
      <c r="CEG1" s="184"/>
      <c r="CEH1" s="184"/>
      <c r="CEI1" s="184"/>
      <c r="CEJ1" s="184"/>
      <c r="CEK1" s="184"/>
      <c r="CEL1" s="184"/>
      <c r="CEM1" s="184"/>
      <c r="CEN1" s="184"/>
      <c r="CEO1" s="184"/>
      <c r="CEP1" s="184"/>
      <c r="CEQ1" s="184"/>
      <c r="CER1" s="184"/>
      <c r="CES1" s="184"/>
      <c r="CET1" s="184"/>
      <c r="CEU1" s="184"/>
      <c r="CEV1" s="184"/>
      <c r="CEW1" s="184"/>
      <c r="CEX1" s="184"/>
      <c r="CEY1" s="184"/>
      <c r="CEZ1" s="184"/>
      <c r="CFA1" s="184"/>
      <c r="CFB1" s="184"/>
      <c r="CFC1" s="184"/>
      <c r="CFD1" s="184"/>
      <c r="CFE1" s="184"/>
      <c r="CFF1" s="184"/>
      <c r="CFG1" s="184"/>
      <c r="CFH1" s="184"/>
      <c r="CFI1" s="184"/>
      <c r="CFJ1" s="184"/>
      <c r="CFK1" s="184"/>
      <c r="CFL1" s="184"/>
      <c r="CFM1" s="184"/>
      <c r="CFN1" s="184"/>
      <c r="CFO1" s="184"/>
      <c r="CFP1" s="184"/>
      <c r="CFQ1" s="184"/>
      <c r="CFR1" s="184"/>
      <c r="CFS1" s="184"/>
      <c r="CFT1" s="184"/>
      <c r="CFU1" s="184"/>
      <c r="CFV1" s="184"/>
      <c r="CFW1" s="184"/>
      <c r="CFX1" s="184"/>
      <c r="CFY1" s="184"/>
      <c r="CFZ1" s="184"/>
      <c r="CGA1" s="184"/>
      <c r="CGB1" s="184"/>
      <c r="CGC1" s="184"/>
      <c r="CGD1" s="184"/>
      <c r="CGE1" s="184"/>
      <c r="CGF1" s="184"/>
      <c r="CGG1" s="184"/>
      <c r="CGH1" s="184"/>
      <c r="CGI1" s="184"/>
      <c r="CGJ1" s="184"/>
      <c r="CGK1" s="184"/>
      <c r="CGL1" s="184"/>
      <c r="CGM1" s="184"/>
      <c r="CGN1" s="184"/>
      <c r="CGO1" s="184"/>
      <c r="CGP1" s="184"/>
      <c r="CGQ1" s="184"/>
      <c r="CGR1" s="184"/>
      <c r="CGS1" s="184"/>
      <c r="CGT1" s="184"/>
      <c r="CGU1" s="184"/>
      <c r="CGV1" s="184"/>
      <c r="CGW1" s="184"/>
      <c r="CGX1" s="184"/>
      <c r="CGY1" s="184"/>
      <c r="CGZ1" s="184"/>
      <c r="CHA1" s="184"/>
      <c r="CHB1" s="184"/>
      <c r="CHC1" s="184"/>
      <c r="CHD1" s="184"/>
      <c r="CHE1" s="184"/>
      <c r="CHF1" s="184"/>
      <c r="CHG1" s="184"/>
      <c r="CHH1" s="184"/>
      <c r="CHI1" s="184"/>
      <c r="CHJ1" s="184"/>
      <c r="CHK1" s="184"/>
      <c r="CHL1" s="184"/>
      <c r="CHM1" s="184"/>
      <c r="CHN1" s="184"/>
      <c r="CHO1" s="184"/>
      <c r="CHP1" s="184"/>
      <c r="CHQ1" s="184"/>
      <c r="CHR1" s="184"/>
      <c r="CHS1" s="184"/>
      <c r="CHT1" s="184"/>
      <c r="CHU1" s="184"/>
      <c r="CHV1" s="184"/>
      <c r="CHW1" s="184"/>
      <c r="CHX1" s="184"/>
      <c r="CHY1" s="184"/>
      <c r="CHZ1" s="184"/>
      <c r="CIA1" s="184"/>
      <c r="CIB1" s="184"/>
      <c r="CIC1" s="184"/>
      <c r="CID1" s="184"/>
      <c r="CIE1" s="184"/>
      <c r="CIF1" s="184"/>
      <c r="CIG1" s="184"/>
      <c r="CIH1" s="184"/>
      <c r="CII1" s="184"/>
      <c r="CIJ1" s="184"/>
      <c r="CIK1" s="184"/>
      <c r="CIL1" s="184"/>
      <c r="CIM1" s="184"/>
      <c r="CIN1" s="184"/>
      <c r="CIO1" s="184"/>
      <c r="CIP1" s="184"/>
      <c r="CIQ1" s="184"/>
      <c r="CIR1" s="184"/>
      <c r="CIS1" s="184"/>
      <c r="CIT1" s="184"/>
      <c r="CIU1" s="184"/>
      <c r="CIV1" s="184"/>
      <c r="CIW1" s="184"/>
      <c r="CIX1" s="184"/>
      <c r="CIY1" s="184"/>
      <c r="CIZ1" s="184"/>
      <c r="CJA1" s="184"/>
      <c r="CJB1" s="184"/>
      <c r="CJC1" s="184"/>
      <c r="CJD1" s="184"/>
      <c r="CJE1" s="184"/>
      <c r="CJF1" s="184"/>
      <c r="CJG1" s="184"/>
      <c r="CJH1" s="184"/>
      <c r="CJI1" s="184"/>
      <c r="CJJ1" s="184"/>
      <c r="CJK1" s="184"/>
      <c r="CJL1" s="184"/>
      <c r="CJM1" s="184"/>
      <c r="CJN1" s="184"/>
      <c r="CJO1" s="184"/>
      <c r="CJP1" s="184"/>
      <c r="CJQ1" s="184"/>
      <c r="CJR1" s="184"/>
      <c r="CJS1" s="184"/>
      <c r="CJT1" s="184"/>
      <c r="CJU1" s="184"/>
      <c r="CJV1" s="184"/>
      <c r="CJW1" s="184"/>
      <c r="CJX1" s="184"/>
      <c r="CJY1" s="184"/>
      <c r="CJZ1" s="184"/>
      <c r="CKA1" s="184"/>
      <c r="CKB1" s="184"/>
      <c r="CKC1" s="184"/>
      <c r="CKD1" s="184"/>
      <c r="CKE1" s="184"/>
      <c r="CKF1" s="184"/>
      <c r="CKG1" s="184"/>
      <c r="CKH1" s="184"/>
      <c r="CKI1" s="184"/>
      <c r="CKJ1" s="184"/>
      <c r="CKK1" s="184"/>
      <c r="CKL1" s="184"/>
      <c r="CKM1" s="184"/>
      <c r="CKN1" s="184"/>
      <c r="CKO1" s="184"/>
      <c r="CKP1" s="184"/>
      <c r="CKQ1" s="184"/>
      <c r="CKR1" s="184"/>
      <c r="CKS1" s="184"/>
      <c r="CKT1" s="184"/>
      <c r="CKU1" s="184"/>
      <c r="CKV1" s="184"/>
      <c r="CKW1" s="184"/>
      <c r="CKX1" s="184"/>
      <c r="CKY1" s="184"/>
      <c r="CKZ1" s="184"/>
      <c r="CLA1" s="184"/>
      <c r="CLB1" s="184"/>
      <c r="CLC1" s="184"/>
      <c r="CLD1" s="184"/>
      <c r="CLE1" s="184"/>
      <c r="CLF1" s="184"/>
      <c r="CLG1" s="184"/>
      <c r="CLH1" s="184"/>
      <c r="CLI1" s="184"/>
      <c r="CLJ1" s="184"/>
      <c r="CLK1" s="184"/>
      <c r="CLL1" s="184"/>
      <c r="CLM1" s="184"/>
      <c r="CLN1" s="184"/>
      <c r="CLO1" s="184"/>
      <c r="CLP1" s="184"/>
      <c r="CLQ1" s="184"/>
      <c r="CLR1" s="184"/>
      <c r="CLS1" s="184"/>
      <c r="CLT1" s="184"/>
      <c r="CLU1" s="184"/>
      <c r="CLV1" s="184"/>
      <c r="CLW1" s="184"/>
      <c r="CLX1" s="184"/>
      <c r="CLY1" s="184"/>
      <c r="CLZ1" s="184"/>
      <c r="CMA1" s="184"/>
      <c r="CMB1" s="184"/>
      <c r="CMC1" s="184"/>
      <c r="CMD1" s="184"/>
      <c r="CME1" s="184"/>
      <c r="CMF1" s="184"/>
      <c r="CMG1" s="184"/>
      <c r="CMH1" s="184"/>
      <c r="CMI1" s="184"/>
      <c r="CMJ1" s="184"/>
      <c r="CMK1" s="184"/>
      <c r="CML1" s="184"/>
      <c r="CMM1" s="184"/>
      <c r="CMN1" s="184"/>
      <c r="CMO1" s="184"/>
      <c r="CMP1" s="184"/>
      <c r="CMQ1" s="184"/>
      <c r="CMR1" s="184"/>
      <c r="CMS1" s="184"/>
      <c r="CMT1" s="184"/>
      <c r="CMU1" s="184"/>
      <c r="CMV1" s="184"/>
      <c r="CMW1" s="184"/>
      <c r="CMX1" s="184"/>
      <c r="CMY1" s="184"/>
      <c r="CMZ1" s="184"/>
      <c r="CNA1" s="184"/>
      <c r="CNB1" s="184"/>
      <c r="CNC1" s="184"/>
      <c r="CND1" s="184"/>
      <c r="CNE1" s="184"/>
      <c r="CNF1" s="184"/>
      <c r="CNG1" s="184"/>
      <c r="CNH1" s="184"/>
      <c r="CNI1" s="184"/>
      <c r="CNJ1" s="184"/>
      <c r="CNK1" s="184"/>
      <c r="CNL1" s="184"/>
      <c r="CNM1" s="184"/>
      <c r="CNN1" s="184"/>
      <c r="CNO1" s="184"/>
      <c r="CNP1" s="184"/>
      <c r="CNQ1" s="184"/>
      <c r="CNR1" s="184"/>
      <c r="CNS1" s="184"/>
      <c r="CNT1" s="184"/>
      <c r="CNU1" s="184"/>
      <c r="CNV1" s="184"/>
      <c r="CNW1" s="184"/>
      <c r="CNX1" s="184"/>
      <c r="CNY1" s="184"/>
      <c r="CNZ1" s="184"/>
      <c r="COA1" s="184"/>
      <c r="COB1" s="184"/>
      <c r="COC1" s="184"/>
      <c r="COD1" s="184"/>
      <c r="COE1" s="184"/>
      <c r="COF1" s="184"/>
      <c r="COG1" s="184"/>
      <c r="COH1" s="184"/>
      <c r="COI1" s="184"/>
      <c r="COJ1" s="184"/>
      <c r="COK1" s="184"/>
      <c r="COL1" s="184"/>
      <c r="COM1" s="184"/>
      <c r="CON1" s="184"/>
      <c r="COO1" s="184"/>
      <c r="COP1" s="184"/>
      <c r="COQ1" s="184"/>
      <c r="COR1" s="184"/>
      <c r="COS1" s="184"/>
      <c r="COT1" s="184"/>
      <c r="COU1" s="184"/>
      <c r="COV1" s="184"/>
      <c r="COW1" s="184"/>
      <c r="COX1" s="184"/>
      <c r="COY1" s="184"/>
      <c r="COZ1" s="184"/>
      <c r="CPA1" s="184"/>
      <c r="CPB1" s="184"/>
      <c r="CPC1" s="184"/>
      <c r="CPD1" s="184"/>
      <c r="CPE1" s="184"/>
      <c r="CPF1" s="184"/>
      <c r="CPG1" s="184"/>
      <c r="CPH1" s="184"/>
      <c r="CPI1" s="184"/>
      <c r="CPJ1" s="184"/>
      <c r="CPK1" s="184"/>
      <c r="CPL1" s="184"/>
      <c r="CPM1" s="184"/>
      <c r="CPN1" s="184"/>
      <c r="CPO1" s="184"/>
      <c r="CPP1" s="184"/>
      <c r="CPQ1" s="184"/>
      <c r="CPR1" s="184"/>
      <c r="CPS1" s="184"/>
      <c r="CPT1" s="184"/>
      <c r="CPU1" s="184"/>
      <c r="CPV1" s="184"/>
      <c r="CPW1" s="184"/>
      <c r="CPX1" s="184"/>
      <c r="CPY1" s="184"/>
      <c r="CPZ1" s="184"/>
      <c r="CQA1" s="184"/>
      <c r="CQB1" s="184"/>
      <c r="CQC1" s="184"/>
      <c r="CQD1" s="184"/>
      <c r="CQE1" s="184"/>
      <c r="CQF1" s="184"/>
      <c r="CQG1" s="184"/>
      <c r="CQH1" s="184"/>
      <c r="CQI1" s="184"/>
      <c r="CQJ1" s="184"/>
      <c r="CQK1" s="184"/>
      <c r="CQL1" s="184"/>
      <c r="CQM1" s="184"/>
      <c r="CQN1" s="184"/>
      <c r="CQO1" s="184"/>
      <c r="CQP1" s="184"/>
      <c r="CQQ1" s="184"/>
      <c r="CQR1" s="184"/>
      <c r="CQS1" s="184"/>
      <c r="CQT1" s="184"/>
      <c r="CQU1" s="184"/>
      <c r="CQV1" s="184"/>
      <c r="CQW1" s="184"/>
      <c r="CQX1" s="184"/>
      <c r="CQY1" s="184"/>
      <c r="CQZ1" s="184"/>
      <c r="CRA1" s="184"/>
      <c r="CRB1" s="184"/>
      <c r="CRC1" s="184"/>
      <c r="CRD1" s="184"/>
      <c r="CRE1" s="184"/>
      <c r="CRF1" s="184"/>
      <c r="CRG1" s="184"/>
      <c r="CRH1" s="184"/>
      <c r="CRI1" s="184"/>
      <c r="CRJ1" s="184"/>
      <c r="CRK1" s="184"/>
      <c r="CRL1" s="184"/>
      <c r="CRM1" s="184"/>
      <c r="CRN1" s="184"/>
      <c r="CRO1" s="184"/>
      <c r="CRP1" s="184"/>
      <c r="CRQ1" s="184"/>
      <c r="CRR1" s="184"/>
      <c r="CRS1" s="184"/>
      <c r="CRT1" s="184"/>
      <c r="CRU1" s="184"/>
      <c r="CRV1" s="184"/>
      <c r="CRW1" s="184"/>
      <c r="CRX1" s="184"/>
      <c r="CRY1" s="184"/>
      <c r="CRZ1" s="184"/>
      <c r="CSA1" s="184"/>
      <c r="CSB1" s="184"/>
      <c r="CSC1" s="184"/>
      <c r="CSD1" s="184"/>
      <c r="CSE1" s="184"/>
      <c r="CSF1" s="184"/>
      <c r="CSG1" s="184"/>
      <c r="CSH1" s="184"/>
      <c r="CSI1" s="184"/>
      <c r="CSJ1" s="184"/>
      <c r="CSK1" s="184"/>
      <c r="CSL1" s="184"/>
      <c r="CSM1" s="184"/>
      <c r="CSN1" s="184"/>
      <c r="CSO1" s="184"/>
      <c r="CSP1" s="184"/>
      <c r="CSQ1" s="184"/>
      <c r="CSR1" s="184"/>
      <c r="CSS1" s="184"/>
      <c r="CST1" s="184"/>
      <c r="CSU1" s="184"/>
      <c r="CSV1" s="184"/>
      <c r="CSW1" s="184"/>
      <c r="CSX1" s="184"/>
      <c r="CSY1" s="184"/>
      <c r="CSZ1" s="184"/>
      <c r="CTA1" s="184"/>
      <c r="CTB1" s="184"/>
      <c r="CTC1" s="184"/>
      <c r="CTD1" s="184"/>
      <c r="CTE1" s="184"/>
      <c r="CTF1" s="184"/>
      <c r="CTG1" s="184"/>
      <c r="CTH1" s="184"/>
      <c r="CTI1" s="184"/>
      <c r="CTJ1" s="184"/>
      <c r="CTK1" s="184"/>
      <c r="CTL1" s="184"/>
      <c r="CTM1" s="184"/>
      <c r="CTN1" s="184"/>
      <c r="CTO1" s="184"/>
      <c r="CTP1" s="184"/>
      <c r="CTQ1" s="184"/>
      <c r="CTR1" s="184"/>
      <c r="CTS1" s="184"/>
      <c r="CTT1" s="184"/>
      <c r="CTU1" s="184"/>
      <c r="CTV1" s="184"/>
      <c r="CTW1" s="184"/>
      <c r="CTX1" s="184"/>
      <c r="CTY1" s="184"/>
      <c r="CTZ1" s="184"/>
      <c r="CUA1" s="184"/>
      <c r="CUB1" s="184"/>
      <c r="CUC1" s="184"/>
      <c r="CUD1" s="184"/>
      <c r="CUE1" s="184"/>
      <c r="CUF1" s="184"/>
      <c r="CUG1" s="184"/>
      <c r="CUH1" s="184"/>
      <c r="CUI1" s="184"/>
      <c r="CUJ1" s="184"/>
      <c r="CUK1" s="184"/>
      <c r="CUL1" s="184"/>
      <c r="CUM1" s="184"/>
      <c r="CUN1" s="184"/>
      <c r="CUO1" s="184"/>
      <c r="CUP1" s="184"/>
      <c r="CUQ1" s="184"/>
      <c r="CUR1" s="184"/>
      <c r="CUS1" s="184"/>
      <c r="CUT1" s="184"/>
      <c r="CUU1" s="184"/>
      <c r="CUV1" s="184"/>
      <c r="CUW1" s="184"/>
      <c r="CUX1" s="184"/>
      <c r="CUY1" s="184"/>
      <c r="CUZ1" s="184"/>
      <c r="CVA1" s="184"/>
      <c r="CVB1" s="184"/>
      <c r="CVC1" s="184"/>
      <c r="CVD1" s="184"/>
      <c r="CVE1" s="184"/>
      <c r="CVF1" s="184"/>
      <c r="CVG1" s="184"/>
      <c r="CVH1" s="184"/>
      <c r="CVI1" s="184"/>
      <c r="CVJ1" s="184"/>
      <c r="CVK1" s="184"/>
      <c r="CVL1" s="184"/>
      <c r="CVM1" s="184"/>
      <c r="CVN1" s="184"/>
      <c r="CVO1" s="184"/>
      <c r="CVP1" s="184"/>
      <c r="CVQ1" s="184"/>
      <c r="CVR1" s="184"/>
      <c r="CVS1" s="184"/>
      <c r="CVT1" s="184"/>
      <c r="CVU1" s="184"/>
      <c r="CVV1" s="184"/>
      <c r="CVW1" s="184"/>
      <c r="CVX1" s="184"/>
      <c r="CVY1" s="184"/>
      <c r="CVZ1" s="184"/>
      <c r="CWA1" s="184"/>
      <c r="CWB1" s="184"/>
      <c r="CWC1" s="184"/>
      <c r="CWD1" s="184"/>
      <c r="CWE1" s="184"/>
      <c r="CWF1" s="184"/>
      <c r="CWG1" s="184"/>
      <c r="CWH1" s="184"/>
      <c r="CWI1" s="184"/>
      <c r="CWJ1" s="184"/>
      <c r="CWK1" s="184"/>
      <c r="CWL1" s="184"/>
      <c r="CWM1" s="184"/>
      <c r="CWN1" s="184"/>
      <c r="CWO1" s="184"/>
      <c r="CWP1" s="184"/>
      <c r="CWQ1" s="184"/>
      <c r="CWR1" s="184"/>
      <c r="CWS1" s="184"/>
      <c r="CWT1" s="184"/>
      <c r="CWU1" s="184"/>
      <c r="CWV1" s="184"/>
      <c r="CWW1" s="184"/>
      <c r="CWX1" s="184"/>
      <c r="CWY1" s="184"/>
      <c r="CWZ1" s="184"/>
      <c r="CXA1" s="184"/>
      <c r="CXB1" s="184"/>
      <c r="CXC1" s="184"/>
      <c r="CXD1" s="184"/>
      <c r="CXE1" s="184"/>
      <c r="CXF1" s="184"/>
      <c r="CXG1" s="184"/>
      <c r="CXH1" s="184"/>
      <c r="CXI1" s="184"/>
      <c r="CXJ1" s="184"/>
      <c r="CXK1" s="184"/>
      <c r="CXL1" s="184"/>
      <c r="CXM1" s="184"/>
      <c r="CXN1" s="184"/>
      <c r="CXO1" s="184"/>
      <c r="CXP1" s="184"/>
      <c r="CXQ1" s="184"/>
      <c r="CXR1" s="184"/>
      <c r="CXS1" s="184"/>
      <c r="CXT1" s="184"/>
      <c r="CXU1" s="184"/>
      <c r="CXV1" s="184"/>
      <c r="CXW1" s="184"/>
      <c r="CXX1" s="184"/>
      <c r="CXY1" s="184"/>
      <c r="CXZ1" s="184"/>
      <c r="CYA1" s="184"/>
      <c r="CYB1" s="184"/>
      <c r="CYC1" s="184"/>
      <c r="CYD1" s="184"/>
      <c r="CYE1" s="184"/>
      <c r="CYF1" s="184"/>
      <c r="CYG1" s="184"/>
      <c r="CYH1" s="184"/>
      <c r="CYI1" s="184"/>
      <c r="CYJ1" s="184"/>
      <c r="CYK1" s="184"/>
      <c r="CYL1" s="184"/>
      <c r="CYM1" s="184"/>
      <c r="CYN1" s="184"/>
      <c r="CYO1" s="184"/>
      <c r="CYP1" s="184"/>
      <c r="CYQ1" s="184"/>
      <c r="CYR1" s="184"/>
      <c r="CYS1" s="184"/>
      <c r="CYT1" s="184"/>
      <c r="CYU1" s="184"/>
      <c r="CYV1" s="184"/>
      <c r="CYW1" s="184"/>
      <c r="CYX1" s="184"/>
      <c r="CYY1" s="184"/>
      <c r="CYZ1" s="184"/>
      <c r="CZA1" s="184"/>
      <c r="CZB1" s="184"/>
      <c r="CZC1" s="184"/>
      <c r="CZD1" s="184"/>
      <c r="CZE1" s="184"/>
      <c r="CZF1" s="184"/>
      <c r="CZG1" s="184"/>
      <c r="CZH1" s="184"/>
      <c r="CZI1" s="184"/>
      <c r="CZJ1" s="184"/>
      <c r="CZK1" s="184"/>
      <c r="CZL1" s="184"/>
      <c r="CZM1" s="184"/>
      <c r="CZN1" s="184"/>
      <c r="CZO1" s="184"/>
      <c r="CZP1" s="184"/>
      <c r="CZQ1" s="184"/>
      <c r="CZR1" s="184"/>
      <c r="CZS1" s="184"/>
      <c r="CZT1" s="184"/>
      <c r="CZU1" s="184"/>
      <c r="CZV1" s="184"/>
      <c r="CZW1" s="184"/>
      <c r="CZX1" s="184"/>
      <c r="CZY1" s="184"/>
      <c r="CZZ1" s="184"/>
      <c r="DAA1" s="184"/>
      <c r="DAB1" s="184"/>
      <c r="DAC1" s="184"/>
      <c r="DAD1" s="184"/>
      <c r="DAE1" s="184"/>
      <c r="DAF1" s="184"/>
      <c r="DAG1" s="184"/>
      <c r="DAH1" s="184"/>
      <c r="DAI1" s="184"/>
      <c r="DAJ1" s="184"/>
      <c r="DAK1" s="184"/>
      <c r="DAL1" s="184"/>
      <c r="DAM1" s="184"/>
      <c r="DAN1" s="184"/>
      <c r="DAO1" s="184"/>
      <c r="DAP1" s="184"/>
      <c r="DAQ1" s="184"/>
      <c r="DAR1" s="184"/>
      <c r="DAS1" s="184"/>
      <c r="DAT1" s="184"/>
      <c r="DAU1" s="184"/>
      <c r="DAV1" s="184"/>
      <c r="DAW1" s="184"/>
      <c r="DAX1" s="184"/>
      <c r="DAY1" s="184"/>
      <c r="DAZ1" s="184"/>
      <c r="DBA1" s="184"/>
      <c r="DBB1" s="184"/>
      <c r="DBC1" s="184"/>
      <c r="DBD1" s="184"/>
      <c r="DBE1" s="184"/>
      <c r="DBF1" s="184"/>
      <c r="DBG1" s="184"/>
      <c r="DBH1" s="184"/>
      <c r="DBI1" s="184"/>
      <c r="DBJ1" s="184"/>
      <c r="DBK1" s="184"/>
      <c r="DBL1" s="184"/>
      <c r="DBM1" s="184"/>
      <c r="DBN1" s="184"/>
      <c r="DBO1" s="184"/>
      <c r="DBP1" s="184"/>
      <c r="DBQ1" s="184"/>
      <c r="DBR1" s="184"/>
      <c r="DBS1" s="184"/>
      <c r="DBT1" s="184"/>
      <c r="DBU1" s="184"/>
      <c r="DBV1" s="184"/>
      <c r="DBW1" s="184"/>
      <c r="DBX1" s="184"/>
      <c r="DBY1" s="184"/>
      <c r="DBZ1" s="184"/>
      <c r="DCA1" s="184"/>
      <c r="DCB1" s="184"/>
      <c r="DCC1" s="184"/>
      <c r="DCD1" s="184"/>
      <c r="DCE1" s="184"/>
      <c r="DCF1" s="184"/>
      <c r="DCG1" s="184"/>
      <c r="DCH1" s="184"/>
      <c r="DCI1" s="184"/>
      <c r="DCJ1" s="184"/>
      <c r="DCK1" s="184"/>
      <c r="DCL1" s="184"/>
      <c r="DCM1" s="184"/>
      <c r="DCN1" s="184"/>
      <c r="DCO1" s="184"/>
      <c r="DCP1" s="184"/>
      <c r="DCQ1" s="184"/>
      <c r="DCR1" s="184"/>
      <c r="DCS1" s="184"/>
      <c r="DCT1" s="184"/>
      <c r="DCU1" s="184"/>
      <c r="DCV1" s="184"/>
      <c r="DCW1" s="184"/>
      <c r="DCX1" s="184"/>
      <c r="DCY1" s="184"/>
      <c r="DCZ1" s="184"/>
      <c r="DDA1" s="184"/>
      <c r="DDB1" s="184"/>
      <c r="DDC1" s="184"/>
      <c r="DDD1" s="184"/>
      <c r="DDE1" s="184"/>
      <c r="DDF1" s="184"/>
      <c r="DDG1" s="184"/>
      <c r="DDH1" s="184"/>
      <c r="DDI1" s="184"/>
      <c r="DDJ1" s="184"/>
      <c r="DDK1" s="184"/>
      <c r="DDL1" s="184"/>
      <c r="DDM1" s="184"/>
      <c r="DDN1" s="184"/>
      <c r="DDO1" s="184"/>
      <c r="DDP1" s="184"/>
      <c r="DDQ1" s="184"/>
      <c r="DDR1" s="184"/>
      <c r="DDS1" s="184"/>
      <c r="DDT1" s="184"/>
      <c r="DDU1" s="184"/>
      <c r="DDV1" s="184"/>
      <c r="DDW1" s="184"/>
      <c r="DDX1" s="184"/>
      <c r="DDY1" s="184"/>
      <c r="DDZ1" s="184"/>
      <c r="DEA1" s="184"/>
      <c r="DEB1" s="184"/>
      <c r="DEC1" s="184"/>
      <c r="DED1" s="184"/>
      <c r="DEE1" s="184"/>
      <c r="DEF1" s="184"/>
      <c r="DEG1" s="184"/>
      <c r="DEH1" s="184"/>
      <c r="DEI1" s="184"/>
      <c r="DEJ1" s="184"/>
      <c r="DEK1" s="184"/>
      <c r="DEL1" s="184"/>
      <c r="DEM1" s="184"/>
      <c r="DEN1" s="184"/>
      <c r="DEO1" s="184"/>
      <c r="DEP1" s="184"/>
      <c r="DEQ1" s="184"/>
      <c r="DER1" s="184"/>
      <c r="DES1" s="184"/>
      <c r="DET1" s="184"/>
      <c r="DEU1" s="184"/>
      <c r="DEV1" s="184"/>
      <c r="DEW1" s="184"/>
      <c r="DEX1" s="184"/>
      <c r="DEY1" s="184"/>
      <c r="DEZ1" s="184"/>
      <c r="DFA1" s="184"/>
      <c r="DFB1" s="184"/>
      <c r="DFC1" s="184"/>
      <c r="DFD1" s="184"/>
      <c r="DFE1" s="184"/>
      <c r="DFF1" s="184"/>
      <c r="DFG1" s="184"/>
      <c r="DFH1" s="184"/>
      <c r="DFI1" s="184"/>
      <c r="DFJ1" s="184"/>
      <c r="DFK1" s="184"/>
      <c r="DFL1" s="184"/>
      <c r="DFM1" s="184"/>
      <c r="DFN1" s="184"/>
      <c r="DFO1" s="184"/>
      <c r="DFP1" s="184"/>
      <c r="DFQ1" s="184"/>
      <c r="DFR1" s="184"/>
      <c r="DFS1" s="184"/>
      <c r="DFT1" s="184"/>
      <c r="DFU1" s="184"/>
      <c r="DFV1" s="184"/>
      <c r="DFW1" s="184"/>
      <c r="DFX1" s="184"/>
      <c r="DFY1" s="184"/>
      <c r="DFZ1" s="184"/>
      <c r="DGA1" s="184"/>
      <c r="DGB1" s="184"/>
      <c r="DGC1" s="184"/>
      <c r="DGD1" s="184"/>
      <c r="DGE1" s="184"/>
      <c r="DGF1" s="184"/>
      <c r="DGG1" s="184"/>
      <c r="DGH1" s="184"/>
      <c r="DGI1" s="184"/>
      <c r="DGJ1" s="184"/>
      <c r="DGK1" s="184"/>
      <c r="DGL1" s="184"/>
      <c r="DGM1" s="184"/>
      <c r="DGN1" s="184"/>
      <c r="DGO1" s="184"/>
      <c r="DGP1" s="184"/>
      <c r="DGQ1" s="184"/>
      <c r="DGR1" s="184"/>
      <c r="DGS1" s="184"/>
      <c r="DGT1" s="184"/>
      <c r="DGU1" s="184"/>
      <c r="DGV1" s="184"/>
      <c r="DGW1" s="184"/>
      <c r="DGX1" s="184"/>
      <c r="DGY1" s="184"/>
      <c r="DGZ1" s="184"/>
      <c r="DHA1" s="184"/>
      <c r="DHB1" s="184"/>
      <c r="DHC1" s="184"/>
      <c r="DHD1" s="184"/>
      <c r="DHE1" s="184"/>
      <c r="DHF1" s="184"/>
      <c r="DHG1" s="184"/>
      <c r="DHH1" s="184"/>
      <c r="DHI1" s="184"/>
      <c r="DHJ1" s="184"/>
      <c r="DHK1" s="184"/>
      <c r="DHL1" s="184"/>
      <c r="DHM1" s="184"/>
      <c r="DHN1" s="184"/>
      <c r="DHO1" s="184"/>
      <c r="DHP1" s="184"/>
      <c r="DHQ1" s="184"/>
      <c r="DHR1" s="184"/>
      <c r="DHS1" s="184"/>
      <c r="DHT1" s="184"/>
      <c r="DHU1" s="184"/>
      <c r="DHV1" s="184"/>
      <c r="DHW1" s="184"/>
      <c r="DHX1" s="184"/>
      <c r="DHY1" s="184"/>
      <c r="DHZ1" s="184"/>
      <c r="DIA1" s="184"/>
      <c r="DIB1" s="184"/>
      <c r="DIC1" s="184"/>
      <c r="DID1" s="184"/>
      <c r="DIE1" s="184"/>
      <c r="DIF1" s="184"/>
      <c r="DIG1" s="184"/>
      <c r="DIH1" s="184"/>
      <c r="DII1" s="184"/>
      <c r="DIJ1" s="184"/>
      <c r="DIK1" s="184"/>
      <c r="DIL1" s="184"/>
      <c r="DIM1" s="184"/>
      <c r="DIN1" s="184"/>
      <c r="DIO1" s="184"/>
      <c r="DIP1" s="184"/>
      <c r="DIQ1" s="184"/>
      <c r="DIR1" s="184"/>
      <c r="DIS1" s="184"/>
      <c r="DIT1" s="184"/>
      <c r="DIU1" s="184"/>
      <c r="DIV1" s="184"/>
      <c r="DIW1" s="184"/>
      <c r="DIX1" s="184"/>
      <c r="DIY1" s="184"/>
      <c r="DIZ1" s="184"/>
      <c r="DJA1" s="184"/>
      <c r="DJB1" s="184"/>
      <c r="DJC1" s="184"/>
      <c r="DJD1" s="184"/>
      <c r="DJE1" s="184"/>
      <c r="DJF1" s="184"/>
      <c r="DJG1" s="184"/>
      <c r="DJH1" s="184"/>
      <c r="DJI1" s="184"/>
      <c r="DJJ1" s="184"/>
      <c r="DJK1" s="184"/>
      <c r="DJL1" s="184"/>
      <c r="DJM1" s="184"/>
      <c r="DJN1" s="184"/>
      <c r="DJO1" s="184"/>
      <c r="DJP1" s="184"/>
      <c r="DJQ1" s="184"/>
      <c r="DJR1" s="184"/>
      <c r="DJS1" s="184"/>
      <c r="DJT1" s="184"/>
      <c r="DJU1" s="184"/>
      <c r="DJV1" s="184"/>
      <c r="DJW1" s="184"/>
      <c r="DJX1" s="184"/>
      <c r="DJY1" s="184"/>
      <c r="DJZ1" s="184"/>
      <c r="DKA1" s="184"/>
      <c r="DKB1" s="184"/>
      <c r="DKC1" s="184"/>
      <c r="DKD1" s="184"/>
      <c r="DKE1" s="184"/>
      <c r="DKF1" s="184"/>
      <c r="DKG1" s="184"/>
      <c r="DKH1" s="184"/>
      <c r="DKI1" s="184"/>
      <c r="DKJ1" s="184"/>
      <c r="DKK1" s="184"/>
      <c r="DKL1" s="184"/>
      <c r="DKM1" s="184"/>
      <c r="DKN1" s="184"/>
      <c r="DKO1" s="184"/>
      <c r="DKP1" s="184"/>
      <c r="DKQ1" s="184"/>
      <c r="DKR1" s="184"/>
      <c r="DKS1" s="184"/>
      <c r="DKT1" s="184"/>
      <c r="DKU1" s="184"/>
      <c r="DKV1" s="184"/>
      <c r="DKW1" s="184"/>
      <c r="DKX1" s="184"/>
      <c r="DKY1" s="184"/>
      <c r="DKZ1" s="184"/>
      <c r="DLA1" s="184"/>
      <c r="DLB1" s="184"/>
      <c r="DLC1" s="184"/>
      <c r="DLD1" s="184"/>
      <c r="DLE1" s="184"/>
      <c r="DLF1" s="184"/>
      <c r="DLG1" s="184"/>
      <c r="DLH1" s="184"/>
      <c r="DLI1" s="184"/>
      <c r="DLJ1" s="184"/>
      <c r="DLK1" s="184"/>
      <c r="DLL1" s="184"/>
      <c r="DLM1" s="184"/>
      <c r="DLN1" s="184"/>
      <c r="DLO1" s="184"/>
      <c r="DLP1" s="184"/>
      <c r="DLQ1" s="184"/>
      <c r="DLR1" s="184"/>
      <c r="DLS1" s="184"/>
      <c r="DLT1" s="184"/>
      <c r="DLU1" s="184"/>
      <c r="DLV1" s="184"/>
      <c r="DLW1" s="184"/>
      <c r="DLX1" s="184"/>
      <c r="DLY1" s="184"/>
      <c r="DLZ1" s="184"/>
      <c r="DMA1" s="184"/>
      <c r="DMB1" s="184"/>
      <c r="DMC1" s="184"/>
      <c r="DMD1" s="184"/>
      <c r="DME1" s="184"/>
      <c r="DMF1" s="184"/>
      <c r="DMG1" s="184"/>
      <c r="DMH1" s="184"/>
      <c r="DMI1" s="184"/>
      <c r="DMJ1" s="184"/>
      <c r="DMK1" s="184"/>
      <c r="DML1" s="184"/>
      <c r="DMM1" s="184"/>
      <c r="DMN1" s="184"/>
      <c r="DMO1" s="184"/>
      <c r="DMP1" s="184"/>
      <c r="DMQ1" s="184"/>
      <c r="DMR1" s="184"/>
      <c r="DMS1" s="184"/>
      <c r="DMT1" s="184"/>
      <c r="DMU1" s="184"/>
      <c r="DMV1" s="184"/>
      <c r="DMW1" s="184"/>
      <c r="DMX1" s="184"/>
      <c r="DMY1" s="184"/>
      <c r="DMZ1" s="184"/>
      <c r="DNA1" s="184"/>
      <c r="DNB1" s="184"/>
      <c r="DNC1" s="184"/>
      <c r="DND1" s="184"/>
      <c r="DNE1" s="184"/>
      <c r="DNF1" s="184"/>
      <c r="DNG1" s="184"/>
      <c r="DNH1" s="184"/>
      <c r="DNI1" s="184"/>
      <c r="DNJ1" s="184"/>
      <c r="DNK1" s="184"/>
      <c r="DNL1" s="184"/>
      <c r="DNM1" s="184"/>
      <c r="DNN1" s="184"/>
      <c r="DNO1" s="184"/>
      <c r="DNP1" s="184"/>
      <c r="DNQ1" s="184"/>
      <c r="DNR1" s="184"/>
      <c r="DNS1" s="184"/>
      <c r="DNT1" s="184"/>
      <c r="DNU1" s="184"/>
      <c r="DNV1" s="184"/>
      <c r="DNW1" s="184"/>
      <c r="DNX1" s="184"/>
      <c r="DNY1" s="184"/>
      <c r="DNZ1" s="184"/>
      <c r="DOA1" s="184"/>
      <c r="DOB1" s="184"/>
      <c r="DOC1" s="184"/>
      <c r="DOD1" s="184"/>
      <c r="DOE1" s="184"/>
      <c r="DOF1" s="184"/>
      <c r="DOG1" s="184"/>
      <c r="DOH1" s="184"/>
      <c r="DOI1" s="184"/>
      <c r="DOJ1" s="184"/>
      <c r="DOK1" s="184"/>
      <c r="DOL1" s="184"/>
      <c r="DOM1" s="184"/>
      <c r="DON1" s="184"/>
      <c r="DOO1" s="184"/>
      <c r="DOP1" s="184"/>
      <c r="DOQ1" s="184"/>
      <c r="DOR1" s="184"/>
      <c r="DOS1" s="184"/>
      <c r="DOT1" s="184"/>
      <c r="DOU1" s="184"/>
      <c r="DOV1" s="184"/>
      <c r="DOW1" s="184"/>
      <c r="DOX1" s="184"/>
      <c r="DOY1" s="184"/>
      <c r="DOZ1" s="184"/>
      <c r="DPA1" s="184"/>
      <c r="DPB1" s="184"/>
      <c r="DPC1" s="184"/>
      <c r="DPD1" s="184"/>
      <c r="DPE1" s="184"/>
      <c r="DPF1" s="184"/>
      <c r="DPG1" s="184"/>
      <c r="DPH1" s="184"/>
      <c r="DPI1" s="184"/>
      <c r="DPJ1" s="184"/>
      <c r="DPK1" s="184"/>
      <c r="DPL1" s="184"/>
      <c r="DPM1" s="184"/>
      <c r="DPN1" s="184"/>
      <c r="DPO1" s="184"/>
      <c r="DPP1" s="184"/>
      <c r="DPQ1" s="184"/>
      <c r="DPR1" s="184"/>
      <c r="DPS1" s="184"/>
      <c r="DPT1" s="184"/>
      <c r="DPU1" s="184"/>
      <c r="DPV1" s="184"/>
      <c r="DPW1" s="184"/>
      <c r="DPX1" s="184"/>
      <c r="DPY1" s="184"/>
      <c r="DPZ1" s="184"/>
      <c r="DQA1" s="184"/>
      <c r="DQB1" s="184"/>
      <c r="DQC1" s="184"/>
      <c r="DQD1" s="184"/>
      <c r="DQE1" s="184"/>
      <c r="DQF1" s="184"/>
      <c r="DQG1" s="184"/>
      <c r="DQH1" s="184"/>
      <c r="DQI1" s="184"/>
      <c r="DQJ1" s="184"/>
      <c r="DQK1" s="184"/>
      <c r="DQL1" s="184"/>
      <c r="DQM1" s="184"/>
      <c r="DQN1" s="184"/>
      <c r="DQO1" s="184"/>
      <c r="DQP1" s="184"/>
      <c r="DQQ1" s="184"/>
      <c r="DQR1" s="184"/>
      <c r="DQS1" s="184"/>
      <c r="DQT1" s="184"/>
      <c r="DQU1" s="184"/>
      <c r="DQV1" s="184"/>
      <c r="DQW1" s="184"/>
      <c r="DQX1" s="184"/>
      <c r="DQY1" s="184"/>
      <c r="DQZ1" s="184"/>
      <c r="DRA1" s="184"/>
      <c r="DRB1" s="184"/>
      <c r="DRC1" s="184"/>
      <c r="DRD1" s="184"/>
      <c r="DRE1" s="184"/>
      <c r="DRF1" s="184"/>
      <c r="DRG1" s="184"/>
      <c r="DRH1" s="184"/>
      <c r="DRI1" s="184"/>
      <c r="DRJ1" s="184"/>
      <c r="DRK1" s="184"/>
      <c r="DRL1" s="184"/>
      <c r="DRM1" s="184"/>
      <c r="DRN1" s="184"/>
      <c r="DRO1" s="184"/>
      <c r="DRP1" s="184"/>
      <c r="DRQ1" s="184"/>
      <c r="DRR1" s="184"/>
      <c r="DRS1" s="184"/>
      <c r="DRT1" s="184"/>
      <c r="DRU1" s="184"/>
      <c r="DRV1" s="184"/>
      <c r="DRW1" s="184"/>
      <c r="DRX1" s="184"/>
      <c r="DRY1" s="184"/>
      <c r="DRZ1" s="184"/>
      <c r="DSA1" s="184"/>
      <c r="DSB1" s="184"/>
      <c r="DSC1" s="184"/>
      <c r="DSD1" s="184"/>
      <c r="DSE1" s="184"/>
      <c r="DSF1" s="184"/>
      <c r="DSG1" s="184"/>
      <c r="DSH1" s="184"/>
      <c r="DSI1" s="184"/>
      <c r="DSJ1" s="184"/>
      <c r="DSK1" s="184"/>
      <c r="DSL1" s="184"/>
      <c r="DSM1" s="184"/>
      <c r="DSN1" s="184"/>
      <c r="DSO1" s="184"/>
      <c r="DSP1" s="184"/>
      <c r="DSQ1" s="184"/>
      <c r="DSR1" s="184"/>
      <c r="DSS1" s="184"/>
      <c r="DST1" s="184"/>
      <c r="DSU1" s="184"/>
      <c r="DSV1" s="184"/>
      <c r="DSW1" s="184"/>
      <c r="DSX1" s="184"/>
      <c r="DSY1" s="184"/>
      <c r="DSZ1" s="184"/>
      <c r="DTA1" s="184"/>
      <c r="DTB1" s="184"/>
      <c r="DTC1" s="184"/>
      <c r="DTD1" s="184"/>
      <c r="DTE1" s="184"/>
      <c r="DTF1" s="184"/>
      <c r="DTG1" s="184"/>
      <c r="DTH1" s="184"/>
      <c r="DTI1" s="184"/>
      <c r="DTJ1" s="184"/>
      <c r="DTK1" s="184"/>
      <c r="DTL1" s="184"/>
      <c r="DTM1" s="184"/>
      <c r="DTN1" s="184"/>
      <c r="DTO1" s="184"/>
      <c r="DTP1" s="184"/>
      <c r="DTQ1" s="184"/>
      <c r="DTR1" s="184"/>
      <c r="DTS1" s="184"/>
      <c r="DTT1" s="184"/>
      <c r="DTU1" s="184"/>
      <c r="DTV1" s="184"/>
      <c r="DTW1" s="184"/>
      <c r="DTX1" s="184"/>
      <c r="DTY1" s="184"/>
      <c r="DTZ1" s="184"/>
      <c r="DUA1" s="184"/>
      <c r="DUB1" s="184"/>
      <c r="DUC1" s="184"/>
      <c r="DUD1" s="184"/>
      <c r="DUE1" s="184"/>
      <c r="DUF1" s="184"/>
      <c r="DUG1" s="184"/>
      <c r="DUH1" s="184"/>
      <c r="DUI1" s="184"/>
      <c r="DUJ1" s="184"/>
      <c r="DUK1" s="184"/>
      <c r="DUL1" s="184"/>
      <c r="DUM1" s="184"/>
      <c r="DUN1" s="184"/>
      <c r="DUO1" s="184"/>
      <c r="DUP1" s="184"/>
      <c r="DUQ1" s="184"/>
      <c r="DUR1" s="184"/>
      <c r="DUS1" s="184"/>
      <c r="DUT1" s="184"/>
      <c r="DUU1" s="184"/>
      <c r="DUV1" s="184"/>
      <c r="DUW1" s="184"/>
      <c r="DUX1" s="184"/>
      <c r="DUY1" s="184"/>
      <c r="DUZ1" s="184"/>
      <c r="DVA1" s="184"/>
      <c r="DVB1" s="184"/>
      <c r="DVC1" s="184"/>
      <c r="DVD1" s="184"/>
      <c r="DVE1" s="184"/>
      <c r="DVF1" s="184"/>
      <c r="DVG1" s="184"/>
      <c r="DVH1" s="184"/>
      <c r="DVI1" s="184"/>
      <c r="DVJ1" s="184"/>
      <c r="DVK1" s="184"/>
      <c r="DVL1" s="184"/>
      <c r="DVM1" s="184"/>
      <c r="DVN1" s="184"/>
      <c r="DVO1" s="184"/>
      <c r="DVP1" s="184"/>
      <c r="DVQ1" s="184"/>
      <c r="DVR1" s="184"/>
      <c r="DVS1" s="184"/>
      <c r="DVT1" s="184"/>
      <c r="DVU1" s="184"/>
      <c r="DVV1" s="184"/>
      <c r="DVW1" s="184"/>
      <c r="DVX1" s="184"/>
      <c r="DVY1" s="184"/>
      <c r="DVZ1" s="184"/>
      <c r="DWA1" s="184"/>
      <c r="DWB1" s="184"/>
      <c r="DWC1" s="184"/>
      <c r="DWD1" s="184"/>
      <c r="DWE1" s="184"/>
      <c r="DWF1" s="184"/>
      <c r="DWG1" s="184"/>
      <c r="DWH1" s="184"/>
      <c r="DWI1" s="184"/>
      <c r="DWJ1" s="184"/>
      <c r="DWK1" s="184"/>
      <c r="DWL1" s="184"/>
      <c r="DWM1" s="184"/>
      <c r="DWN1" s="184"/>
      <c r="DWO1" s="184"/>
      <c r="DWP1" s="184"/>
      <c r="DWQ1" s="184"/>
      <c r="DWR1" s="184"/>
      <c r="DWS1" s="184"/>
      <c r="DWT1" s="184"/>
      <c r="DWU1" s="184"/>
      <c r="DWV1" s="184"/>
      <c r="DWW1" s="184"/>
      <c r="DWX1" s="184"/>
      <c r="DWY1" s="184"/>
      <c r="DWZ1" s="184"/>
      <c r="DXA1" s="184"/>
      <c r="DXB1" s="184"/>
      <c r="DXC1" s="184"/>
      <c r="DXD1" s="184"/>
      <c r="DXE1" s="184"/>
      <c r="DXF1" s="184"/>
      <c r="DXG1" s="184"/>
      <c r="DXH1" s="184"/>
      <c r="DXI1" s="184"/>
      <c r="DXJ1" s="184"/>
      <c r="DXK1" s="184"/>
      <c r="DXL1" s="184"/>
      <c r="DXM1" s="184"/>
      <c r="DXN1" s="184"/>
      <c r="DXO1" s="184"/>
      <c r="DXP1" s="184"/>
      <c r="DXQ1" s="184"/>
      <c r="DXR1" s="184"/>
      <c r="DXS1" s="184"/>
      <c r="DXT1" s="184"/>
      <c r="DXU1" s="184"/>
      <c r="DXV1" s="184"/>
      <c r="DXW1" s="184"/>
      <c r="DXX1" s="184"/>
      <c r="DXY1" s="184"/>
      <c r="DXZ1" s="184"/>
      <c r="DYA1" s="184"/>
      <c r="DYB1" s="184"/>
      <c r="DYC1" s="184"/>
      <c r="DYD1" s="184"/>
      <c r="DYE1" s="184"/>
      <c r="DYF1" s="184"/>
      <c r="DYG1" s="184"/>
      <c r="DYH1" s="184"/>
      <c r="DYI1" s="184"/>
      <c r="DYJ1" s="184"/>
      <c r="DYK1" s="184"/>
      <c r="DYL1" s="184"/>
      <c r="DYM1" s="184"/>
      <c r="DYN1" s="184"/>
      <c r="DYO1" s="184"/>
      <c r="DYP1" s="184"/>
      <c r="DYQ1" s="184"/>
      <c r="DYR1" s="184"/>
      <c r="DYS1" s="184"/>
      <c r="DYT1" s="184"/>
      <c r="DYU1" s="184"/>
      <c r="DYV1" s="184"/>
      <c r="DYW1" s="184"/>
      <c r="DYX1" s="184"/>
      <c r="DYY1" s="184"/>
      <c r="DYZ1" s="184"/>
      <c r="DZA1" s="184"/>
      <c r="DZB1" s="184"/>
      <c r="DZC1" s="184"/>
      <c r="DZD1" s="184"/>
      <c r="DZE1" s="184"/>
      <c r="DZF1" s="184"/>
      <c r="DZG1" s="184"/>
      <c r="DZH1" s="184"/>
      <c r="DZI1" s="184"/>
      <c r="DZJ1" s="184"/>
      <c r="DZK1" s="184"/>
      <c r="DZL1" s="184"/>
      <c r="DZM1" s="184"/>
      <c r="DZN1" s="184"/>
      <c r="DZO1" s="184"/>
      <c r="DZP1" s="184"/>
      <c r="DZQ1" s="184"/>
      <c r="DZR1" s="184"/>
      <c r="DZS1" s="184"/>
      <c r="DZT1" s="184"/>
      <c r="DZU1" s="184"/>
      <c r="DZV1" s="184"/>
      <c r="DZW1" s="184"/>
      <c r="DZX1" s="184"/>
      <c r="DZY1" s="184"/>
      <c r="DZZ1" s="184"/>
      <c r="EAA1" s="184"/>
      <c r="EAB1" s="184"/>
      <c r="EAC1" s="184"/>
      <c r="EAD1" s="184"/>
      <c r="EAE1" s="184"/>
      <c r="EAF1" s="184"/>
      <c r="EAG1" s="184"/>
      <c r="EAH1" s="184"/>
      <c r="EAI1" s="184"/>
      <c r="EAJ1" s="184"/>
      <c r="EAK1" s="184"/>
      <c r="EAL1" s="184"/>
      <c r="EAM1" s="184"/>
      <c r="EAN1" s="184"/>
      <c r="EAO1" s="184"/>
      <c r="EAP1" s="184"/>
      <c r="EAQ1" s="184"/>
      <c r="EAR1" s="184"/>
      <c r="EAS1" s="184"/>
      <c r="EAT1" s="184"/>
      <c r="EAU1" s="184"/>
      <c r="EAV1" s="184"/>
      <c r="EAW1" s="184"/>
      <c r="EAX1" s="184"/>
      <c r="EAY1" s="184"/>
      <c r="EAZ1" s="184"/>
      <c r="EBA1" s="184"/>
      <c r="EBB1" s="184"/>
      <c r="EBC1" s="184"/>
      <c r="EBD1" s="184"/>
      <c r="EBE1" s="184"/>
      <c r="EBF1" s="184"/>
      <c r="EBG1" s="184"/>
      <c r="EBH1" s="184"/>
      <c r="EBI1" s="184"/>
      <c r="EBJ1" s="184"/>
      <c r="EBK1" s="184"/>
      <c r="EBL1" s="184"/>
      <c r="EBM1" s="184"/>
      <c r="EBN1" s="184"/>
      <c r="EBO1" s="184"/>
      <c r="EBP1" s="184"/>
      <c r="EBQ1" s="184"/>
      <c r="EBR1" s="184"/>
      <c r="EBS1" s="184"/>
      <c r="EBT1" s="184"/>
      <c r="EBU1" s="184"/>
      <c r="EBV1" s="184"/>
      <c r="EBW1" s="184"/>
      <c r="EBX1" s="184"/>
      <c r="EBY1" s="184"/>
      <c r="EBZ1" s="184"/>
      <c r="ECA1" s="184"/>
      <c r="ECB1" s="184"/>
      <c r="ECC1" s="184"/>
      <c r="ECD1" s="184"/>
      <c r="ECE1" s="184"/>
      <c r="ECF1" s="184"/>
      <c r="ECG1" s="184"/>
      <c r="ECH1" s="184"/>
      <c r="ECI1" s="184"/>
      <c r="ECJ1" s="184"/>
      <c r="ECK1" s="184"/>
      <c r="ECL1" s="184"/>
      <c r="ECM1" s="184"/>
      <c r="ECN1" s="184"/>
      <c r="ECO1" s="184"/>
      <c r="ECP1" s="184"/>
      <c r="ECQ1" s="184"/>
      <c r="ECR1" s="184"/>
      <c r="ECS1" s="184"/>
      <c r="ECT1" s="184"/>
      <c r="ECU1" s="184"/>
      <c r="ECV1" s="184"/>
      <c r="ECW1" s="184"/>
      <c r="ECX1" s="184"/>
      <c r="ECY1" s="184"/>
      <c r="ECZ1" s="184"/>
      <c r="EDA1" s="184"/>
      <c r="EDB1" s="184"/>
      <c r="EDC1" s="184"/>
      <c r="EDD1" s="184"/>
      <c r="EDE1" s="184"/>
      <c r="EDF1" s="184"/>
      <c r="EDG1" s="184"/>
      <c r="EDH1" s="184"/>
      <c r="EDI1" s="184"/>
      <c r="EDJ1" s="184"/>
      <c r="EDK1" s="184"/>
      <c r="EDL1" s="184"/>
      <c r="EDM1" s="184"/>
      <c r="EDN1" s="184"/>
      <c r="EDO1" s="184"/>
      <c r="EDP1" s="184"/>
      <c r="EDQ1" s="184"/>
      <c r="EDR1" s="184"/>
      <c r="EDS1" s="184"/>
      <c r="EDT1" s="184"/>
      <c r="EDU1" s="184"/>
      <c r="EDV1" s="184"/>
      <c r="EDW1" s="184"/>
      <c r="EDX1" s="184"/>
      <c r="EDY1" s="184"/>
      <c r="EDZ1" s="184"/>
      <c r="EEA1" s="184"/>
      <c r="EEB1" s="184"/>
      <c r="EEC1" s="184"/>
      <c r="EED1" s="184"/>
      <c r="EEE1" s="184"/>
      <c r="EEF1" s="184"/>
      <c r="EEG1" s="184"/>
      <c r="EEH1" s="184"/>
      <c r="EEI1" s="184"/>
      <c r="EEJ1" s="184"/>
      <c r="EEK1" s="184"/>
      <c r="EEL1" s="184"/>
      <c r="EEM1" s="184"/>
      <c r="EEN1" s="184"/>
      <c r="EEO1" s="184"/>
      <c r="EEP1" s="184"/>
      <c r="EEQ1" s="184"/>
      <c r="EER1" s="184"/>
      <c r="EES1" s="184"/>
      <c r="EET1" s="184"/>
      <c r="EEU1" s="184"/>
      <c r="EEV1" s="184"/>
      <c r="EEW1" s="184"/>
      <c r="EEX1" s="184"/>
      <c r="EEY1" s="184"/>
      <c r="EEZ1" s="184"/>
      <c r="EFA1" s="184"/>
      <c r="EFB1" s="184"/>
      <c r="EFC1" s="184"/>
      <c r="EFD1" s="184"/>
      <c r="EFE1" s="184"/>
      <c r="EFF1" s="184"/>
      <c r="EFG1" s="184"/>
      <c r="EFH1" s="184"/>
      <c r="EFI1" s="184"/>
      <c r="EFJ1" s="184"/>
      <c r="EFK1" s="184"/>
      <c r="EFL1" s="184"/>
      <c r="EFM1" s="184"/>
      <c r="EFN1" s="184"/>
      <c r="EFO1" s="184"/>
      <c r="EFP1" s="184"/>
      <c r="EFQ1" s="184"/>
      <c r="EFR1" s="184"/>
      <c r="EFS1" s="184"/>
      <c r="EFT1" s="184"/>
      <c r="EFU1" s="184"/>
      <c r="EFV1" s="184"/>
      <c r="EFW1" s="184"/>
      <c r="EFX1" s="184"/>
      <c r="EFY1" s="184"/>
      <c r="EFZ1" s="184"/>
      <c r="EGA1" s="184"/>
      <c r="EGB1" s="184"/>
      <c r="EGC1" s="184"/>
      <c r="EGD1" s="184"/>
      <c r="EGE1" s="184"/>
      <c r="EGF1" s="184"/>
      <c r="EGG1" s="184"/>
      <c r="EGH1" s="184"/>
      <c r="EGI1" s="184"/>
      <c r="EGJ1" s="184"/>
      <c r="EGK1" s="184"/>
      <c r="EGL1" s="184"/>
      <c r="EGM1" s="184"/>
      <c r="EGN1" s="184"/>
      <c r="EGO1" s="184"/>
      <c r="EGP1" s="184"/>
      <c r="EGQ1" s="184"/>
      <c r="EGR1" s="184"/>
      <c r="EGS1" s="184"/>
      <c r="EGT1" s="184"/>
      <c r="EGU1" s="184"/>
      <c r="EGV1" s="184"/>
      <c r="EGW1" s="184"/>
      <c r="EGX1" s="184"/>
      <c r="EGY1" s="184"/>
      <c r="EGZ1" s="184"/>
      <c r="EHA1" s="184"/>
      <c r="EHB1" s="184"/>
      <c r="EHC1" s="184"/>
      <c r="EHD1" s="184"/>
      <c r="EHE1" s="184"/>
      <c r="EHF1" s="184"/>
      <c r="EHG1" s="184"/>
      <c r="EHH1" s="184"/>
      <c r="EHI1" s="184"/>
      <c r="EHJ1" s="184"/>
      <c r="EHK1" s="184"/>
      <c r="EHL1" s="184"/>
      <c r="EHM1" s="184"/>
      <c r="EHN1" s="184"/>
      <c r="EHO1" s="184"/>
      <c r="EHP1" s="184"/>
      <c r="EHQ1" s="184"/>
      <c r="EHR1" s="184"/>
      <c r="EHS1" s="184"/>
      <c r="EHT1" s="184"/>
      <c r="EHU1" s="184"/>
      <c r="EHV1" s="184"/>
      <c r="EHW1" s="184"/>
      <c r="EHX1" s="184"/>
      <c r="EHY1" s="184"/>
      <c r="EHZ1" s="184"/>
      <c r="EIA1" s="184"/>
      <c r="EIB1" s="184"/>
      <c r="EIC1" s="184"/>
      <c r="EID1" s="184"/>
      <c r="EIE1" s="184"/>
      <c r="EIF1" s="184"/>
      <c r="EIG1" s="184"/>
      <c r="EIH1" s="184"/>
      <c r="EII1" s="184"/>
      <c r="EIJ1" s="184"/>
      <c r="EIK1" s="184"/>
      <c r="EIL1" s="184"/>
      <c r="EIM1" s="184"/>
      <c r="EIN1" s="184"/>
      <c r="EIO1" s="184"/>
      <c r="EIP1" s="184"/>
      <c r="EIQ1" s="184"/>
      <c r="EIR1" s="184"/>
      <c r="EIS1" s="184"/>
      <c r="EIT1" s="184"/>
      <c r="EIU1" s="184"/>
      <c r="EIV1" s="184"/>
      <c r="EIW1" s="184"/>
      <c r="EIX1" s="184"/>
      <c r="EIY1" s="184"/>
      <c r="EIZ1" s="184"/>
      <c r="EJA1" s="184"/>
      <c r="EJB1" s="184"/>
      <c r="EJC1" s="184"/>
      <c r="EJD1" s="184"/>
      <c r="EJE1" s="184"/>
      <c r="EJF1" s="184"/>
      <c r="EJG1" s="184"/>
      <c r="EJH1" s="184"/>
      <c r="EJI1" s="184"/>
      <c r="EJJ1" s="184"/>
      <c r="EJK1" s="184"/>
      <c r="EJL1" s="184"/>
      <c r="EJM1" s="184"/>
      <c r="EJN1" s="184"/>
      <c r="EJO1" s="184"/>
      <c r="EJP1" s="184"/>
      <c r="EJQ1" s="184"/>
      <c r="EJR1" s="184"/>
      <c r="EJS1" s="184"/>
      <c r="EJT1" s="184"/>
      <c r="EJU1" s="184"/>
      <c r="EJV1" s="184"/>
      <c r="EJW1" s="184"/>
      <c r="EJX1" s="184"/>
      <c r="EJY1" s="184"/>
      <c r="EJZ1" s="184"/>
      <c r="EKA1" s="184"/>
      <c r="EKB1" s="184"/>
      <c r="EKC1" s="184"/>
      <c r="EKD1" s="184"/>
      <c r="EKE1" s="184"/>
      <c r="EKF1" s="184"/>
      <c r="EKG1" s="184"/>
      <c r="EKH1" s="184"/>
      <c r="EKI1" s="184"/>
      <c r="EKJ1" s="184"/>
      <c r="EKK1" s="184"/>
      <c r="EKL1" s="184"/>
      <c r="EKM1" s="184"/>
      <c r="EKN1" s="184"/>
      <c r="EKO1" s="184"/>
      <c r="EKP1" s="184"/>
      <c r="EKQ1" s="184"/>
      <c r="EKR1" s="184"/>
      <c r="EKS1" s="184"/>
      <c r="EKT1" s="184"/>
      <c r="EKU1" s="184"/>
      <c r="EKV1" s="184"/>
      <c r="EKW1" s="184"/>
      <c r="EKX1" s="184"/>
      <c r="EKY1" s="184"/>
      <c r="EKZ1" s="184"/>
      <c r="ELA1" s="184"/>
      <c r="ELB1" s="184"/>
      <c r="ELC1" s="184"/>
      <c r="ELD1" s="184"/>
      <c r="ELE1" s="184"/>
      <c r="ELF1" s="184"/>
      <c r="ELG1" s="184"/>
      <c r="ELH1" s="184"/>
      <c r="ELI1" s="184"/>
      <c r="ELJ1" s="184"/>
      <c r="ELK1" s="184"/>
      <c r="ELL1" s="184"/>
      <c r="ELM1" s="184"/>
      <c r="ELN1" s="184"/>
      <c r="ELO1" s="184"/>
      <c r="ELP1" s="184"/>
      <c r="ELQ1" s="184"/>
      <c r="ELR1" s="184"/>
      <c r="ELS1" s="184"/>
      <c r="ELT1" s="184"/>
      <c r="ELU1" s="184"/>
      <c r="ELV1" s="184"/>
      <c r="ELW1" s="184"/>
      <c r="ELX1" s="184"/>
      <c r="ELY1" s="184"/>
      <c r="ELZ1" s="184"/>
      <c r="EMA1" s="184"/>
      <c r="EMB1" s="184"/>
      <c r="EMC1" s="184"/>
      <c r="EMD1" s="184"/>
      <c r="EME1" s="184"/>
      <c r="EMF1" s="184"/>
      <c r="EMG1" s="184"/>
      <c r="EMH1" s="184"/>
      <c r="EMI1" s="184"/>
      <c r="EMJ1" s="184"/>
      <c r="EMK1" s="184"/>
      <c r="EML1" s="184"/>
      <c r="EMM1" s="184"/>
      <c r="EMN1" s="184"/>
      <c r="EMO1" s="184"/>
      <c r="EMP1" s="184"/>
      <c r="EMQ1" s="184"/>
      <c r="EMR1" s="184"/>
      <c r="EMS1" s="184"/>
      <c r="EMT1" s="184"/>
      <c r="EMU1" s="184"/>
      <c r="EMV1" s="184"/>
      <c r="EMW1" s="184"/>
      <c r="EMX1" s="184"/>
      <c r="EMY1" s="184"/>
      <c r="EMZ1" s="184"/>
      <c r="ENA1" s="184"/>
      <c r="ENB1" s="184"/>
      <c r="ENC1" s="184"/>
      <c r="END1" s="184"/>
      <c r="ENE1" s="184"/>
      <c r="ENF1" s="184"/>
      <c r="ENG1" s="184"/>
      <c r="ENH1" s="184"/>
      <c r="ENI1" s="184"/>
      <c r="ENJ1" s="184"/>
      <c r="ENK1" s="184"/>
      <c r="ENL1" s="184"/>
      <c r="ENM1" s="184"/>
      <c r="ENN1" s="184"/>
      <c r="ENO1" s="184"/>
      <c r="ENP1" s="184"/>
      <c r="ENQ1" s="184"/>
      <c r="ENR1" s="184"/>
      <c r="ENS1" s="184"/>
      <c r="ENT1" s="184"/>
      <c r="ENU1" s="184"/>
      <c r="ENV1" s="184"/>
      <c r="ENW1" s="184"/>
      <c r="ENX1" s="184"/>
      <c r="ENY1" s="184"/>
      <c r="ENZ1" s="184"/>
      <c r="EOA1" s="184"/>
      <c r="EOB1" s="184"/>
      <c r="EOC1" s="184"/>
      <c r="EOD1" s="184"/>
      <c r="EOE1" s="184"/>
      <c r="EOF1" s="184"/>
      <c r="EOG1" s="184"/>
      <c r="EOH1" s="184"/>
      <c r="EOI1" s="184"/>
      <c r="EOJ1" s="184"/>
      <c r="EOK1" s="184"/>
      <c r="EOL1" s="184"/>
      <c r="EOM1" s="184"/>
      <c r="EON1" s="184"/>
      <c r="EOO1" s="184"/>
      <c r="EOP1" s="184"/>
      <c r="EOQ1" s="184"/>
      <c r="EOR1" s="184"/>
      <c r="EOS1" s="184"/>
      <c r="EOT1" s="184"/>
      <c r="EOU1" s="184"/>
      <c r="EOV1" s="184"/>
      <c r="EOW1" s="184"/>
      <c r="EOX1" s="184"/>
      <c r="EOY1" s="184"/>
      <c r="EOZ1" s="184"/>
      <c r="EPA1" s="184"/>
      <c r="EPB1" s="184"/>
      <c r="EPC1" s="184"/>
      <c r="EPD1" s="184"/>
      <c r="EPE1" s="184"/>
      <c r="EPF1" s="184"/>
      <c r="EPG1" s="184"/>
      <c r="EPH1" s="184"/>
      <c r="EPI1" s="184"/>
      <c r="EPJ1" s="184"/>
      <c r="EPK1" s="184"/>
      <c r="EPL1" s="184"/>
      <c r="EPM1" s="184"/>
      <c r="EPN1" s="184"/>
      <c r="EPO1" s="184"/>
      <c r="EPP1" s="184"/>
      <c r="EPQ1" s="184"/>
      <c r="EPR1" s="184"/>
      <c r="EPS1" s="184"/>
      <c r="EPT1" s="184"/>
      <c r="EPU1" s="184"/>
      <c r="EPV1" s="184"/>
      <c r="EPW1" s="184"/>
      <c r="EPX1" s="184"/>
      <c r="EPY1" s="184"/>
      <c r="EPZ1" s="184"/>
      <c r="EQA1" s="184"/>
      <c r="EQB1" s="184"/>
      <c r="EQC1" s="184"/>
      <c r="EQD1" s="184"/>
      <c r="EQE1" s="184"/>
      <c r="EQF1" s="184"/>
      <c r="EQG1" s="184"/>
      <c r="EQH1" s="184"/>
      <c r="EQI1" s="184"/>
      <c r="EQJ1" s="184"/>
      <c r="EQK1" s="184"/>
      <c r="EQL1" s="184"/>
      <c r="EQM1" s="184"/>
      <c r="EQN1" s="184"/>
      <c r="EQO1" s="184"/>
      <c r="EQP1" s="184"/>
      <c r="EQQ1" s="184"/>
      <c r="EQR1" s="184"/>
      <c r="EQS1" s="184"/>
      <c r="EQT1" s="184"/>
      <c r="EQU1" s="184"/>
      <c r="EQV1" s="184"/>
      <c r="EQW1" s="184"/>
      <c r="EQX1" s="184"/>
      <c r="EQY1" s="184"/>
      <c r="EQZ1" s="184"/>
      <c r="ERA1" s="184"/>
      <c r="ERB1" s="184"/>
      <c r="ERC1" s="184"/>
      <c r="ERD1" s="184"/>
      <c r="ERE1" s="184"/>
      <c r="ERF1" s="184"/>
      <c r="ERG1" s="184"/>
      <c r="ERH1" s="184"/>
      <c r="ERI1" s="184"/>
      <c r="ERJ1" s="184"/>
      <c r="ERK1" s="184"/>
      <c r="ERL1" s="184"/>
      <c r="ERM1" s="184"/>
      <c r="ERN1" s="184"/>
      <c r="ERO1" s="184"/>
      <c r="ERP1" s="184"/>
      <c r="ERQ1" s="184"/>
      <c r="ERR1" s="184"/>
      <c r="ERS1" s="184"/>
      <c r="ERT1" s="184"/>
      <c r="ERU1" s="184"/>
      <c r="ERV1" s="184"/>
      <c r="ERW1" s="184"/>
      <c r="ERX1" s="184"/>
      <c r="ERY1" s="184"/>
      <c r="ERZ1" s="184"/>
      <c r="ESA1" s="184"/>
      <c r="ESB1" s="184"/>
      <c r="ESC1" s="184"/>
      <c r="ESD1" s="184"/>
      <c r="ESE1" s="184"/>
      <c r="ESF1" s="184"/>
      <c r="ESG1" s="184"/>
      <c r="ESH1" s="184"/>
      <c r="ESI1" s="184"/>
      <c r="ESJ1" s="184"/>
      <c r="ESK1" s="184"/>
      <c r="ESL1" s="184"/>
      <c r="ESM1" s="184"/>
      <c r="ESN1" s="184"/>
      <c r="ESO1" s="184"/>
      <c r="ESP1" s="184"/>
      <c r="ESQ1" s="184"/>
      <c r="ESR1" s="184"/>
      <c r="ESS1" s="184"/>
      <c r="EST1" s="184"/>
      <c r="ESU1" s="184"/>
      <c r="ESV1" s="184"/>
      <c r="ESW1" s="184"/>
      <c r="ESX1" s="184"/>
      <c r="ESY1" s="184"/>
      <c r="ESZ1" s="184"/>
      <c r="ETA1" s="184"/>
      <c r="ETB1" s="184"/>
      <c r="ETC1" s="184"/>
      <c r="ETD1" s="184"/>
      <c r="ETE1" s="184"/>
      <c r="ETF1" s="184"/>
      <c r="ETG1" s="184"/>
      <c r="ETH1" s="184"/>
      <c r="ETI1" s="184"/>
      <c r="ETJ1" s="184"/>
      <c r="ETK1" s="184"/>
      <c r="ETL1" s="184"/>
      <c r="ETM1" s="184"/>
      <c r="ETN1" s="184"/>
      <c r="ETO1" s="184"/>
      <c r="ETP1" s="184"/>
      <c r="ETQ1" s="184"/>
      <c r="ETR1" s="184"/>
      <c r="ETS1" s="184"/>
      <c r="ETT1" s="184"/>
      <c r="ETU1" s="184"/>
      <c r="ETV1" s="184"/>
      <c r="ETW1" s="184"/>
      <c r="ETX1" s="184"/>
      <c r="ETY1" s="184"/>
      <c r="ETZ1" s="184"/>
      <c r="EUA1" s="184"/>
      <c r="EUB1" s="184"/>
      <c r="EUC1" s="184"/>
      <c r="EUD1" s="184"/>
      <c r="EUE1" s="184"/>
      <c r="EUF1" s="184"/>
      <c r="EUG1" s="184"/>
      <c r="EUH1" s="184"/>
      <c r="EUI1" s="184"/>
      <c r="EUJ1" s="184"/>
      <c r="EUK1" s="184"/>
      <c r="EUL1" s="184"/>
      <c r="EUM1" s="184"/>
      <c r="EUN1" s="184"/>
      <c r="EUO1" s="184"/>
      <c r="EUP1" s="184"/>
      <c r="EUQ1" s="184"/>
      <c r="EUR1" s="184"/>
      <c r="EUS1" s="184"/>
      <c r="EUT1" s="184"/>
      <c r="EUU1" s="184"/>
      <c r="EUV1" s="184"/>
      <c r="EUW1" s="184"/>
      <c r="EUX1" s="184"/>
      <c r="EUY1" s="184"/>
      <c r="EUZ1" s="184"/>
      <c r="EVA1" s="184"/>
      <c r="EVB1" s="184"/>
      <c r="EVC1" s="184"/>
      <c r="EVD1" s="184"/>
      <c r="EVE1" s="184"/>
      <c r="EVF1" s="184"/>
      <c r="EVG1" s="184"/>
      <c r="EVH1" s="184"/>
      <c r="EVI1" s="184"/>
      <c r="EVJ1" s="184"/>
      <c r="EVK1" s="184"/>
      <c r="EVL1" s="184"/>
      <c r="EVM1" s="184"/>
      <c r="EVN1" s="184"/>
      <c r="EVO1" s="184"/>
      <c r="EVP1" s="184"/>
      <c r="EVQ1" s="184"/>
      <c r="EVR1" s="184"/>
      <c r="EVS1" s="184"/>
      <c r="EVT1" s="184"/>
      <c r="EVU1" s="184"/>
      <c r="EVV1" s="184"/>
      <c r="EVW1" s="184"/>
      <c r="EVX1" s="184"/>
      <c r="EVY1" s="184"/>
      <c r="EVZ1" s="184"/>
      <c r="EWA1" s="184"/>
      <c r="EWB1" s="184"/>
      <c r="EWC1" s="184"/>
      <c r="EWD1" s="184"/>
      <c r="EWE1" s="184"/>
      <c r="EWF1" s="184"/>
      <c r="EWG1" s="184"/>
      <c r="EWH1" s="184"/>
      <c r="EWI1" s="184"/>
      <c r="EWJ1" s="184"/>
      <c r="EWK1" s="184"/>
      <c r="EWL1" s="184"/>
      <c r="EWM1" s="184"/>
      <c r="EWN1" s="184"/>
      <c r="EWO1" s="184"/>
      <c r="EWP1" s="184"/>
      <c r="EWQ1" s="184"/>
      <c r="EWR1" s="184"/>
      <c r="EWS1" s="184"/>
      <c r="EWT1" s="184"/>
      <c r="EWU1" s="184"/>
      <c r="EWV1" s="184"/>
      <c r="EWW1" s="184"/>
      <c r="EWX1" s="184"/>
      <c r="EWY1" s="184"/>
      <c r="EWZ1" s="184"/>
      <c r="EXA1" s="184"/>
      <c r="EXB1" s="184"/>
      <c r="EXC1" s="184"/>
      <c r="EXD1" s="184"/>
      <c r="EXE1" s="184"/>
      <c r="EXF1" s="184"/>
      <c r="EXG1" s="184"/>
      <c r="EXH1" s="184"/>
      <c r="EXI1" s="184"/>
      <c r="EXJ1" s="184"/>
      <c r="EXK1" s="184"/>
      <c r="EXL1" s="184"/>
      <c r="EXM1" s="184"/>
      <c r="EXN1" s="184"/>
      <c r="EXO1" s="184"/>
      <c r="EXP1" s="184"/>
      <c r="EXQ1" s="184"/>
      <c r="EXR1" s="184"/>
      <c r="EXS1" s="184"/>
      <c r="EXT1" s="184"/>
      <c r="EXU1" s="184"/>
      <c r="EXV1" s="184"/>
      <c r="EXW1" s="184"/>
      <c r="EXX1" s="184"/>
      <c r="EXY1" s="184"/>
      <c r="EXZ1" s="184"/>
      <c r="EYA1" s="184"/>
      <c r="EYB1" s="184"/>
      <c r="EYC1" s="184"/>
      <c r="EYD1" s="184"/>
      <c r="EYE1" s="184"/>
      <c r="EYF1" s="184"/>
      <c r="EYG1" s="184"/>
      <c r="EYH1" s="184"/>
      <c r="EYI1" s="184"/>
      <c r="EYJ1" s="184"/>
      <c r="EYK1" s="184"/>
      <c r="EYL1" s="184"/>
      <c r="EYM1" s="184"/>
      <c r="EYN1" s="184"/>
      <c r="EYO1" s="184"/>
      <c r="EYP1" s="184"/>
      <c r="EYQ1" s="184"/>
      <c r="EYR1" s="184"/>
      <c r="EYS1" s="184"/>
      <c r="EYT1" s="184"/>
      <c r="EYU1" s="184"/>
      <c r="EYV1" s="184"/>
      <c r="EYW1" s="184"/>
      <c r="EYX1" s="184"/>
      <c r="EYY1" s="184"/>
      <c r="EYZ1" s="184"/>
      <c r="EZA1" s="184"/>
      <c r="EZB1" s="184"/>
      <c r="EZC1" s="184"/>
      <c r="EZD1" s="184"/>
      <c r="EZE1" s="184"/>
      <c r="EZF1" s="184"/>
      <c r="EZG1" s="184"/>
      <c r="EZH1" s="184"/>
      <c r="EZI1" s="184"/>
      <c r="EZJ1" s="184"/>
      <c r="EZK1" s="184"/>
      <c r="EZL1" s="184"/>
      <c r="EZM1" s="184"/>
      <c r="EZN1" s="184"/>
      <c r="EZO1" s="184"/>
      <c r="EZP1" s="184"/>
      <c r="EZQ1" s="184"/>
      <c r="EZR1" s="184"/>
      <c r="EZS1" s="184"/>
      <c r="EZT1" s="184"/>
      <c r="EZU1" s="184"/>
      <c r="EZV1" s="184"/>
      <c r="EZW1" s="184"/>
      <c r="EZX1" s="184"/>
      <c r="EZY1" s="184"/>
      <c r="EZZ1" s="184"/>
      <c r="FAA1" s="184"/>
      <c r="FAB1" s="184"/>
      <c r="FAC1" s="184"/>
      <c r="FAD1" s="184"/>
      <c r="FAE1" s="184"/>
      <c r="FAF1" s="184"/>
      <c r="FAG1" s="184"/>
      <c r="FAH1" s="184"/>
      <c r="FAI1" s="184"/>
      <c r="FAJ1" s="184"/>
      <c r="FAK1" s="184"/>
      <c r="FAL1" s="184"/>
      <c r="FAM1" s="184"/>
      <c r="FAN1" s="184"/>
      <c r="FAO1" s="184"/>
      <c r="FAP1" s="184"/>
      <c r="FAQ1" s="184"/>
      <c r="FAR1" s="184"/>
      <c r="FAS1" s="184"/>
      <c r="FAT1" s="184"/>
      <c r="FAU1" s="184"/>
      <c r="FAV1" s="184"/>
      <c r="FAW1" s="184"/>
      <c r="FAX1" s="184"/>
      <c r="FAY1" s="184"/>
      <c r="FAZ1" s="184"/>
      <c r="FBA1" s="184"/>
      <c r="FBB1" s="184"/>
      <c r="FBC1" s="184"/>
      <c r="FBD1" s="184"/>
      <c r="FBE1" s="184"/>
      <c r="FBF1" s="184"/>
      <c r="FBG1" s="184"/>
      <c r="FBH1" s="184"/>
      <c r="FBI1" s="184"/>
      <c r="FBJ1" s="184"/>
      <c r="FBK1" s="184"/>
      <c r="FBL1" s="184"/>
      <c r="FBM1" s="184"/>
      <c r="FBN1" s="184"/>
      <c r="FBO1" s="184"/>
      <c r="FBP1" s="184"/>
      <c r="FBQ1" s="184"/>
      <c r="FBR1" s="184"/>
      <c r="FBS1" s="184"/>
      <c r="FBT1" s="184"/>
      <c r="FBU1" s="184"/>
      <c r="FBV1" s="184"/>
      <c r="FBW1" s="184"/>
      <c r="FBX1" s="184"/>
      <c r="FBY1" s="184"/>
      <c r="FBZ1" s="184"/>
      <c r="FCA1" s="184"/>
      <c r="FCB1" s="184"/>
      <c r="FCC1" s="184"/>
      <c r="FCD1" s="184"/>
      <c r="FCE1" s="184"/>
      <c r="FCF1" s="184"/>
      <c r="FCG1" s="184"/>
      <c r="FCH1" s="184"/>
      <c r="FCI1" s="184"/>
      <c r="FCJ1" s="184"/>
      <c r="FCK1" s="184"/>
      <c r="FCL1" s="184"/>
      <c r="FCM1" s="184"/>
      <c r="FCN1" s="184"/>
      <c r="FCO1" s="184"/>
      <c r="FCP1" s="184"/>
      <c r="FCQ1" s="184"/>
      <c r="FCR1" s="184"/>
      <c r="FCS1" s="184"/>
      <c r="FCT1" s="184"/>
      <c r="FCU1" s="184"/>
      <c r="FCV1" s="184"/>
      <c r="FCW1" s="184"/>
      <c r="FCX1" s="184"/>
      <c r="FCY1" s="184"/>
      <c r="FCZ1" s="184"/>
      <c r="FDA1" s="184"/>
      <c r="FDB1" s="184"/>
      <c r="FDC1" s="184"/>
      <c r="FDD1" s="184"/>
      <c r="FDE1" s="184"/>
      <c r="FDF1" s="184"/>
      <c r="FDG1" s="184"/>
      <c r="FDH1" s="184"/>
      <c r="FDI1" s="184"/>
      <c r="FDJ1" s="184"/>
      <c r="FDK1" s="184"/>
      <c r="FDL1" s="184"/>
      <c r="FDM1" s="184"/>
      <c r="FDN1" s="184"/>
      <c r="FDO1" s="184"/>
      <c r="FDP1" s="184"/>
      <c r="FDQ1" s="184"/>
      <c r="FDR1" s="184"/>
      <c r="FDS1" s="184"/>
      <c r="FDT1" s="184"/>
      <c r="FDU1" s="184"/>
      <c r="FDV1" s="184"/>
      <c r="FDW1" s="184"/>
      <c r="FDX1" s="184"/>
      <c r="FDY1" s="184"/>
      <c r="FDZ1" s="184"/>
      <c r="FEA1" s="184"/>
      <c r="FEB1" s="184"/>
      <c r="FEC1" s="184"/>
      <c r="FED1" s="184"/>
      <c r="FEE1" s="184"/>
      <c r="FEF1" s="184"/>
      <c r="FEG1" s="184"/>
      <c r="FEH1" s="184"/>
      <c r="FEI1" s="184"/>
      <c r="FEJ1" s="184"/>
      <c r="FEK1" s="184"/>
      <c r="FEL1" s="184"/>
      <c r="FEM1" s="184"/>
      <c r="FEN1" s="184"/>
      <c r="FEO1" s="184"/>
      <c r="FEP1" s="184"/>
      <c r="FEQ1" s="184"/>
      <c r="FER1" s="184"/>
      <c r="FES1" s="184"/>
      <c r="FET1" s="184"/>
      <c r="FEU1" s="184"/>
      <c r="FEV1" s="184"/>
      <c r="FEW1" s="184"/>
      <c r="FEX1" s="184"/>
      <c r="FEY1" s="184"/>
      <c r="FEZ1" s="184"/>
      <c r="FFA1" s="184"/>
      <c r="FFB1" s="184"/>
      <c r="FFC1" s="184"/>
      <c r="FFD1" s="184"/>
      <c r="FFE1" s="184"/>
      <c r="FFF1" s="184"/>
      <c r="FFG1" s="184"/>
      <c r="FFH1" s="184"/>
      <c r="FFI1" s="184"/>
      <c r="FFJ1" s="184"/>
      <c r="FFK1" s="184"/>
      <c r="FFL1" s="184"/>
      <c r="FFM1" s="184"/>
      <c r="FFN1" s="184"/>
      <c r="FFO1" s="184"/>
      <c r="FFP1" s="184"/>
      <c r="FFQ1" s="184"/>
      <c r="FFR1" s="184"/>
      <c r="FFS1" s="184"/>
      <c r="FFT1" s="184"/>
      <c r="FFU1" s="184"/>
      <c r="FFV1" s="184"/>
      <c r="FFW1" s="184"/>
      <c r="FFX1" s="184"/>
      <c r="FFY1" s="184"/>
      <c r="FFZ1" s="184"/>
      <c r="FGA1" s="184"/>
      <c r="FGB1" s="184"/>
      <c r="FGC1" s="184"/>
      <c r="FGD1" s="184"/>
      <c r="FGE1" s="184"/>
      <c r="FGF1" s="184"/>
      <c r="FGG1" s="184"/>
      <c r="FGH1" s="184"/>
      <c r="FGI1" s="184"/>
      <c r="FGJ1" s="184"/>
      <c r="FGK1" s="184"/>
      <c r="FGL1" s="184"/>
      <c r="FGM1" s="184"/>
      <c r="FGN1" s="184"/>
      <c r="FGO1" s="184"/>
      <c r="FGP1" s="184"/>
      <c r="FGQ1" s="184"/>
      <c r="FGR1" s="184"/>
      <c r="FGS1" s="184"/>
      <c r="FGT1" s="184"/>
      <c r="FGU1" s="184"/>
      <c r="FGV1" s="184"/>
      <c r="FGW1" s="184"/>
      <c r="FGX1" s="184"/>
      <c r="FGY1" s="184"/>
      <c r="FGZ1" s="184"/>
      <c r="FHA1" s="184"/>
      <c r="FHB1" s="184"/>
      <c r="FHC1" s="184"/>
      <c r="FHD1" s="184"/>
      <c r="FHE1" s="184"/>
      <c r="FHF1" s="184"/>
      <c r="FHG1" s="184"/>
      <c r="FHH1" s="184"/>
      <c r="FHI1" s="184"/>
      <c r="FHJ1" s="184"/>
      <c r="FHK1" s="184"/>
      <c r="FHL1" s="184"/>
      <c r="FHM1" s="184"/>
      <c r="FHN1" s="184"/>
      <c r="FHO1" s="184"/>
      <c r="FHP1" s="184"/>
      <c r="FHQ1" s="184"/>
      <c r="FHR1" s="184"/>
      <c r="FHS1" s="184"/>
      <c r="FHT1" s="184"/>
      <c r="FHU1" s="184"/>
      <c r="FHV1" s="184"/>
      <c r="FHW1" s="184"/>
      <c r="FHX1" s="184"/>
      <c r="FHY1" s="184"/>
      <c r="FHZ1" s="184"/>
      <c r="FIA1" s="184"/>
      <c r="FIB1" s="184"/>
      <c r="FIC1" s="184"/>
      <c r="FID1" s="184"/>
      <c r="FIE1" s="184"/>
      <c r="FIF1" s="184"/>
      <c r="FIG1" s="184"/>
      <c r="FIH1" s="184"/>
      <c r="FII1" s="184"/>
      <c r="FIJ1" s="184"/>
      <c r="FIK1" s="184"/>
      <c r="FIL1" s="184"/>
      <c r="FIM1" s="184"/>
      <c r="FIN1" s="184"/>
      <c r="FIO1" s="184"/>
      <c r="FIP1" s="184"/>
      <c r="FIQ1" s="184"/>
      <c r="FIR1" s="184"/>
      <c r="FIS1" s="184"/>
      <c r="FIT1" s="184"/>
      <c r="FIU1" s="184"/>
      <c r="FIV1" s="184"/>
      <c r="FIW1" s="184"/>
      <c r="FIX1" s="184"/>
      <c r="FIY1" s="184"/>
      <c r="FIZ1" s="184"/>
      <c r="FJA1" s="184"/>
      <c r="FJB1" s="184"/>
      <c r="FJC1" s="184"/>
      <c r="FJD1" s="184"/>
      <c r="FJE1" s="184"/>
      <c r="FJF1" s="184"/>
      <c r="FJG1" s="184"/>
      <c r="FJH1" s="184"/>
      <c r="FJI1" s="184"/>
      <c r="FJJ1" s="184"/>
      <c r="FJK1" s="184"/>
      <c r="FJL1" s="184"/>
      <c r="FJM1" s="184"/>
      <c r="FJN1" s="184"/>
      <c r="FJO1" s="184"/>
      <c r="FJP1" s="184"/>
      <c r="FJQ1" s="184"/>
      <c r="FJR1" s="184"/>
      <c r="FJS1" s="184"/>
      <c r="FJT1" s="184"/>
      <c r="FJU1" s="184"/>
      <c r="FJV1" s="184"/>
      <c r="FJW1" s="184"/>
      <c r="FJX1" s="184"/>
      <c r="FJY1" s="184"/>
      <c r="FJZ1" s="184"/>
      <c r="FKA1" s="184"/>
      <c r="FKB1" s="184"/>
      <c r="FKC1" s="184"/>
      <c r="FKD1" s="184"/>
      <c r="FKE1" s="184"/>
      <c r="FKF1" s="184"/>
      <c r="FKG1" s="184"/>
      <c r="FKH1" s="184"/>
      <c r="FKI1" s="184"/>
      <c r="FKJ1" s="184"/>
      <c r="FKK1" s="184"/>
      <c r="FKL1" s="184"/>
      <c r="FKM1" s="184"/>
      <c r="FKN1" s="184"/>
      <c r="FKO1" s="184"/>
      <c r="FKP1" s="184"/>
      <c r="FKQ1" s="184"/>
      <c r="FKR1" s="184"/>
      <c r="FKS1" s="184"/>
      <c r="FKT1" s="184"/>
      <c r="FKU1" s="184"/>
      <c r="FKV1" s="184"/>
      <c r="FKW1" s="184"/>
      <c r="FKX1" s="184"/>
      <c r="FKY1" s="184"/>
      <c r="FKZ1" s="184"/>
      <c r="FLA1" s="184"/>
      <c r="FLB1" s="184"/>
      <c r="FLC1" s="184"/>
      <c r="FLD1" s="184"/>
      <c r="FLE1" s="184"/>
      <c r="FLF1" s="184"/>
      <c r="FLG1" s="184"/>
      <c r="FLH1" s="184"/>
      <c r="FLI1" s="184"/>
      <c r="FLJ1" s="184"/>
      <c r="FLK1" s="184"/>
      <c r="FLL1" s="184"/>
      <c r="FLM1" s="184"/>
      <c r="FLN1" s="184"/>
      <c r="FLO1" s="184"/>
      <c r="FLP1" s="184"/>
      <c r="FLQ1" s="184"/>
      <c r="FLR1" s="184"/>
      <c r="FLS1" s="184"/>
      <c r="FLT1" s="184"/>
      <c r="FLU1" s="184"/>
      <c r="FLV1" s="184"/>
      <c r="FLW1" s="184"/>
      <c r="FLX1" s="184"/>
      <c r="FLY1" s="184"/>
      <c r="FLZ1" s="184"/>
      <c r="FMA1" s="184"/>
      <c r="FMB1" s="184"/>
      <c r="FMC1" s="184"/>
      <c r="FMD1" s="184"/>
      <c r="FME1" s="184"/>
      <c r="FMF1" s="184"/>
      <c r="FMG1" s="184"/>
      <c r="FMH1" s="184"/>
      <c r="FMI1" s="184"/>
      <c r="FMJ1" s="184"/>
      <c r="FMK1" s="184"/>
      <c r="FML1" s="184"/>
      <c r="FMM1" s="184"/>
      <c r="FMN1" s="184"/>
      <c r="FMO1" s="184"/>
      <c r="FMP1" s="184"/>
      <c r="FMQ1" s="184"/>
      <c r="FMR1" s="184"/>
      <c r="FMS1" s="184"/>
      <c r="FMT1" s="184"/>
      <c r="FMU1" s="184"/>
      <c r="FMV1" s="184"/>
      <c r="FMW1" s="184"/>
      <c r="FMX1" s="184"/>
      <c r="FMY1" s="184"/>
      <c r="FMZ1" s="184"/>
      <c r="FNA1" s="184"/>
      <c r="FNB1" s="184"/>
      <c r="FNC1" s="184"/>
      <c r="FND1" s="184"/>
      <c r="FNE1" s="184"/>
      <c r="FNF1" s="184"/>
      <c r="FNG1" s="184"/>
      <c r="FNH1" s="184"/>
      <c r="FNI1" s="184"/>
      <c r="FNJ1" s="184"/>
      <c r="FNK1" s="184"/>
      <c r="FNL1" s="184"/>
      <c r="FNM1" s="184"/>
      <c r="FNN1" s="184"/>
      <c r="FNO1" s="184"/>
      <c r="FNP1" s="184"/>
      <c r="FNQ1" s="184"/>
      <c r="FNR1" s="184"/>
      <c r="FNS1" s="184"/>
      <c r="FNT1" s="184"/>
      <c r="FNU1" s="184"/>
      <c r="FNV1" s="184"/>
      <c r="FNW1" s="184"/>
      <c r="FNX1" s="184"/>
      <c r="FNY1" s="184"/>
      <c r="FNZ1" s="184"/>
      <c r="FOA1" s="184"/>
      <c r="FOB1" s="184"/>
      <c r="FOC1" s="184"/>
      <c r="FOD1" s="184"/>
      <c r="FOE1" s="184"/>
      <c r="FOF1" s="184"/>
      <c r="FOG1" s="184"/>
      <c r="FOH1" s="184"/>
      <c r="FOI1" s="184"/>
      <c r="FOJ1" s="184"/>
      <c r="FOK1" s="184"/>
      <c r="FOL1" s="184"/>
      <c r="FOM1" s="184"/>
      <c r="FON1" s="184"/>
      <c r="FOO1" s="184"/>
      <c r="FOP1" s="184"/>
      <c r="FOQ1" s="184"/>
      <c r="FOR1" s="184"/>
      <c r="FOS1" s="184"/>
      <c r="FOT1" s="184"/>
      <c r="FOU1" s="184"/>
      <c r="FOV1" s="184"/>
      <c r="FOW1" s="184"/>
      <c r="FOX1" s="184"/>
      <c r="FOY1" s="184"/>
      <c r="FOZ1" s="184"/>
      <c r="FPA1" s="184"/>
      <c r="FPB1" s="184"/>
      <c r="FPC1" s="184"/>
      <c r="FPD1" s="184"/>
      <c r="FPE1" s="184"/>
      <c r="FPF1" s="184"/>
      <c r="FPG1" s="184"/>
      <c r="FPH1" s="184"/>
      <c r="FPI1" s="184"/>
      <c r="FPJ1" s="184"/>
      <c r="FPK1" s="184"/>
      <c r="FPL1" s="184"/>
      <c r="FPM1" s="184"/>
      <c r="FPN1" s="184"/>
      <c r="FPO1" s="184"/>
      <c r="FPP1" s="184"/>
      <c r="FPQ1" s="184"/>
      <c r="FPR1" s="184"/>
      <c r="FPS1" s="184"/>
      <c r="FPT1" s="184"/>
      <c r="FPU1" s="184"/>
      <c r="FPV1" s="184"/>
      <c r="FPW1" s="184"/>
      <c r="FPX1" s="184"/>
      <c r="FPY1" s="184"/>
      <c r="FPZ1" s="184"/>
      <c r="FQA1" s="184"/>
      <c r="FQB1" s="184"/>
      <c r="FQC1" s="184"/>
      <c r="FQD1" s="184"/>
      <c r="FQE1" s="184"/>
      <c r="FQF1" s="184"/>
      <c r="FQG1" s="184"/>
      <c r="FQH1" s="184"/>
      <c r="FQI1" s="184"/>
      <c r="FQJ1" s="184"/>
      <c r="FQK1" s="184"/>
      <c r="FQL1" s="184"/>
      <c r="FQM1" s="184"/>
      <c r="FQN1" s="184"/>
      <c r="FQO1" s="184"/>
      <c r="FQP1" s="184"/>
      <c r="FQQ1" s="184"/>
      <c r="FQR1" s="184"/>
      <c r="FQS1" s="184"/>
      <c r="FQT1" s="184"/>
      <c r="FQU1" s="184"/>
      <c r="FQV1" s="184"/>
      <c r="FQW1" s="184"/>
      <c r="FQX1" s="184"/>
      <c r="FQY1" s="184"/>
      <c r="FQZ1" s="184"/>
      <c r="FRA1" s="184"/>
      <c r="FRB1" s="184"/>
      <c r="FRC1" s="184"/>
      <c r="FRD1" s="184"/>
      <c r="FRE1" s="184"/>
      <c r="FRF1" s="184"/>
      <c r="FRG1" s="184"/>
      <c r="FRH1" s="184"/>
      <c r="FRI1" s="184"/>
      <c r="FRJ1" s="184"/>
      <c r="FRK1" s="184"/>
      <c r="FRL1" s="184"/>
      <c r="FRM1" s="184"/>
      <c r="FRN1" s="184"/>
      <c r="FRO1" s="184"/>
      <c r="FRP1" s="184"/>
      <c r="FRQ1" s="184"/>
      <c r="FRR1" s="184"/>
      <c r="FRS1" s="184"/>
      <c r="FRT1" s="184"/>
      <c r="FRU1" s="184"/>
      <c r="FRV1" s="184"/>
      <c r="FRW1" s="184"/>
      <c r="FRX1" s="184"/>
      <c r="FRY1" s="184"/>
      <c r="FRZ1" s="184"/>
      <c r="FSA1" s="184"/>
      <c r="FSB1" s="184"/>
      <c r="FSC1" s="184"/>
      <c r="FSD1" s="184"/>
      <c r="FSE1" s="184"/>
      <c r="FSF1" s="184"/>
      <c r="FSG1" s="184"/>
      <c r="FSH1" s="184"/>
      <c r="FSI1" s="184"/>
      <c r="FSJ1" s="184"/>
      <c r="FSK1" s="184"/>
      <c r="FSL1" s="184"/>
      <c r="FSM1" s="184"/>
      <c r="FSN1" s="184"/>
      <c r="FSO1" s="184"/>
      <c r="FSP1" s="184"/>
      <c r="FSQ1" s="184"/>
      <c r="FSR1" s="184"/>
      <c r="FSS1" s="184"/>
      <c r="FST1" s="184"/>
      <c r="FSU1" s="184"/>
      <c r="FSV1" s="184"/>
      <c r="FSW1" s="184"/>
      <c r="FSX1" s="184"/>
      <c r="FSY1" s="184"/>
      <c r="FSZ1" s="184"/>
      <c r="FTA1" s="184"/>
      <c r="FTB1" s="184"/>
      <c r="FTC1" s="184"/>
      <c r="FTD1" s="184"/>
      <c r="FTE1" s="184"/>
      <c r="FTF1" s="184"/>
      <c r="FTG1" s="184"/>
      <c r="FTH1" s="184"/>
      <c r="FTI1" s="184"/>
      <c r="FTJ1" s="184"/>
      <c r="FTK1" s="184"/>
      <c r="FTL1" s="184"/>
      <c r="FTM1" s="184"/>
      <c r="FTN1" s="184"/>
      <c r="FTO1" s="184"/>
      <c r="FTP1" s="184"/>
      <c r="FTQ1" s="184"/>
      <c r="FTR1" s="184"/>
      <c r="FTS1" s="184"/>
      <c r="FTT1" s="184"/>
      <c r="FTU1" s="184"/>
      <c r="FTV1" s="184"/>
      <c r="FTW1" s="184"/>
      <c r="FTX1" s="184"/>
      <c r="FTY1" s="184"/>
      <c r="FTZ1" s="184"/>
      <c r="FUA1" s="184"/>
      <c r="FUB1" s="184"/>
      <c r="FUC1" s="184"/>
      <c r="FUD1" s="184"/>
      <c r="FUE1" s="184"/>
      <c r="FUF1" s="184"/>
      <c r="FUG1" s="184"/>
      <c r="FUH1" s="184"/>
      <c r="FUI1" s="184"/>
      <c r="FUJ1" s="184"/>
      <c r="FUK1" s="184"/>
      <c r="FUL1" s="184"/>
      <c r="FUM1" s="184"/>
      <c r="FUN1" s="184"/>
      <c r="FUO1" s="184"/>
      <c r="FUP1" s="184"/>
      <c r="FUQ1" s="184"/>
      <c r="FUR1" s="184"/>
      <c r="FUS1" s="184"/>
      <c r="FUT1" s="184"/>
      <c r="FUU1" s="184"/>
      <c r="FUV1" s="184"/>
      <c r="FUW1" s="184"/>
      <c r="FUX1" s="184"/>
      <c r="FUY1" s="184"/>
      <c r="FUZ1" s="184"/>
      <c r="FVA1" s="184"/>
      <c r="FVB1" s="184"/>
      <c r="FVC1" s="184"/>
      <c r="FVD1" s="184"/>
      <c r="FVE1" s="184"/>
      <c r="FVF1" s="184"/>
      <c r="FVG1" s="184"/>
      <c r="FVH1" s="184"/>
      <c r="FVI1" s="184"/>
      <c r="FVJ1" s="184"/>
      <c r="FVK1" s="184"/>
      <c r="FVL1" s="184"/>
      <c r="FVM1" s="184"/>
      <c r="FVN1" s="184"/>
      <c r="FVO1" s="184"/>
      <c r="FVP1" s="184"/>
      <c r="FVQ1" s="184"/>
      <c r="FVR1" s="184"/>
      <c r="FVS1" s="184"/>
      <c r="FVT1" s="184"/>
      <c r="FVU1" s="184"/>
      <c r="FVV1" s="184"/>
      <c r="FVW1" s="184"/>
      <c r="FVX1" s="184"/>
      <c r="FVY1" s="184"/>
      <c r="FVZ1" s="184"/>
      <c r="FWA1" s="184"/>
      <c r="FWB1" s="184"/>
      <c r="FWC1" s="184"/>
      <c r="FWD1" s="184"/>
      <c r="FWE1" s="184"/>
      <c r="FWF1" s="184"/>
      <c r="FWG1" s="184"/>
      <c r="FWH1" s="184"/>
      <c r="FWI1" s="184"/>
      <c r="FWJ1" s="184"/>
      <c r="FWK1" s="184"/>
      <c r="FWL1" s="184"/>
      <c r="FWM1" s="184"/>
      <c r="FWN1" s="184"/>
      <c r="FWO1" s="184"/>
      <c r="FWP1" s="184"/>
      <c r="FWQ1" s="184"/>
      <c r="FWR1" s="184"/>
      <c r="FWS1" s="184"/>
      <c r="FWT1" s="184"/>
      <c r="FWU1" s="184"/>
      <c r="FWV1" s="184"/>
      <c r="FWW1" s="184"/>
      <c r="FWX1" s="184"/>
      <c r="FWY1" s="184"/>
      <c r="FWZ1" s="184"/>
      <c r="FXA1" s="184"/>
      <c r="FXB1" s="184"/>
      <c r="FXC1" s="184"/>
      <c r="FXD1" s="184"/>
      <c r="FXE1" s="184"/>
      <c r="FXF1" s="184"/>
      <c r="FXG1" s="184"/>
      <c r="FXH1" s="184"/>
      <c r="FXI1" s="184"/>
      <c r="FXJ1" s="184"/>
      <c r="FXK1" s="184"/>
      <c r="FXL1" s="184"/>
      <c r="FXM1" s="184"/>
      <c r="FXN1" s="184"/>
      <c r="FXO1" s="184"/>
      <c r="FXP1" s="184"/>
      <c r="FXQ1" s="184"/>
      <c r="FXR1" s="184"/>
      <c r="FXS1" s="184"/>
      <c r="FXT1" s="184"/>
      <c r="FXU1" s="184"/>
      <c r="FXV1" s="184"/>
      <c r="FXW1" s="184"/>
      <c r="FXX1" s="184"/>
      <c r="FXY1" s="184"/>
      <c r="FXZ1" s="184"/>
      <c r="FYA1" s="184"/>
      <c r="FYB1" s="184"/>
      <c r="FYC1" s="184"/>
      <c r="FYD1" s="184"/>
      <c r="FYE1" s="184"/>
      <c r="FYF1" s="184"/>
      <c r="FYG1" s="184"/>
      <c r="FYH1" s="184"/>
      <c r="FYI1" s="184"/>
      <c r="FYJ1" s="184"/>
      <c r="FYK1" s="184"/>
      <c r="FYL1" s="184"/>
      <c r="FYM1" s="184"/>
      <c r="FYN1" s="184"/>
      <c r="FYO1" s="184"/>
      <c r="FYP1" s="184"/>
      <c r="FYQ1" s="184"/>
      <c r="FYR1" s="184"/>
      <c r="FYS1" s="184"/>
      <c r="FYT1" s="184"/>
      <c r="FYU1" s="184"/>
      <c r="FYV1" s="184"/>
      <c r="FYW1" s="184"/>
      <c r="FYX1" s="184"/>
      <c r="FYY1" s="184"/>
      <c r="FYZ1" s="184"/>
      <c r="FZA1" s="184"/>
      <c r="FZB1" s="184"/>
      <c r="FZC1" s="184"/>
      <c r="FZD1" s="184"/>
      <c r="FZE1" s="184"/>
      <c r="FZF1" s="184"/>
      <c r="FZG1" s="184"/>
      <c r="FZH1" s="184"/>
      <c r="FZI1" s="184"/>
      <c r="FZJ1" s="184"/>
      <c r="FZK1" s="184"/>
      <c r="FZL1" s="184"/>
      <c r="FZM1" s="184"/>
      <c r="FZN1" s="184"/>
      <c r="FZO1" s="184"/>
      <c r="FZP1" s="184"/>
      <c r="FZQ1" s="184"/>
      <c r="FZR1" s="184"/>
      <c r="FZS1" s="184"/>
      <c r="FZT1" s="184"/>
      <c r="FZU1" s="184"/>
      <c r="FZV1" s="184"/>
      <c r="FZW1" s="184"/>
      <c r="FZX1" s="184"/>
      <c r="FZY1" s="184"/>
      <c r="FZZ1" s="184"/>
      <c r="GAA1" s="184"/>
      <c r="GAB1" s="184"/>
      <c r="GAC1" s="184"/>
      <c r="GAD1" s="184"/>
      <c r="GAE1" s="184"/>
      <c r="GAF1" s="184"/>
      <c r="GAG1" s="184"/>
      <c r="GAH1" s="184"/>
      <c r="GAI1" s="184"/>
      <c r="GAJ1" s="184"/>
      <c r="GAK1" s="184"/>
      <c r="GAL1" s="184"/>
      <c r="GAM1" s="184"/>
      <c r="GAN1" s="184"/>
      <c r="GAO1" s="184"/>
      <c r="GAP1" s="184"/>
      <c r="GAQ1" s="184"/>
      <c r="GAR1" s="184"/>
      <c r="GAS1" s="184"/>
      <c r="GAT1" s="184"/>
      <c r="GAU1" s="184"/>
      <c r="GAV1" s="184"/>
      <c r="GAW1" s="184"/>
      <c r="GAX1" s="184"/>
      <c r="GAY1" s="184"/>
      <c r="GAZ1" s="184"/>
      <c r="GBA1" s="184"/>
      <c r="GBB1" s="184"/>
      <c r="GBC1" s="184"/>
      <c r="GBD1" s="184"/>
      <c r="GBE1" s="184"/>
      <c r="GBF1" s="184"/>
      <c r="GBG1" s="184"/>
      <c r="GBH1" s="184"/>
      <c r="GBI1" s="184"/>
      <c r="GBJ1" s="184"/>
      <c r="GBK1" s="184"/>
      <c r="GBL1" s="184"/>
      <c r="GBM1" s="184"/>
      <c r="GBN1" s="184"/>
      <c r="GBO1" s="184"/>
      <c r="GBP1" s="184"/>
      <c r="GBQ1" s="184"/>
      <c r="GBR1" s="184"/>
      <c r="GBS1" s="184"/>
      <c r="GBT1" s="184"/>
      <c r="GBU1" s="184"/>
      <c r="GBV1" s="184"/>
      <c r="GBW1" s="184"/>
      <c r="GBX1" s="184"/>
      <c r="GBY1" s="184"/>
      <c r="GBZ1" s="184"/>
      <c r="GCA1" s="184"/>
      <c r="GCB1" s="184"/>
      <c r="GCC1" s="184"/>
      <c r="GCD1" s="184"/>
      <c r="GCE1" s="184"/>
      <c r="GCF1" s="184"/>
      <c r="GCG1" s="184"/>
      <c r="GCH1" s="184"/>
      <c r="GCI1" s="184"/>
      <c r="GCJ1" s="184"/>
      <c r="GCK1" s="184"/>
      <c r="GCL1" s="184"/>
      <c r="GCM1" s="184"/>
      <c r="GCN1" s="184"/>
      <c r="GCO1" s="184"/>
      <c r="GCP1" s="184"/>
      <c r="GCQ1" s="184"/>
      <c r="GCR1" s="184"/>
      <c r="GCS1" s="184"/>
      <c r="GCT1" s="184"/>
      <c r="GCU1" s="184"/>
      <c r="GCV1" s="184"/>
      <c r="GCW1" s="184"/>
      <c r="GCX1" s="184"/>
      <c r="GCY1" s="184"/>
      <c r="GCZ1" s="184"/>
      <c r="GDA1" s="184"/>
      <c r="GDB1" s="184"/>
      <c r="GDC1" s="184"/>
      <c r="GDD1" s="184"/>
      <c r="GDE1" s="184"/>
      <c r="GDF1" s="184"/>
      <c r="GDG1" s="184"/>
      <c r="GDH1" s="184"/>
      <c r="GDI1" s="184"/>
      <c r="GDJ1" s="184"/>
      <c r="GDK1" s="184"/>
      <c r="GDL1" s="184"/>
      <c r="GDM1" s="184"/>
      <c r="GDN1" s="184"/>
      <c r="GDO1" s="184"/>
      <c r="GDP1" s="184"/>
      <c r="GDQ1" s="184"/>
      <c r="GDR1" s="184"/>
      <c r="GDS1" s="184"/>
      <c r="GDT1" s="184"/>
      <c r="GDU1" s="184"/>
      <c r="GDV1" s="184"/>
      <c r="GDW1" s="184"/>
      <c r="GDX1" s="184"/>
      <c r="GDY1" s="184"/>
      <c r="GDZ1" s="184"/>
      <c r="GEA1" s="184"/>
      <c r="GEB1" s="184"/>
      <c r="GEC1" s="184"/>
      <c r="GED1" s="184"/>
      <c r="GEE1" s="184"/>
      <c r="GEF1" s="184"/>
      <c r="GEG1" s="184"/>
      <c r="GEH1" s="184"/>
      <c r="GEI1" s="184"/>
      <c r="GEJ1" s="184"/>
      <c r="GEK1" s="184"/>
      <c r="GEL1" s="184"/>
      <c r="GEM1" s="184"/>
      <c r="GEN1" s="184"/>
      <c r="GEO1" s="184"/>
      <c r="GEP1" s="184"/>
      <c r="GEQ1" s="184"/>
      <c r="GER1" s="184"/>
      <c r="GES1" s="184"/>
      <c r="GET1" s="184"/>
      <c r="GEU1" s="184"/>
      <c r="GEV1" s="184"/>
      <c r="GEW1" s="184"/>
      <c r="GEX1" s="184"/>
      <c r="GEY1" s="184"/>
      <c r="GEZ1" s="184"/>
      <c r="GFA1" s="184"/>
      <c r="GFB1" s="184"/>
      <c r="GFC1" s="184"/>
      <c r="GFD1" s="184"/>
      <c r="GFE1" s="184"/>
      <c r="GFF1" s="184"/>
      <c r="GFG1" s="184"/>
      <c r="GFH1" s="184"/>
      <c r="GFI1" s="184"/>
      <c r="GFJ1" s="184"/>
      <c r="GFK1" s="184"/>
      <c r="GFL1" s="184"/>
      <c r="GFM1" s="184"/>
      <c r="GFN1" s="184"/>
      <c r="GFO1" s="184"/>
      <c r="GFP1" s="184"/>
      <c r="GFQ1" s="184"/>
      <c r="GFR1" s="184"/>
      <c r="GFS1" s="184"/>
      <c r="GFT1" s="184"/>
      <c r="GFU1" s="184"/>
      <c r="GFV1" s="184"/>
      <c r="GFW1" s="184"/>
      <c r="GFX1" s="184"/>
      <c r="GFY1" s="184"/>
      <c r="GFZ1" s="184"/>
      <c r="GGA1" s="184"/>
      <c r="GGB1" s="184"/>
      <c r="GGC1" s="184"/>
      <c r="GGD1" s="184"/>
      <c r="GGE1" s="184"/>
      <c r="GGF1" s="184"/>
      <c r="GGG1" s="184"/>
      <c r="GGH1" s="184"/>
      <c r="GGI1" s="184"/>
      <c r="GGJ1" s="184"/>
      <c r="GGK1" s="184"/>
      <c r="GGL1" s="184"/>
      <c r="GGM1" s="184"/>
      <c r="GGN1" s="184"/>
      <c r="GGO1" s="184"/>
      <c r="GGP1" s="184"/>
      <c r="GGQ1" s="184"/>
      <c r="GGR1" s="184"/>
      <c r="GGS1" s="184"/>
      <c r="GGT1" s="184"/>
      <c r="GGU1" s="184"/>
      <c r="GGV1" s="184"/>
      <c r="GGW1" s="184"/>
      <c r="GGX1" s="184"/>
      <c r="GGY1" s="184"/>
      <c r="GGZ1" s="184"/>
      <c r="GHA1" s="184"/>
      <c r="GHB1" s="184"/>
      <c r="GHC1" s="184"/>
      <c r="GHD1" s="184"/>
      <c r="GHE1" s="184"/>
      <c r="GHF1" s="184"/>
      <c r="GHG1" s="184"/>
      <c r="GHH1" s="184"/>
      <c r="GHI1" s="184"/>
      <c r="GHJ1" s="184"/>
      <c r="GHK1" s="184"/>
      <c r="GHL1" s="184"/>
      <c r="GHM1" s="184"/>
      <c r="GHN1" s="184"/>
      <c r="GHO1" s="184"/>
      <c r="GHP1" s="184"/>
      <c r="GHQ1" s="184"/>
      <c r="GHR1" s="184"/>
      <c r="GHS1" s="184"/>
      <c r="GHT1" s="184"/>
      <c r="GHU1" s="184"/>
      <c r="GHV1" s="184"/>
      <c r="GHW1" s="184"/>
      <c r="GHX1" s="184"/>
      <c r="GHY1" s="184"/>
      <c r="GHZ1" s="184"/>
      <c r="GIA1" s="184"/>
      <c r="GIB1" s="184"/>
      <c r="GIC1" s="184"/>
      <c r="GID1" s="184"/>
      <c r="GIE1" s="184"/>
      <c r="GIF1" s="184"/>
      <c r="GIG1" s="184"/>
      <c r="GIH1" s="184"/>
      <c r="GII1" s="184"/>
      <c r="GIJ1" s="184"/>
      <c r="GIK1" s="184"/>
      <c r="GIL1" s="184"/>
      <c r="GIM1" s="184"/>
      <c r="GIN1" s="184"/>
      <c r="GIO1" s="184"/>
      <c r="GIP1" s="184"/>
      <c r="GIQ1" s="184"/>
      <c r="GIR1" s="184"/>
      <c r="GIS1" s="184"/>
      <c r="GIT1" s="184"/>
      <c r="GIU1" s="184"/>
      <c r="GIV1" s="184"/>
      <c r="GIW1" s="184"/>
      <c r="GIX1" s="184"/>
      <c r="GIY1" s="184"/>
      <c r="GIZ1" s="184"/>
      <c r="GJA1" s="184"/>
      <c r="GJB1" s="184"/>
      <c r="GJC1" s="184"/>
      <c r="GJD1" s="184"/>
      <c r="GJE1" s="184"/>
      <c r="GJF1" s="184"/>
      <c r="GJG1" s="184"/>
      <c r="GJH1" s="184"/>
      <c r="GJI1" s="184"/>
      <c r="GJJ1" s="184"/>
      <c r="GJK1" s="184"/>
      <c r="GJL1" s="184"/>
      <c r="GJM1" s="184"/>
      <c r="GJN1" s="184"/>
      <c r="GJO1" s="184"/>
      <c r="GJP1" s="184"/>
      <c r="GJQ1" s="184"/>
      <c r="GJR1" s="184"/>
      <c r="GJS1" s="184"/>
      <c r="GJT1" s="184"/>
      <c r="GJU1" s="184"/>
      <c r="GJV1" s="184"/>
      <c r="GJW1" s="184"/>
      <c r="GJX1" s="184"/>
      <c r="GJY1" s="184"/>
      <c r="GJZ1" s="184"/>
      <c r="GKA1" s="184"/>
      <c r="GKB1" s="184"/>
      <c r="GKC1" s="184"/>
      <c r="GKD1" s="184"/>
      <c r="GKE1" s="184"/>
      <c r="GKF1" s="184"/>
      <c r="GKG1" s="184"/>
      <c r="GKH1" s="184"/>
      <c r="GKI1" s="184"/>
      <c r="GKJ1" s="184"/>
      <c r="GKK1" s="184"/>
      <c r="GKL1" s="184"/>
      <c r="GKM1" s="184"/>
      <c r="GKN1" s="184"/>
      <c r="GKO1" s="184"/>
      <c r="GKP1" s="184"/>
      <c r="GKQ1" s="184"/>
      <c r="GKR1" s="184"/>
      <c r="GKS1" s="184"/>
      <c r="GKT1" s="184"/>
      <c r="GKU1" s="184"/>
      <c r="GKV1" s="184"/>
      <c r="GKW1" s="184"/>
      <c r="GKX1" s="184"/>
      <c r="GKY1" s="184"/>
      <c r="GKZ1" s="184"/>
      <c r="GLA1" s="184"/>
      <c r="GLB1" s="184"/>
      <c r="GLC1" s="184"/>
      <c r="GLD1" s="184"/>
      <c r="GLE1" s="184"/>
      <c r="GLF1" s="184"/>
      <c r="GLG1" s="184"/>
      <c r="GLH1" s="184"/>
      <c r="GLI1" s="184"/>
      <c r="GLJ1" s="184"/>
      <c r="GLK1" s="184"/>
      <c r="GLL1" s="184"/>
      <c r="GLM1" s="184"/>
      <c r="GLN1" s="184"/>
      <c r="GLO1" s="184"/>
      <c r="GLP1" s="184"/>
      <c r="GLQ1" s="184"/>
      <c r="GLR1" s="184"/>
      <c r="GLS1" s="184"/>
      <c r="GLT1" s="184"/>
      <c r="GLU1" s="184"/>
      <c r="GLV1" s="184"/>
      <c r="GLW1" s="184"/>
      <c r="GLX1" s="184"/>
      <c r="GLY1" s="184"/>
      <c r="GLZ1" s="184"/>
      <c r="GMA1" s="184"/>
      <c r="GMB1" s="184"/>
      <c r="GMC1" s="184"/>
      <c r="GMD1" s="184"/>
      <c r="GME1" s="184"/>
      <c r="GMF1" s="184"/>
      <c r="GMG1" s="184"/>
      <c r="GMH1" s="184"/>
      <c r="GMI1" s="184"/>
      <c r="GMJ1" s="184"/>
      <c r="GMK1" s="184"/>
      <c r="GML1" s="184"/>
      <c r="GMM1" s="184"/>
      <c r="GMN1" s="184"/>
      <c r="GMO1" s="184"/>
      <c r="GMP1" s="184"/>
      <c r="GMQ1" s="184"/>
      <c r="GMR1" s="184"/>
      <c r="GMS1" s="184"/>
      <c r="GMT1" s="184"/>
      <c r="GMU1" s="184"/>
      <c r="GMV1" s="184"/>
      <c r="GMW1" s="184"/>
      <c r="GMX1" s="184"/>
      <c r="GMY1" s="184"/>
      <c r="GMZ1" s="184"/>
      <c r="GNA1" s="184"/>
      <c r="GNB1" s="184"/>
      <c r="GNC1" s="184"/>
      <c r="GND1" s="184"/>
      <c r="GNE1" s="184"/>
      <c r="GNF1" s="184"/>
      <c r="GNG1" s="184"/>
      <c r="GNH1" s="184"/>
      <c r="GNI1" s="184"/>
      <c r="GNJ1" s="184"/>
      <c r="GNK1" s="184"/>
      <c r="GNL1" s="184"/>
      <c r="GNM1" s="184"/>
      <c r="GNN1" s="184"/>
      <c r="GNO1" s="184"/>
      <c r="GNP1" s="184"/>
      <c r="GNQ1" s="184"/>
      <c r="GNR1" s="184"/>
      <c r="GNS1" s="184"/>
      <c r="GNT1" s="184"/>
      <c r="GNU1" s="184"/>
      <c r="GNV1" s="184"/>
      <c r="GNW1" s="184"/>
      <c r="GNX1" s="184"/>
      <c r="GNY1" s="184"/>
      <c r="GNZ1" s="184"/>
      <c r="GOA1" s="184"/>
      <c r="GOB1" s="184"/>
      <c r="GOC1" s="184"/>
      <c r="GOD1" s="184"/>
      <c r="GOE1" s="184"/>
      <c r="GOF1" s="184"/>
      <c r="GOG1" s="184"/>
      <c r="GOH1" s="184"/>
      <c r="GOI1" s="184"/>
      <c r="GOJ1" s="184"/>
      <c r="GOK1" s="184"/>
      <c r="GOL1" s="184"/>
      <c r="GOM1" s="184"/>
      <c r="GON1" s="184"/>
      <c r="GOO1" s="184"/>
      <c r="GOP1" s="184"/>
      <c r="GOQ1" s="184"/>
      <c r="GOR1" s="184"/>
      <c r="GOS1" s="184"/>
      <c r="GOT1" s="184"/>
      <c r="GOU1" s="184"/>
      <c r="GOV1" s="184"/>
      <c r="GOW1" s="184"/>
      <c r="GOX1" s="184"/>
      <c r="GOY1" s="184"/>
      <c r="GOZ1" s="184"/>
      <c r="GPA1" s="184"/>
      <c r="GPB1" s="184"/>
      <c r="GPC1" s="184"/>
      <c r="GPD1" s="184"/>
      <c r="GPE1" s="184"/>
      <c r="GPF1" s="184"/>
      <c r="GPG1" s="184"/>
      <c r="GPH1" s="184"/>
      <c r="GPI1" s="184"/>
      <c r="GPJ1" s="184"/>
      <c r="GPK1" s="184"/>
      <c r="GPL1" s="184"/>
      <c r="GPM1" s="184"/>
      <c r="GPN1" s="184"/>
      <c r="GPO1" s="184"/>
      <c r="GPP1" s="184"/>
      <c r="GPQ1" s="184"/>
      <c r="GPR1" s="184"/>
      <c r="GPS1" s="184"/>
      <c r="GPT1" s="184"/>
      <c r="GPU1" s="184"/>
      <c r="GPV1" s="184"/>
      <c r="GPW1" s="184"/>
      <c r="GPX1" s="184"/>
      <c r="GPY1" s="184"/>
      <c r="GPZ1" s="184"/>
      <c r="GQA1" s="184"/>
      <c r="GQB1" s="184"/>
      <c r="GQC1" s="184"/>
      <c r="GQD1" s="184"/>
      <c r="GQE1" s="184"/>
      <c r="GQF1" s="184"/>
      <c r="GQG1" s="184"/>
      <c r="GQH1" s="184"/>
      <c r="GQI1" s="184"/>
      <c r="GQJ1" s="184"/>
      <c r="GQK1" s="184"/>
      <c r="GQL1" s="184"/>
      <c r="GQM1" s="184"/>
      <c r="GQN1" s="184"/>
      <c r="GQO1" s="184"/>
      <c r="GQP1" s="184"/>
      <c r="GQQ1" s="184"/>
      <c r="GQR1" s="184"/>
      <c r="GQS1" s="184"/>
      <c r="GQT1" s="184"/>
      <c r="GQU1" s="184"/>
      <c r="GQV1" s="184"/>
      <c r="GQW1" s="184"/>
      <c r="GQX1" s="184"/>
      <c r="GQY1" s="184"/>
      <c r="GQZ1" s="184"/>
      <c r="GRA1" s="184"/>
      <c r="GRB1" s="184"/>
      <c r="GRC1" s="184"/>
      <c r="GRD1" s="184"/>
      <c r="GRE1" s="184"/>
      <c r="GRF1" s="184"/>
      <c r="GRG1" s="184"/>
      <c r="GRH1" s="184"/>
      <c r="GRI1" s="184"/>
      <c r="GRJ1" s="184"/>
      <c r="GRK1" s="184"/>
      <c r="GRL1" s="184"/>
      <c r="GRM1" s="184"/>
      <c r="GRN1" s="184"/>
      <c r="GRO1" s="184"/>
      <c r="GRP1" s="184"/>
      <c r="GRQ1" s="184"/>
      <c r="GRR1" s="184"/>
      <c r="GRS1" s="184"/>
      <c r="GRT1" s="184"/>
      <c r="GRU1" s="184"/>
      <c r="GRV1" s="184"/>
      <c r="GRW1" s="184"/>
      <c r="GRX1" s="184"/>
      <c r="GRY1" s="184"/>
      <c r="GRZ1" s="184"/>
      <c r="GSA1" s="184"/>
      <c r="GSB1" s="184"/>
      <c r="GSC1" s="184"/>
      <c r="GSD1" s="184"/>
      <c r="GSE1" s="184"/>
      <c r="GSF1" s="184"/>
      <c r="GSG1" s="184"/>
      <c r="GSH1" s="184"/>
      <c r="GSI1" s="184"/>
      <c r="GSJ1" s="184"/>
      <c r="GSK1" s="184"/>
      <c r="GSL1" s="184"/>
      <c r="GSM1" s="184"/>
      <c r="GSN1" s="184"/>
      <c r="GSO1" s="184"/>
      <c r="GSP1" s="184"/>
      <c r="GSQ1" s="184"/>
      <c r="GSR1" s="184"/>
      <c r="GSS1" s="184"/>
      <c r="GST1" s="184"/>
      <c r="GSU1" s="184"/>
      <c r="GSV1" s="184"/>
      <c r="GSW1" s="184"/>
      <c r="GSX1" s="184"/>
      <c r="GSY1" s="184"/>
      <c r="GSZ1" s="184"/>
      <c r="GTA1" s="184"/>
      <c r="GTB1" s="184"/>
      <c r="GTC1" s="184"/>
      <c r="GTD1" s="184"/>
      <c r="GTE1" s="184"/>
      <c r="GTF1" s="184"/>
      <c r="GTG1" s="184"/>
      <c r="GTH1" s="184"/>
      <c r="GTI1" s="184"/>
      <c r="GTJ1" s="184"/>
      <c r="GTK1" s="184"/>
      <c r="GTL1" s="184"/>
      <c r="GTM1" s="184"/>
      <c r="GTN1" s="184"/>
      <c r="GTO1" s="184"/>
      <c r="GTP1" s="184"/>
      <c r="GTQ1" s="184"/>
      <c r="GTR1" s="184"/>
      <c r="GTS1" s="184"/>
      <c r="GTT1" s="184"/>
      <c r="GTU1" s="184"/>
      <c r="GTV1" s="184"/>
      <c r="GTW1" s="184"/>
      <c r="GTX1" s="184"/>
      <c r="GTY1" s="184"/>
      <c r="GTZ1" s="184"/>
      <c r="GUA1" s="184"/>
      <c r="GUB1" s="184"/>
      <c r="GUC1" s="184"/>
      <c r="GUD1" s="184"/>
      <c r="GUE1" s="184"/>
      <c r="GUF1" s="184"/>
      <c r="GUG1" s="184"/>
      <c r="GUH1" s="184"/>
      <c r="GUI1" s="184"/>
      <c r="GUJ1" s="184"/>
      <c r="GUK1" s="184"/>
      <c r="GUL1" s="184"/>
      <c r="GUM1" s="184"/>
      <c r="GUN1" s="184"/>
      <c r="GUO1" s="184"/>
      <c r="GUP1" s="184"/>
      <c r="GUQ1" s="184"/>
      <c r="GUR1" s="184"/>
      <c r="GUS1" s="184"/>
      <c r="GUT1" s="184"/>
      <c r="GUU1" s="184"/>
      <c r="GUV1" s="184"/>
      <c r="GUW1" s="184"/>
      <c r="GUX1" s="184"/>
      <c r="GUY1" s="184"/>
      <c r="GUZ1" s="184"/>
      <c r="GVA1" s="184"/>
      <c r="GVB1" s="184"/>
      <c r="GVC1" s="184"/>
      <c r="GVD1" s="184"/>
      <c r="GVE1" s="184"/>
      <c r="GVF1" s="184"/>
      <c r="GVG1" s="184"/>
      <c r="GVH1" s="184"/>
      <c r="GVI1" s="184"/>
      <c r="GVJ1" s="184"/>
      <c r="GVK1" s="184"/>
      <c r="GVL1" s="184"/>
      <c r="GVM1" s="184"/>
      <c r="GVN1" s="184"/>
      <c r="GVO1" s="184"/>
      <c r="GVP1" s="184"/>
      <c r="GVQ1" s="184"/>
      <c r="GVR1" s="184"/>
      <c r="GVS1" s="184"/>
      <c r="GVT1" s="184"/>
      <c r="GVU1" s="184"/>
      <c r="GVV1" s="184"/>
      <c r="GVW1" s="184"/>
      <c r="GVX1" s="184"/>
      <c r="GVY1" s="184"/>
      <c r="GVZ1" s="184"/>
      <c r="GWA1" s="184"/>
      <c r="GWB1" s="184"/>
      <c r="GWC1" s="184"/>
      <c r="GWD1" s="184"/>
      <c r="GWE1" s="184"/>
      <c r="GWF1" s="184"/>
      <c r="GWG1" s="184"/>
      <c r="GWH1" s="184"/>
      <c r="GWI1" s="184"/>
      <c r="GWJ1" s="184"/>
      <c r="GWK1" s="184"/>
      <c r="GWL1" s="184"/>
      <c r="GWM1" s="184"/>
      <c r="GWN1" s="184"/>
      <c r="GWO1" s="184"/>
      <c r="GWP1" s="184"/>
      <c r="GWQ1" s="184"/>
      <c r="GWR1" s="184"/>
      <c r="GWS1" s="184"/>
      <c r="GWT1" s="184"/>
      <c r="GWU1" s="184"/>
      <c r="GWV1" s="184"/>
      <c r="GWW1" s="184"/>
      <c r="GWX1" s="184"/>
      <c r="GWY1" s="184"/>
      <c r="GWZ1" s="184"/>
      <c r="GXA1" s="184"/>
      <c r="GXB1" s="184"/>
      <c r="GXC1" s="184"/>
      <c r="GXD1" s="184"/>
      <c r="GXE1" s="184"/>
      <c r="GXF1" s="184"/>
      <c r="GXG1" s="184"/>
      <c r="GXH1" s="184"/>
      <c r="GXI1" s="184"/>
      <c r="GXJ1" s="184"/>
      <c r="GXK1" s="184"/>
      <c r="GXL1" s="184"/>
      <c r="GXM1" s="184"/>
      <c r="GXN1" s="184"/>
      <c r="GXO1" s="184"/>
      <c r="GXP1" s="184"/>
      <c r="GXQ1" s="184"/>
      <c r="GXR1" s="184"/>
      <c r="GXS1" s="184"/>
      <c r="GXT1" s="184"/>
      <c r="GXU1" s="184"/>
      <c r="GXV1" s="184"/>
      <c r="GXW1" s="184"/>
      <c r="GXX1" s="184"/>
      <c r="GXY1" s="184"/>
      <c r="GXZ1" s="184"/>
      <c r="GYA1" s="184"/>
      <c r="GYB1" s="184"/>
      <c r="GYC1" s="184"/>
      <c r="GYD1" s="184"/>
      <c r="GYE1" s="184"/>
      <c r="GYF1" s="184"/>
      <c r="GYG1" s="184"/>
      <c r="GYH1" s="184"/>
      <c r="GYI1" s="184"/>
      <c r="GYJ1" s="184"/>
      <c r="GYK1" s="184"/>
      <c r="GYL1" s="184"/>
      <c r="GYM1" s="184"/>
      <c r="GYN1" s="184"/>
      <c r="GYO1" s="184"/>
      <c r="GYP1" s="184"/>
      <c r="GYQ1" s="184"/>
      <c r="GYR1" s="184"/>
      <c r="GYS1" s="184"/>
      <c r="GYT1" s="184"/>
      <c r="GYU1" s="184"/>
      <c r="GYV1" s="184"/>
      <c r="GYW1" s="184"/>
      <c r="GYX1" s="184"/>
      <c r="GYY1" s="184"/>
      <c r="GYZ1" s="184"/>
      <c r="GZA1" s="184"/>
      <c r="GZB1" s="184"/>
      <c r="GZC1" s="184"/>
      <c r="GZD1" s="184"/>
      <c r="GZE1" s="184"/>
      <c r="GZF1" s="184"/>
      <c r="GZG1" s="184"/>
      <c r="GZH1" s="184"/>
      <c r="GZI1" s="184"/>
      <c r="GZJ1" s="184"/>
      <c r="GZK1" s="184"/>
      <c r="GZL1" s="184"/>
      <c r="GZM1" s="184"/>
      <c r="GZN1" s="184"/>
      <c r="GZO1" s="184"/>
      <c r="GZP1" s="184"/>
      <c r="GZQ1" s="184"/>
      <c r="GZR1" s="184"/>
      <c r="GZS1" s="184"/>
      <c r="GZT1" s="184"/>
      <c r="GZU1" s="184"/>
      <c r="GZV1" s="184"/>
      <c r="GZW1" s="184"/>
      <c r="GZX1" s="184"/>
      <c r="GZY1" s="184"/>
      <c r="GZZ1" s="184"/>
      <c r="HAA1" s="184"/>
      <c r="HAB1" s="184"/>
      <c r="HAC1" s="184"/>
      <c r="HAD1" s="184"/>
      <c r="HAE1" s="184"/>
      <c r="HAF1" s="184"/>
      <c r="HAG1" s="184"/>
      <c r="HAH1" s="184"/>
      <c r="HAI1" s="184"/>
      <c r="HAJ1" s="184"/>
      <c r="HAK1" s="184"/>
      <c r="HAL1" s="184"/>
      <c r="HAM1" s="184"/>
      <c r="HAN1" s="184"/>
      <c r="HAO1" s="184"/>
      <c r="HAP1" s="184"/>
      <c r="HAQ1" s="184"/>
      <c r="HAR1" s="184"/>
      <c r="HAS1" s="184"/>
      <c r="HAT1" s="184"/>
      <c r="HAU1" s="184"/>
      <c r="HAV1" s="184"/>
      <c r="HAW1" s="184"/>
      <c r="HAX1" s="184"/>
      <c r="HAY1" s="184"/>
      <c r="HAZ1" s="184"/>
      <c r="HBA1" s="184"/>
      <c r="HBB1" s="184"/>
      <c r="HBC1" s="184"/>
      <c r="HBD1" s="184"/>
      <c r="HBE1" s="184"/>
      <c r="HBF1" s="184"/>
      <c r="HBG1" s="184"/>
      <c r="HBH1" s="184"/>
      <c r="HBI1" s="184"/>
      <c r="HBJ1" s="184"/>
      <c r="HBK1" s="184"/>
      <c r="HBL1" s="184"/>
      <c r="HBM1" s="184"/>
      <c r="HBN1" s="184"/>
      <c r="HBO1" s="184"/>
      <c r="HBP1" s="184"/>
      <c r="HBQ1" s="184"/>
      <c r="HBR1" s="184"/>
      <c r="HBS1" s="184"/>
      <c r="HBT1" s="184"/>
      <c r="HBU1" s="184"/>
      <c r="HBV1" s="184"/>
      <c r="HBW1" s="184"/>
      <c r="HBX1" s="184"/>
      <c r="HBY1" s="184"/>
      <c r="HBZ1" s="184"/>
      <c r="HCA1" s="184"/>
      <c r="HCB1" s="184"/>
      <c r="HCC1" s="184"/>
      <c r="HCD1" s="184"/>
      <c r="HCE1" s="184"/>
      <c r="HCF1" s="184"/>
      <c r="HCG1" s="184"/>
      <c r="HCH1" s="184"/>
      <c r="HCI1" s="184"/>
      <c r="HCJ1" s="184"/>
      <c r="HCK1" s="184"/>
      <c r="HCL1" s="184"/>
      <c r="HCM1" s="184"/>
      <c r="HCN1" s="184"/>
      <c r="HCO1" s="184"/>
      <c r="HCP1" s="184"/>
      <c r="HCQ1" s="184"/>
      <c r="HCR1" s="184"/>
      <c r="HCS1" s="184"/>
      <c r="HCT1" s="184"/>
      <c r="HCU1" s="184"/>
      <c r="HCV1" s="184"/>
      <c r="HCW1" s="184"/>
      <c r="HCX1" s="184"/>
      <c r="HCY1" s="184"/>
      <c r="HCZ1" s="184"/>
      <c r="HDA1" s="184"/>
      <c r="HDB1" s="184"/>
      <c r="HDC1" s="184"/>
      <c r="HDD1" s="184"/>
      <c r="HDE1" s="184"/>
      <c r="HDF1" s="184"/>
      <c r="HDG1" s="184"/>
      <c r="HDH1" s="184"/>
      <c r="HDI1" s="184"/>
      <c r="HDJ1" s="184"/>
      <c r="HDK1" s="184"/>
      <c r="HDL1" s="184"/>
      <c r="HDM1" s="184"/>
      <c r="HDN1" s="184"/>
      <c r="HDO1" s="184"/>
      <c r="HDP1" s="184"/>
      <c r="HDQ1" s="184"/>
      <c r="HDR1" s="184"/>
      <c r="HDS1" s="184"/>
      <c r="HDT1" s="184"/>
      <c r="HDU1" s="184"/>
      <c r="HDV1" s="184"/>
      <c r="HDW1" s="184"/>
      <c r="HDX1" s="184"/>
      <c r="HDY1" s="184"/>
      <c r="HDZ1" s="184"/>
      <c r="HEA1" s="184"/>
      <c r="HEB1" s="184"/>
      <c r="HEC1" s="184"/>
      <c r="HED1" s="184"/>
      <c r="HEE1" s="184"/>
      <c r="HEF1" s="184"/>
      <c r="HEG1" s="184"/>
      <c r="HEH1" s="184"/>
      <c r="HEI1" s="184"/>
      <c r="HEJ1" s="184"/>
      <c r="HEK1" s="184"/>
      <c r="HEL1" s="184"/>
      <c r="HEM1" s="184"/>
      <c r="HEN1" s="184"/>
      <c r="HEO1" s="184"/>
      <c r="HEP1" s="184"/>
      <c r="HEQ1" s="184"/>
      <c r="HER1" s="184"/>
      <c r="HES1" s="184"/>
      <c r="HET1" s="184"/>
      <c r="HEU1" s="184"/>
      <c r="HEV1" s="184"/>
      <c r="HEW1" s="184"/>
      <c r="HEX1" s="184"/>
      <c r="HEY1" s="184"/>
      <c r="HEZ1" s="184"/>
      <c r="HFA1" s="184"/>
      <c r="HFB1" s="184"/>
      <c r="HFC1" s="184"/>
      <c r="HFD1" s="184"/>
      <c r="HFE1" s="184"/>
      <c r="HFF1" s="184"/>
      <c r="HFG1" s="184"/>
      <c r="HFH1" s="184"/>
      <c r="HFI1" s="184"/>
      <c r="HFJ1" s="184"/>
      <c r="HFK1" s="184"/>
      <c r="HFL1" s="184"/>
      <c r="HFM1" s="184"/>
      <c r="HFN1" s="184"/>
      <c r="HFO1" s="184"/>
      <c r="HFP1" s="184"/>
      <c r="HFQ1" s="184"/>
      <c r="HFR1" s="184"/>
      <c r="HFS1" s="184"/>
      <c r="HFT1" s="184"/>
      <c r="HFU1" s="184"/>
      <c r="HFV1" s="184"/>
      <c r="HFW1" s="184"/>
      <c r="HFX1" s="184"/>
      <c r="HFY1" s="184"/>
      <c r="HFZ1" s="184"/>
      <c r="HGA1" s="184"/>
      <c r="HGB1" s="184"/>
      <c r="HGC1" s="184"/>
      <c r="HGD1" s="184"/>
      <c r="HGE1" s="184"/>
      <c r="HGF1" s="184"/>
      <c r="HGG1" s="184"/>
      <c r="HGH1" s="184"/>
      <c r="HGI1" s="184"/>
      <c r="HGJ1" s="184"/>
      <c r="HGK1" s="184"/>
      <c r="HGL1" s="184"/>
      <c r="HGM1" s="184"/>
      <c r="HGN1" s="184"/>
      <c r="HGO1" s="184"/>
      <c r="HGP1" s="184"/>
      <c r="HGQ1" s="184"/>
      <c r="HGR1" s="184"/>
      <c r="HGS1" s="184"/>
      <c r="HGT1" s="184"/>
      <c r="HGU1" s="184"/>
      <c r="HGV1" s="184"/>
      <c r="HGW1" s="184"/>
      <c r="HGX1" s="184"/>
      <c r="HGY1" s="184"/>
      <c r="HGZ1" s="184"/>
      <c r="HHA1" s="184"/>
      <c r="HHB1" s="184"/>
      <c r="HHC1" s="184"/>
      <c r="HHD1" s="184"/>
      <c r="HHE1" s="184"/>
      <c r="HHF1" s="184"/>
      <c r="HHG1" s="184"/>
      <c r="HHH1" s="184"/>
      <c r="HHI1" s="184"/>
      <c r="HHJ1" s="184"/>
      <c r="HHK1" s="184"/>
      <c r="HHL1" s="184"/>
      <c r="HHM1" s="184"/>
      <c r="HHN1" s="184"/>
      <c r="HHO1" s="184"/>
      <c r="HHP1" s="184"/>
      <c r="HHQ1" s="184"/>
      <c r="HHR1" s="184"/>
      <c r="HHS1" s="184"/>
      <c r="HHT1" s="184"/>
      <c r="HHU1" s="184"/>
      <c r="HHV1" s="184"/>
      <c r="HHW1" s="184"/>
      <c r="HHX1" s="184"/>
      <c r="HHY1" s="184"/>
      <c r="HHZ1" s="184"/>
      <c r="HIA1" s="184"/>
      <c r="HIB1" s="184"/>
      <c r="HIC1" s="184"/>
      <c r="HID1" s="184"/>
      <c r="HIE1" s="184"/>
      <c r="HIF1" s="184"/>
      <c r="HIG1" s="184"/>
      <c r="HIH1" s="184"/>
      <c r="HII1" s="184"/>
      <c r="HIJ1" s="184"/>
      <c r="HIK1" s="184"/>
      <c r="HIL1" s="184"/>
      <c r="HIM1" s="184"/>
      <c r="HIN1" s="184"/>
      <c r="HIO1" s="184"/>
      <c r="HIP1" s="184"/>
      <c r="HIQ1" s="184"/>
      <c r="HIR1" s="184"/>
      <c r="HIS1" s="184"/>
      <c r="HIT1" s="184"/>
      <c r="HIU1" s="184"/>
      <c r="HIV1" s="184"/>
      <c r="HIW1" s="184"/>
      <c r="HIX1" s="184"/>
      <c r="HIY1" s="184"/>
      <c r="HIZ1" s="184"/>
      <c r="HJA1" s="184"/>
      <c r="HJB1" s="184"/>
      <c r="HJC1" s="184"/>
      <c r="HJD1" s="184"/>
      <c r="HJE1" s="184"/>
      <c r="HJF1" s="184"/>
      <c r="HJG1" s="184"/>
      <c r="HJH1" s="184"/>
      <c r="HJI1" s="184"/>
      <c r="HJJ1" s="184"/>
      <c r="HJK1" s="184"/>
      <c r="HJL1" s="184"/>
      <c r="HJM1" s="184"/>
      <c r="HJN1" s="184"/>
      <c r="HJO1" s="184"/>
      <c r="HJP1" s="184"/>
      <c r="HJQ1" s="184"/>
      <c r="HJR1" s="184"/>
      <c r="HJS1" s="184"/>
      <c r="HJT1" s="184"/>
      <c r="HJU1" s="184"/>
      <c r="HJV1" s="184"/>
      <c r="HJW1" s="184"/>
      <c r="HJX1" s="184"/>
      <c r="HJY1" s="184"/>
      <c r="HJZ1" s="184"/>
      <c r="HKA1" s="184"/>
      <c r="HKB1" s="184"/>
      <c r="HKC1" s="184"/>
      <c r="HKD1" s="184"/>
      <c r="HKE1" s="184"/>
      <c r="HKF1" s="184"/>
      <c r="HKG1" s="184"/>
      <c r="HKH1" s="184"/>
      <c r="HKI1" s="184"/>
      <c r="HKJ1" s="184"/>
      <c r="HKK1" s="184"/>
      <c r="HKL1" s="184"/>
      <c r="HKM1" s="184"/>
      <c r="HKN1" s="184"/>
      <c r="HKO1" s="184"/>
      <c r="HKP1" s="184"/>
      <c r="HKQ1" s="184"/>
      <c r="HKR1" s="184"/>
      <c r="HKS1" s="184"/>
      <c r="HKT1" s="184"/>
      <c r="HKU1" s="184"/>
      <c r="HKV1" s="184"/>
      <c r="HKW1" s="184"/>
      <c r="HKX1" s="184"/>
      <c r="HKY1" s="184"/>
      <c r="HKZ1" s="184"/>
      <c r="HLA1" s="184"/>
      <c r="HLB1" s="184"/>
      <c r="HLC1" s="184"/>
      <c r="HLD1" s="184"/>
      <c r="HLE1" s="184"/>
      <c r="HLF1" s="184"/>
      <c r="HLG1" s="184"/>
      <c r="HLH1" s="184"/>
      <c r="HLI1" s="184"/>
      <c r="HLJ1" s="184"/>
      <c r="HLK1" s="184"/>
      <c r="HLL1" s="184"/>
      <c r="HLM1" s="184"/>
      <c r="HLN1" s="184"/>
      <c r="HLO1" s="184"/>
      <c r="HLP1" s="184"/>
      <c r="HLQ1" s="184"/>
      <c r="HLR1" s="184"/>
      <c r="HLS1" s="184"/>
      <c r="HLT1" s="184"/>
      <c r="HLU1" s="184"/>
      <c r="HLV1" s="184"/>
      <c r="HLW1" s="184"/>
      <c r="HLX1" s="184"/>
      <c r="HLY1" s="184"/>
      <c r="HLZ1" s="184"/>
      <c r="HMA1" s="184"/>
      <c r="HMB1" s="184"/>
      <c r="HMC1" s="184"/>
      <c r="HMD1" s="184"/>
      <c r="HME1" s="184"/>
      <c r="HMF1" s="184"/>
      <c r="HMG1" s="184"/>
      <c r="HMH1" s="184"/>
      <c r="HMI1" s="184"/>
      <c r="HMJ1" s="184"/>
      <c r="HMK1" s="184"/>
      <c r="HML1" s="184"/>
      <c r="HMM1" s="184"/>
      <c r="HMN1" s="184"/>
      <c r="HMO1" s="184"/>
      <c r="HMP1" s="184"/>
      <c r="HMQ1" s="184"/>
      <c r="HMR1" s="184"/>
      <c r="HMS1" s="184"/>
      <c r="HMT1" s="184"/>
      <c r="HMU1" s="184"/>
      <c r="HMV1" s="184"/>
      <c r="HMW1" s="184"/>
      <c r="HMX1" s="184"/>
      <c r="HMY1" s="184"/>
      <c r="HMZ1" s="184"/>
      <c r="HNA1" s="184"/>
      <c r="HNB1" s="184"/>
      <c r="HNC1" s="184"/>
      <c r="HND1" s="184"/>
      <c r="HNE1" s="184"/>
      <c r="HNF1" s="184"/>
      <c r="HNG1" s="184"/>
      <c r="HNH1" s="184"/>
      <c r="HNI1" s="184"/>
      <c r="HNJ1" s="184"/>
      <c r="HNK1" s="184"/>
      <c r="HNL1" s="184"/>
      <c r="HNM1" s="184"/>
      <c r="HNN1" s="184"/>
      <c r="HNO1" s="184"/>
      <c r="HNP1" s="184"/>
      <c r="HNQ1" s="184"/>
      <c r="HNR1" s="184"/>
      <c r="HNS1" s="184"/>
      <c r="HNT1" s="184"/>
      <c r="HNU1" s="184"/>
      <c r="HNV1" s="184"/>
      <c r="HNW1" s="184"/>
      <c r="HNX1" s="184"/>
      <c r="HNY1" s="184"/>
      <c r="HNZ1" s="184"/>
      <c r="HOA1" s="184"/>
      <c r="HOB1" s="184"/>
      <c r="HOC1" s="184"/>
      <c r="HOD1" s="184"/>
      <c r="HOE1" s="184"/>
      <c r="HOF1" s="184"/>
      <c r="HOG1" s="184"/>
      <c r="HOH1" s="184"/>
      <c r="HOI1" s="184"/>
      <c r="HOJ1" s="184"/>
      <c r="HOK1" s="184"/>
      <c r="HOL1" s="184"/>
      <c r="HOM1" s="184"/>
      <c r="HON1" s="184"/>
      <c r="HOO1" s="184"/>
      <c r="HOP1" s="184"/>
      <c r="HOQ1" s="184"/>
      <c r="HOR1" s="184"/>
      <c r="HOS1" s="184"/>
      <c r="HOT1" s="184"/>
      <c r="HOU1" s="184"/>
      <c r="HOV1" s="184"/>
      <c r="HOW1" s="184"/>
      <c r="HOX1" s="184"/>
      <c r="HOY1" s="184"/>
      <c r="HOZ1" s="184"/>
      <c r="HPA1" s="184"/>
      <c r="HPB1" s="184"/>
      <c r="HPC1" s="184"/>
      <c r="HPD1" s="184"/>
      <c r="HPE1" s="184"/>
      <c r="HPF1" s="184"/>
      <c r="HPG1" s="184"/>
      <c r="HPH1" s="184"/>
      <c r="HPI1" s="184"/>
      <c r="HPJ1" s="184"/>
      <c r="HPK1" s="184"/>
      <c r="HPL1" s="184"/>
      <c r="HPM1" s="184"/>
      <c r="HPN1" s="184"/>
      <c r="HPO1" s="184"/>
      <c r="HPP1" s="184"/>
      <c r="HPQ1" s="184"/>
      <c r="HPR1" s="184"/>
      <c r="HPS1" s="184"/>
      <c r="HPT1" s="184"/>
      <c r="HPU1" s="184"/>
      <c r="HPV1" s="184"/>
      <c r="HPW1" s="184"/>
      <c r="HPX1" s="184"/>
      <c r="HPY1" s="184"/>
      <c r="HPZ1" s="184"/>
      <c r="HQA1" s="184"/>
      <c r="HQB1" s="184"/>
      <c r="HQC1" s="184"/>
      <c r="HQD1" s="184"/>
      <c r="HQE1" s="184"/>
      <c r="HQF1" s="184"/>
      <c r="HQG1" s="184"/>
      <c r="HQH1" s="184"/>
      <c r="HQI1" s="184"/>
      <c r="HQJ1" s="184"/>
      <c r="HQK1" s="184"/>
      <c r="HQL1" s="184"/>
      <c r="HQM1" s="184"/>
      <c r="HQN1" s="184"/>
      <c r="HQO1" s="184"/>
      <c r="HQP1" s="184"/>
      <c r="HQQ1" s="184"/>
      <c r="HQR1" s="184"/>
      <c r="HQS1" s="184"/>
      <c r="HQT1" s="184"/>
      <c r="HQU1" s="184"/>
      <c r="HQV1" s="184"/>
      <c r="HQW1" s="184"/>
      <c r="HQX1" s="184"/>
      <c r="HQY1" s="184"/>
      <c r="HQZ1" s="184"/>
      <c r="HRA1" s="184"/>
      <c r="HRB1" s="184"/>
      <c r="HRC1" s="184"/>
      <c r="HRD1" s="184"/>
      <c r="HRE1" s="184"/>
      <c r="HRF1" s="184"/>
      <c r="HRG1" s="184"/>
      <c r="HRH1" s="184"/>
      <c r="HRI1" s="184"/>
      <c r="HRJ1" s="184"/>
      <c r="HRK1" s="184"/>
      <c r="HRL1" s="184"/>
      <c r="HRM1" s="184"/>
      <c r="HRN1" s="184"/>
      <c r="HRO1" s="184"/>
      <c r="HRP1" s="184"/>
      <c r="HRQ1" s="184"/>
      <c r="HRR1" s="184"/>
      <c r="HRS1" s="184"/>
      <c r="HRT1" s="184"/>
      <c r="HRU1" s="184"/>
      <c r="HRV1" s="184"/>
      <c r="HRW1" s="184"/>
      <c r="HRX1" s="184"/>
      <c r="HRY1" s="184"/>
      <c r="HRZ1" s="184"/>
      <c r="HSA1" s="184"/>
      <c r="HSB1" s="184"/>
      <c r="HSC1" s="184"/>
      <c r="HSD1" s="184"/>
      <c r="HSE1" s="184"/>
      <c r="HSF1" s="184"/>
      <c r="HSG1" s="184"/>
      <c r="HSH1" s="184"/>
      <c r="HSI1" s="184"/>
      <c r="HSJ1" s="184"/>
      <c r="HSK1" s="184"/>
      <c r="HSL1" s="184"/>
      <c r="HSM1" s="184"/>
      <c r="HSN1" s="184"/>
      <c r="HSO1" s="184"/>
      <c r="HSP1" s="184"/>
      <c r="HSQ1" s="184"/>
      <c r="HSR1" s="184"/>
      <c r="HSS1" s="184"/>
      <c r="HST1" s="184"/>
      <c r="HSU1" s="184"/>
      <c r="HSV1" s="184"/>
      <c r="HSW1" s="184"/>
      <c r="HSX1" s="184"/>
      <c r="HSY1" s="184"/>
      <c r="HSZ1" s="184"/>
      <c r="HTA1" s="184"/>
      <c r="HTB1" s="184"/>
      <c r="HTC1" s="184"/>
      <c r="HTD1" s="184"/>
      <c r="HTE1" s="184"/>
      <c r="HTF1" s="184"/>
      <c r="HTG1" s="184"/>
      <c r="HTH1" s="184"/>
      <c r="HTI1" s="184"/>
      <c r="HTJ1" s="184"/>
      <c r="HTK1" s="184"/>
      <c r="HTL1" s="184"/>
      <c r="HTM1" s="184"/>
      <c r="HTN1" s="184"/>
      <c r="HTO1" s="184"/>
      <c r="HTP1" s="184"/>
      <c r="HTQ1" s="184"/>
      <c r="HTR1" s="184"/>
      <c r="HTS1" s="184"/>
      <c r="HTT1" s="184"/>
      <c r="HTU1" s="184"/>
      <c r="HTV1" s="184"/>
      <c r="HTW1" s="184"/>
      <c r="HTX1" s="184"/>
      <c r="HTY1" s="184"/>
      <c r="HTZ1" s="184"/>
      <c r="HUA1" s="184"/>
      <c r="HUB1" s="184"/>
      <c r="HUC1" s="184"/>
      <c r="HUD1" s="184"/>
      <c r="HUE1" s="184"/>
      <c r="HUF1" s="184"/>
      <c r="HUG1" s="184"/>
      <c r="HUH1" s="184"/>
      <c r="HUI1" s="184"/>
      <c r="HUJ1" s="184"/>
      <c r="HUK1" s="184"/>
      <c r="HUL1" s="184"/>
      <c r="HUM1" s="184"/>
      <c r="HUN1" s="184"/>
      <c r="HUO1" s="184"/>
      <c r="HUP1" s="184"/>
      <c r="HUQ1" s="184"/>
      <c r="HUR1" s="184"/>
      <c r="HUS1" s="184"/>
      <c r="HUT1" s="184"/>
      <c r="HUU1" s="184"/>
      <c r="HUV1" s="184"/>
      <c r="HUW1" s="184"/>
      <c r="HUX1" s="184"/>
      <c r="HUY1" s="184"/>
      <c r="HUZ1" s="184"/>
      <c r="HVA1" s="184"/>
      <c r="HVB1" s="184"/>
      <c r="HVC1" s="184"/>
      <c r="HVD1" s="184"/>
      <c r="HVE1" s="184"/>
      <c r="HVF1" s="184"/>
      <c r="HVG1" s="184"/>
      <c r="HVH1" s="184"/>
      <c r="HVI1" s="184"/>
      <c r="HVJ1" s="184"/>
      <c r="HVK1" s="184"/>
      <c r="HVL1" s="184"/>
      <c r="HVM1" s="184"/>
      <c r="HVN1" s="184"/>
      <c r="HVO1" s="184"/>
      <c r="HVP1" s="184"/>
      <c r="HVQ1" s="184"/>
      <c r="HVR1" s="184"/>
      <c r="HVS1" s="184"/>
      <c r="HVT1" s="184"/>
      <c r="HVU1" s="184"/>
      <c r="HVV1" s="184"/>
      <c r="HVW1" s="184"/>
      <c r="HVX1" s="184"/>
      <c r="HVY1" s="184"/>
      <c r="HVZ1" s="184"/>
      <c r="HWA1" s="184"/>
      <c r="HWB1" s="184"/>
      <c r="HWC1" s="184"/>
      <c r="HWD1" s="184"/>
      <c r="HWE1" s="184"/>
      <c r="HWF1" s="184"/>
      <c r="HWG1" s="184"/>
      <c r="HWH1" s="184"/>
      <c r="HWI1" s="184"/>
      <c r="HWJ1" s="184"/>
      <c r="HWK1" s="184"/>
      <c r="HWL1" s="184"/>
      <c r="HWM1" s="184"/>
      <c r="HWN1" s="184"/>
      <c r="HWO1" s="184"/>
      <c r="HWP1" s="184"/>
      <c r="HWQ1" s="184"/>
      <c r="HWR1" s="184"/>
      <c r="HWS1" s="184"/>
      <c r="HWT1" s="184"/>
      <c r="HWU1" s="184"/>
      <c r="HWV1" s="184"/>
      <c r="HWW1" s="184"/>
      <c r="HWX1" s="184"/>
      <c r="HWY1" s="184"/>
      <c r="HWZ1" s="184"/>
      <c r="HXA1" s="184"/>
      <c r="HXB1" s="184"/>
      <c r="HXC1" s="184"/>
      <c r="HXD1" s="184"/>
      <c r="HXE1" s="184"/>
      <c r="HXF1" s="184"/>
      <c r="HXG1" s="184"/>
      <c r="HXH1" s="184"/>
      <c r="HXI1" s="184"/>
      <c r="HXJ1" s="184"/>
      <c r="HXK1" s="184"/>
      <c r="HXL1" s="184"/>
      <c r="HXM1" s="184"/>
      <c r="HXN1" s="184"/>
      <c r="HXO1" s="184"/>
      <c r="HXP1" s="184"/>
      <c r="HXQ1" s="184"/>
      <c r="HXR1" s="184"/>
      <c r="HXS1" s="184"/>
      <c r="HXT1" s="184"/>
      <c r="HXU1" s="184"/>
      <c r="HXV1" s="184"/>
      <c r="HXW1" s="184"/>
      <c r="HXX1" s="184"/>
      <c r="HXY1" s="184"/>
      <c r="HXZ1" s="184"/>
      <c r="HYA1" s="184"/>
      <c r="HYB1" s="184"/>
      <c r="HYC1" s="184"/>
      <c r="HYD1" s="184"/>
      <c r="HYE1" s="184"/>
      <c r="HYF1" s="184"/>
      <c r="HYG1" s="184"/>
      <c r="HYH1" s="184"/>
      <c r="HYI1" s="184"/>
      <c r="HYJ1" s="184"/>
      <c r="HYK1" s="184"/>
      <c r="HYL1" s="184"/>
      <c r="HYM1" s="184"/>
      <c r="HYN1" s="184"/>
      <c r="HYO1" s="184"/>
      <c r="HYP1" s="184"/>
      <c r="HYQ1" s="184"/>
      <c r="HYR1" s="184"/>
      <c r="HYS1" s="184"/>
      <c r="HYT1" s="184"/>
      <c r="HYU1" s="184"/>
      <c r="HYV1" s="184"/>
      <c r="HYW1" s="184"/>
      <c r="HYX1" s="184"/>
      <c r="HYY1" s="184"/>
      <c r="HYZ1" s="184"/>
      <c r="HZA1" s="184"/>
      <c r="HZB1" s="184"/>
      <c r="HZC1" s="184"/>
      <c r="HZD1" s="184"/>
      <c r="HZE1" s="184"/>
      <c r="HZF1" s="184"/>
      <c r="HZG1" s="184"/>
      <c r="HZH1" s="184"/>
      <c r="HZI1" s="184"/>
      <c r="HZJ1" s="184"/>
      <c r="HZK1" s="184"/>
      <c r="HZL1" s="184"/>
      <c r="HZM1" s="184"/>
      <c r="HZN1" s="184"/>
      <c r="HZO1" s="184"/>
      <c r="HZP1" s="184"/>
      <c r="HZQ1" s="184"/>
      <c r="HZR1" s="184"/>
      <c r="HZS1" s="184"/>
      <c r="HZT1" s="184"/>
      <c r="HZU1" s="184"/>
      <c r="HZV1" s="184"/>
      <c r="HZW1" s="184"/>
      <c r="HZX1" s="184"/>
      <c r="HZY1" s="184"/>
      <c r="HZZ1" s="184"/>
      <c r="IAA1" s="184"/>
      <c r="IAB1" s="184"/>
      <c r="IAC1" s="184"/>
      <c r="IAD1" s="184"/>
      <c r="IAE1" s="184"/>
      <c r="IAF1" s="184"/>
      <c r="IAG1" s="184"/>
      <c r="IAH1" s="184"/>
      <c r="IAI1" s="184"/>
      <c r="IAJ1" s="184"/>
      <c r="IAK1" s="184"/>
      <c r="IAL1" s="184"/>
      <c r="IAM1" s="184"/>
      <c r="IAN1" s="184"/>
      <c r="IAO1" s="184"/>
      <c r="IAP1" s="184"/>
      <c r="IAQ1" s="184"/>
      <c r="IAR1" s="184"/>
      <c r="IAS1" s="184"/>
      <c r="IAT1" s="184"/>
      <c r="IAU1" s="184"/>
      <c r="IAV1" s="184"/>
      <c r="IAW1" s="184"/>
      <c r="IAX1" s="184"/>
      <c r="IAY1" s="184"/>
      <c r="IAZ1" s="184"/>
      <c r="IBA1" s="184"/>
      <c r="IBB1" s="184"/>
      <c r="IBC1" s="184"/>
      <c r="IBD1" s="184"/>
      <c r="IBE1" s="184"/>
      <c r="IBF1" s="184"/>
      <c r="IBG1" s="184"/>
      <c r="IBH1" s="184"/>
      <c r="IBI1" s="184"/>
      <c r="IBJ1" s="184"/>
      <c r="IBK1" s="184"/>
      <c r="IBL1" s="184"/>
      <c r="IBM1" s="184"/>
      <c r="IBN1" s="184"/>
      <c r="IBO1" s="184"/>
      <c r="IBP1" s="184"/>
      <c r="IBQ1" s="184"/>
      <c r="IBR1" s="184"/>
      <c r="IBS1" s="184"/>
      <c r="IBT1" s="184"/>
      <c r="IBU1" s="184"/>
      <c r="IBV1" s="184"/>
      <c r="IBW1" s="184"/>
      <c r="IBX1" s="184"/>
      <c r="IBY1" s="184"/>
      <c r="IBZ1" s="184"/>
      <c r="ICA1" s="184"/>
      <c r="ICB1" s="184"/>
      <c r="ICC1" s="184"/>
      <c r="ICD1" s="184"/>
      <c r="ICE1" s="184"/>
      <c r="ICF1" s="184"/>
      <c r="ICG1" s="184"/>
      <c r="ICH1" s="184"/>
      <c r="ICI1" s="184"/>
      <c r="ICJ1" s="184"/>
      <c r="ICK1" s="184"/>
      <c r="ICL1" s="184"/>
      <c r="ICM1" s="184"/>
      <c r="ICN1" s="184"/>
      <c r="ICO1" s="184"/>
      <c r="ICP1" s="184"/>
      <c r="ICQ1" s="184"/>
      <c r="ICR1" s="184"/>
      <c r="ICS1" s="184"/>
      <c r="ICT1" s="184"/>
      <c r="ICU1" s="184"/>
      <c r="ICV1" s="184"/>
      <c r="ICW1" s="184"/>
      <c r="ICX1" s="184"/>
      <c r="ICY1" s="184"/>
      <c r="ICZ1" s="184"/>
      <c r="IDA1" s="184"/>
      <c r="IDB1" s="184"/>
      <c r="IDC1" s="184"/>
      <c r="IDD1" s="184"/>
      <c r="IDE1" s="184"/>
      <c r="IDF1" s="184"/>
      <c r="IDG1" s="184"/>
      <c r="IDH1" s="184"/>
      <c r="IDI1" s="184"/>
      <c r="IDJ1" s="184"/>
      <c r="IDK1" s="184"/>
      <c r="IDL1" s="184"/>
      <c r="IDM1" s="184"/>
      <c r="IDN1" s="184"/>
      <c r="IDO1" s="184"/>
      <c r="IDP1" s="184"/>
      <c r="IDQ1" s="184"/>
      <c r="IDR1" s="184"/>
      <c r="IDS1" s="184"/>
      <c r="IDT1" s="184"/>
      <c r="IDU1" s="184"/>
      <c r="IDV1" s="184"/>
      <c r="IDW1" s="184"/>
      <c r="IDX1" s="184"/>
      <c r="IDY1" s="184"/>
      <c r="IDZ1" s="184"/>
      <c r="IEA1" s="184"/>
      <c r="IEB1" s="184"/>
      <c r="IEC1" s="184"/>
      <c r="IED1" s="184"/>
      <c r="IEE1" s="184"/>
      <c r="IEF1" s="184"/>
      <c r="IEG1" s="184"/>
      <c r="IEH1" s="184"/>
      <c r="IEI1" s="184"/>
      <c r="IEJ1" s="184"/>
      <c r="IEK1" s="184"/>
      <c r="IEL1" s="184"/>
      <c r="IEM1" s="184"/>
      <c r="IEN1" s="184"/>
      <c r="IEO1" s="184"/>
      <c r="IEP1" s="184"/>
      <c r="IEQ1" s="184"/>
      <c r="IER1" s="184"/>
      <c r="IES1" s="184"/>
      <c r="IET1" s="184"/>
      <c r="IEU1" s="184"/>
      <c r="IEV1" s="184"/>
      <c r="IEW1" s="184"/>
      <c r="IEX1" s="184"/>
      <c r="IEY1" s="184"/>
      <c r="IEZ1" s="184"/>
      <c r="IFA1" s="184"/>
      <c r="IFB1" s="184"/>
      <c r="IFC1" s="184"/>
      <c r="IFD1" s="184"/>
      <c r="IFE1" s="184"/>
      <c r="IFF1" s="184"/>
      <c r="IFG1" s="184"/>
      <c r="IFH1" s="184"/>
      <c r="IFI1" s="184"/>
      <c r="IFJ1" s="184"/>
      <c r="IFK1" s="184"/>
      <c r="IFL1" s="184"/>
      <c r="IFM1" s="184"/>
      <c r="IFN1" s="184"/>
      <c r="IFO1" s="184"/>
      <c r="IFP1" s="184"/>
      <c r="IFQ1" s="184"/>
      <c r="IFR1" s="184"/>
      <c r="IFS1" s="184"/>
      <c r="IFT1" s="184"/>
      <c r="IFU1" s="184"/>
      <c r="IFV1" s="184"/>
      <c r="IFW1" s="184"/>
      <c r="IFX1" s="184"/>
      <c r="IFY1" s="184"/>
      <c r="IFZ1" s="184"/>
      <c r="IGA1" s="184"/>
      <c r="IGB1" s="184"/>
      <c r="IGC1" s="184"/>
      <c r="IGD1" s="184"/>
      <c r="IGE1" s="184"/>
      <c r="IGF1" s="184"/>
      <c r="IGG1" s="184"/>
      <c r="IGH1" s="184"/>
      <c r="IGI1" s="184"/>
      <c r="IGJ1" s="184"/>
      <c r="IGK1" s="184"/>
      <c r="IGL1" s="184"/>
      <c r="IGM1" s="184"/>
      <c r="IGN1" s="184"/>
      <c r="IGO1" s="184"/>
      <c r="IGP1" s="184"/>
      <c r="IGQ1" s="184"/>
      <c r="IGR1" s="184"/>
      <c r="IGS1" s="184"/>
      <c r="IGT1" s="184"/>
      <c r="IGU1" s="184"/>
      <c r="IGV1" s="184"/>
      <c r="IGW1" s="184"/>
      <c r="IGX1" s="184"/>
      <c r="IGY1" s="184"/>
      <c r="IGZ1" s="184"/>
      <c r="IHA1" s="184"/>
      <c r="IHB1" s="184"/>
      <c r="IHC1" s="184"/>
      <c r="IHD1" s="184"/>
      <c r="IHE1" s="184"/>
      <c r="IHF1" s="184"/>
      <c r="IHG1" s="184"/>
      <c r="IHH1" s="184"/>
      <c r="IHI1" s="184"/>
      <c r="IHJ1" s="184"/>
      <c r="IHK1" s="184"/>
      <c r="IHL1" s="184"/>
      <c r="IHM1" s="184"/>
      <c r="IHN1" s="184"/>
      <c r="IHO1" s="184"/>
      <c r="IHP1" s="184"/>
      <c r="IHQ1" s="184"/>
      <c r="IHR1" s="184"/>
      <c r="IHS1" s="184"/>
      <c r="IHT1" s="184"/>
      <c r="IHU1" s="184"/>
      <c r="IHV1" s="184"/>
      <c r="IHW1" s="184"/>
      <c r="IHX1" s="184"/>
      <c r="IHY1" s="184"/>
      <c r="IHZ1" s="184"/>
      <c r="IIA1" s="184"/>
      <c r="IIB1" s="184"/>
      <c r="IIC1" s="184"/>
      <c r="IID1" s="184"/>
      <c r="IIE1" s="184"/>
      <c r="IIF1" s="184"/>
      <c r="IIG1" s="184"/>
      <c r="IIH1" s="184"/>
      <c r="III1" s="184"/>
      <c r="IIJ1" s="184"/>
      <c r="IIK1" s="184"/>
      <c r="IIL1" s="184"/>
      <c r="IIM1" s="184"/>
      <c r="IIN1" s="184"/>
      <c r="IIO1" s="184"/>
      <c r="IIP1" s="184"/>
      <c r="IIQ1" s="184"/>
      <c r="IIR1" s="184"/>
      <c r="IIS1" s="184"/>
      <c r="IIT1" s="184"/>
      <c r="IIU1" s="184"/>
      <c r="IIV1" s="184"/>
      <c r="IIW1" s="184"/>
      <c r="IIX1" s="184"/>
      <c r="IIY1" s="184"/>
      <c r="IIZ1" s="184"/>
      <c r="IJA1" s="184"/>
      <c r="IJB1" s="184"/>
      <c r="IJC1" s="184"/>
      <c r="IJD1" s="184"/>
      <c r="IJE1" s="184"/>
      <c r="IJF1" s="184"/>
      <c r="IJG1" s="184"/>
      <c r="IJH1" s="184"/>
      <c r="IJI1" s="184"/>
      <c r="IJJ1" s="184"/>
      <c r="IJK1" s="184"/>
      <c r="IJL1" s="184"/>
      <c r="IJM1" s="184"/>
      <c r="IJN1" s="184"/>
      <c r="IJO1" s="184"/>
      <c r="IJP1" s="184"/>
      <c r="IJQ1" s="184"/>
      <c r="IJR1" s="184"/>
      <c r="IJS1" s="184"/>
      <c r="IJT1" s="184"/>
      <c r="IJU1" s="184"/>
      <c r="IJV1" s="184"/>
      <c r="IJW1" s="184"/>
      <c r="IJX1" s="184"/>
      <c r="IJY1" s="184"/>
      <c r="IJZ1" s="184"/>
      <c r="IKA1" s="184"/>
      <c r="IKB1" s="184"/>
      <c r="IKC1" s="184"/>
      <c r="IKD1" s="184"/>
      <c r="IKE1" s="184"/>
      <c r="IKF1" s="184"/>
      <c r="IKG1" s="184"/>
      <c r="IKH1" s="184"/>
      <c r="IKI1" s="184"/>
      <c r="IKJ1" s="184"/>
      <c r="IKK1" s="184"/>
      <c r="IKL1" s="184"/>
      <c r="IKM1" s="184"/>
      <c r="IKN1" s="184"/>
      <c r="IKO1" s="184"/>
      <c r="IKP1" s="184"/>
      <c r="IKQ1" s="184"/>
      <c r="IKR1" s="184"/>
      <c r="IKS1" s="184"/>
      <c r="IKT1" s="184"/>
      <c r="IKU1" s="184"/>
      <c r="IKV1" s="184"/>
      <c r="IKW1" s="184"/>
      <c r="IKX1" s="184"/>
      <c r="IKY1" s="184"/>
      <c r="IKZ1" s="184"/>
      <c r="ILA1" s="184"/>
      <c r="ILB1" s="184"/>
      <c r="ILC1" s="184"/>
      <c r="ILD1" s="184"/>
      <c r="ILE1" s="184"/>
      <c r="ILF1" s="184"/>
      <c r="ILG1" s="184"/>
      <c r="ILH1" s="184"/>
      <c r="ILI1" s="184"/>
      <c r="ILJ1" s="184"/>
      <c r="ILK1" s="184"/>
      <c r="ILL1" s="184"/>
      <c r="ILM1" s="184"/>
      <c r="ILN1" s="184"/>
      <c r="ILO1" s="184"/>
      <c r="ILP1" s="184"/>
      <c r="ILQ1" s="184"/>
      <c r="ILR1" s="184"/>
      <c r="ILS1" s="184"/>
      <c r="ILT1" s="184"/>
      <c r="ILU1" s="184"/>
      <c r="ILV1" s="184"/>
      <c r="ILW1" s="184"/>
      <c r="ILX1" s="184"/>
      <c r="ILY1" s="184"/>
      <c r="ILZ1" s="184"/>
      <c r="IMA1" s="184"/>
      <c r="IMB1" s="184"/>
      <c r="IMC1" s="184"/>
      <c r="IMD1" s="184"/>
      <c r="IME1" s="184"/>
      <c r="IMF1" s="184"/>
      <c r="IMG1" s="184"/>
      <c r="IMH1" s="184"/>
      <c r="IMI1" s="184"/>
      <c r="IMJ1" s="184"/>
      <c r="IMK1" s="184"/>
      <c r="IML1" s="184"/>
      <c r="IMM1" s="184"/>
      <c r="IMN1" s="184"/>
      <c r="IMO1" s="184"/>
      <c r="IMP1" s="184"/>
      <c r="IMQ1" s="184"/>
      <c r="IMR1" s="184"/>
      <c r="IMS1" s="184"/>
      <c r="IMT1" s="184"/>
      <c r="IMU1" s="184"/>
      <c r="IMV1" s="184"/>
      <c r="IMW1" s="184"/>
      <c r="IMX1" s="184"/>
      <c r="IMY1" s="184"/>
      <c r="IMZ1" s="184"/>
      <c r="INA1" s="184"/>
      <c r="INB1" s="184"/>
      <c r="INC1" s="184"/>
      <c r="IND1" s="184"/>
      <c r="INE1" s="184"/>
      <c r="INF1" s="184"/>
      <c r="ING1" s="184"/>
      <c r="INH1" s="184"/>
      <c r="INI1" s="184"/>
      <c r="INJ1" s="184"/>
      <c r="INK1" s="184"/>
      <c r="INL1" s="184"/>
      <c r="INM1" s="184"/>
      <c r="INN1" s="184"/>
      <c r="INO1" s="184"/>
      <c r="INP1" s="184"/>
      <c r="INQ1" s="184"/>
      <c r="INR1" s="184"/>
      <c r="INS1" s="184"/>
      <c r="INT1" s="184"/>
      <c r="INU1" s="184"/>
      <c r="INV1" s="184"/>
      <c r="INW1" s="184"/>
      <c r="INX1" s="184"/>
      <c r="INY1" s="184"/>
      <c r="INZ1" s="184"/>
      <c r="IOA1" s="184"/>
      <c r="IOB1" s="184"/>
      <c r="IOC1" s="184"/>
      <c r="IOD1" s="184"/>
      <c r="IOE1" s="184"/>
      <c r="IOF1" s="184"/>
      <c r="IOG1" s="184"/>
      <c r="IOH1" s="184"/>
      <c r="IOI1" s="184"/>
      <c r="IOJ1" s="184"/>
      <c r="IOK1" s="184"/>
      <c r="IOL1" s="184"/>
      <c r="IOM1" s="184"/>
      <c r="ION1" s="184"/>
      <c r="IOO1" s="184"/>
      <c r="IOP1" s="184"/>
      <c r="IOQ1" s="184"/>
      <c r="IOR1" s="184"/>
      <c r="IOS1" s="184"/>
      <c r="IOT1" s="184"/>
      <c r="IOU1" s="184"/>
      <c r="IOV1" s="184"/>
      <c r="IOW1" s="184"/>
      <c r="IOX1" s="184"/>
      <c r="IOY1" s="184"/>
      <c r="IOZ1" s="184"/>
      <c r="IPA1" s="184"/>
      <c r="IPB1" s="184"/>
      <c r="IPC1" s="184"/>
      <c r="IPD1" s="184"/>
      <c r="IPE1" s="184"/>
      <c r="IPF1" s="184"/>
      <c r="IPG1" s="184"/>
      <c r="IPH1" s="184"/>
      <c r="IPI1" s="184"/>
      <c r="IPJ1" s="184"/>
      <c r="IPK1" s="184"/>
      <c r="IPL1" s="184"/>
      <c r="IPM1" s="184"/>
      <c r="IPN1" s="184"/>
      <c r="IPO1" s="184"/>
      <c r="IPP1" s="184"/>
      <c r="IPQ1" s="184"/>
      <c r="IPR1" s="184"/>
      <c r="IPS1" s="184"/>
      <c r="IPT1" s="184"/>
      <c r="IPU1" s="184"/>
      <c r="IPV1" s="184"/>
      <c r="IPW1" s="184"/>
      <c r="IPX1" s="184"/>
      <c r="IPY1" s="184"/>
      <c r="IPZ1" s="184"/>
      <c r="IQA1" s="184"/>
      <c r="IQB1" s="184"/>
      <c r="IQC1" s="184"/>
      <c r="IQD1" s="184"/>
      <c r="IQE1" s="184"/>
      <c r="IQF1" s="184"/>
      <c r="IQG1" s="184"/>
      <c r="IQH1" s="184"/>
      <c r="IQI1" s="184"/>
      <c r="IQJ1" s="184"/>
      <c r="IQK1" s="184"/>
      <c r="IQL1" s="184"/>
      <c r="IQM1" s="184"/>
      <c r="IQN1" s="184"/>
      <c r="IQO1" s="184"/>
      <c r="IQP1" s="184"/>
      <c r="IQQ1" s="184"/>
      <c r="IQR1" s="184"/>
      <c r="IQS1" s="184"/>
      <c r="IQT1" s="184"/>
      <c r="IQU1" s="184"/>
      <c r="IQV1" s="184"/>
      <c r="IQW1" s="184"/>
      <c r="IQX1" s="184"/>
      <c r="IQY1" s="184"/>
      <c r="IQZ1" s="184"/>
      <c r="IRA1" s="184"/>
      <c r="IRB1" s="184"/>
      <c r="IRC1" s="184"/>
      <c r="IRD1" s="184"/>
      <c r="IRE1" s="184"/>
      <c r="IRF1" s="184"/>
      <c r="IRG1" s="184"/>
      <c r="IRH1" s="184"/>
      <c r="IRI1" s="184"/>
      <c r="IRJ1" s="184"/>
      <c r="IRK1" s="184"/>
      <c r="IRL1" s="184"/>
      <c r="IRM1" s="184"/>
      <c r="IRN1" s="184"/>
      <c r="IRO1" s="184"/>
      <c r="IRP1" s="184"/>
      <c r="IRQ1" s="184"/>
      <c r="IRR1" s="184"/>
      <c r="IRS1" s="184"/>
      <c r="IRT1" s="184"/>
      <c r="IRU1" s="184"/>
      <c r="IRV1" s="184"/>
      <c r="IRW1" s="184"/>
      <c r="IRX1" s="184"/>
      <c r="IRY1" s="184"/>
      <c r="IRZ1" s="184"/>
      <c r="ISA1" s="184"/>
      <c r="ISB1" s="184"/>
      <c r="ISC1" s="184"/>
      <c r="ISD1" s="184"/>
      <c r="ISE1" s="184"/>
      <c r="ISF1" s="184"/>
      <c r="ISG1" s="184"/>
      <c r="ISH1" s="184"/>
      <c r="ISI1" s="184"/>
      <c r="ISJ1" s="184"/>
      <c r="ISK1" s="184"/>
      <c r="ISL1" s="184"/>
      <c r="ISM1" s="184"/>
      <c r="ISN1" s="184"/>
      <c r="ISO1" s="184"/>
      <c r="ISP1" s="184"/>
      <c r="ISQ1" s="184"/>
      <c r="ISR1" s="184"/>
      <c r="ISS1" s="184"/>
      <c r="IST1" s="184"/>
      <c r="ISU1" s="184"/>
      <c r="ISV1" s="184"/>
      <c r="ISW1" s="184"/>
      <c r="ISX1" s="184"/>
      <c r="ISY1" s="184"/>
      <c r="ISZ1" s="184"/>
      <c r="ITA1" s="184"/>
      <c r="ITB1" s="184"/>
      <c r="ITC1" s="184"/>
      <c r="ITD1" s="184"/>
      <c r="ITE1" s="184"/>
      <c r="ITF1" s="184"/>
      <c r="ITG1" s="184"/>
      <c r="ITH1" s="184"/>
      <c r="ITI1" s="184"/>
      <c r="ITJ1" s="184"/>
      <c r="ITK1" s="184"/>
      <c r="ITL1" s="184"/>
      <c r="ITM1" s="184"/>
      <c r="ITN1" s="184"/>
      <c r="ITO1" s="184"/>
      <c r="ITP1" s="184"/>
      <c r="ITQ1" s="184"/>
      <c r="ITR1" s="184"/>
      <c r="ITS1" s="184"/>
      <c r="ITT1" s="184"/>
      <c r="ITU1" s="184"/>
      <c r="ITV1" s="184"/>
      <c r="ITW1" s="184"/>
      <c r="ITX1" s="184"/>
      <c r="ITY1" s="184"/>
      <c r="ITZ1" s="184"/>
      <c r="IUA1" s="184"/>
      <c r="IUB1" s="184"/>
      <c r="IUC1" s="184"/>
      <c r="IUD1" s="184"/>
      <c r="IUE1" s="184"/>
      <c r="IUF1" s="184"/>
      <c r="IUG1" s="184"/>
      <c r="IUH1" s="184"/>
      <c r="IUI1" s="184"/>
      <c r="IUJ1" s="184"/>
      <c r="IUK1" s="184"/>
      <c r="IUL1" s="184"/>
      <c r="IUM1" s="184"/>
      <c r="IUN1" s="184"/>
      <c r="IUO1" s="184"/>
      <c r="IUP1" s="184"/>
      <c r="IUQ1" s="184"/>
      <c r="IUR1" s="184"/>
      <c r="IUS1" s="184"/>
      <c r="IUT1" s="184"/>
      <c r="IUU1" s="184"/>
      <c r="IUV1" s="184"/>
      <c r="IUW1" s="184"/>
      <c r="IUX1" s="184"/>
      <c r="IUY1" s="184"/>
      <c r="IUZ1" s="184"/>
      <c r="IVA1" s="184"/>
      <c r="IVB1" s="184"/>
      <c r="IVC1" s="184"/>
      <c r="IVD1" s="184"/>
      <c r="IVE1" s="184"/>
      <c r="IVF1" s="184"/>
      <c r="IVG1" s="184"/>
      <c r="IVH1" s="184"/>
      <c r="IVI1" s="184"/>
      <c r="IVJ1" s="184"/>
      <c r="IVK1" s="184"/>
      <c r="IVL1" s="184"/>
      <c r="IVM1" s="184"/>
      <c r="IVN1" s="184"/>
      <c r="IVO1" s="184"/>
      <c r="IVP1" s="184"/>
      <c r="IVQ1" s="184"/>
      <c r="IVR1" s="184"/>
      <c r="IVS1" s="184"/>
      <c r="IVT1" s="184"/>
      <c r="IVU1" s="184"/>
      <c r="IVV1" s="184"/>
      <c r="IVW1" s="184"/>
      <c r="IVX1" s="184"/>
      <c r="IVY1" s="184"/>
      <c r="IVZ1" s="184"/>
      <c r="IWA1" s="184"/>
      <c r="IWB1" s="184"/>
      <c r="IWC1" s="184"/>
      <c r="IWD1" s="184"/>
      <c r="IWE1" s="184"/>
      <c r="IWF1" s="184"/>
      <c r="IWG1" s="184"/>
      <c r="IWH1" s="184"/>
      <c r="IWI1" s="184"/>
      <c r="IWJ1" s="184"/>
      <c r="IWK1" s="184"/>
      <c r="IWL1" s="184"/>
      <c r="IWM1" s="184"/>
      <c r="IWN1" s="184"/>
      <c r="IWO1" s="184"/>
      <c r="IWP1" s="184"/>
      <c r="IWQ1" s="184"/>
      <c r="IWR1" s="184"/>
      <c r="IWS1" s="184"/>
      <c r="IWT1" s="184"/>
      <c r="IWU1" s="184"/>
      <c r="IWV1" s="184"/>
      <c r="IWW1" s="184"/>
      <c r="IWX1" s="184"/>
      <c r="IWY1" s="184"/>
      <c r="IWZ1" s="184"/>
      <c r="IXA1" s="184"/>
      <c r="IXB1" s="184"/>
      <c r="IXC1" s="184"/>
      <c r="IXD1" s="184"/>
      <c r="IXE1" s="184"/>
      <c r="IXF1" s="184"/>
      <c r="IXG1" s="184"/>
      <c r="IXH1" s="184"/>
      <c r="IXI1" s="184"/>
      <c r="IXJ1" s="184"/>
      <c r="IXK1" s="184"/>
      <c r="IXL1" s="184"/>
      <c r="IXM1" s="184"/>
      <c r="IXN1" s="184"/>
      <c r="IXO1" s="184"/>
      <c r="IXP1" s="184"/>
      <c r="IXQ1" s="184"/>
      <c r="IXR1" s="184"/>
      <c r="IXS1" s="184"/>
      <c r="IXT1" s="184"/>
      <c r="IXU1" s="184"/>
      <c r="IXV1" s="184"/>
      <c r="IXW1" s="184"/>
      <c r="IXX1" s="184"/>
      <c r="IXY1" s="184"/>
      <c r="IXZ1" s="184"/>
      <c r="IYA1" s="184"/>
      <c r="IYB1" s="184"/>
      <c r="IYC1" s="184"/>
      <c r="IYD1" s="184"/>
      <c r="IYE1" s="184"/>
      <c r="IYF1" s="184"/>
      <c r="IYG1" s="184"/>
      <c r="IYH1" s="184"/>
      <c r="IYI1" s="184"/>
      <c r="IYJ1" s="184"/>
      <c r="IYK1" s="184"/>
      <c r="IYL1" s="184"/>
      <c r="IYM1" s="184"/>
      <c r="IYN1" s="184"/>
      <c r="IYO1" s="184"/>
      <c r="IYP1" s="184"/>
      <c r="IYQ1" s="184"/>
      <c r="IYR1" s="184"/>
      <c r="IYS1" s="184"/>
      <c r="IYT1" s="184"/>
      <c r="IYU1" s="184"/>
      <c r="IYV1" s="184"/>
      <c r="IYW1" s="184"/>
      <c r="IYX1" s="184"/>
      <c r="IYY1" s="184"/>
      <c r="IYZ1" s="184"/>
      <c r="IZA1" s="184"/>
      <c r="IZB1" s="184"/>
      <c r="IZC1" s="184"/>
      <c r="IZD1" s="184"/>
      <c r="IZE1" s="184"/>
      <c r="IZF1" s="184"/>
      <c r="IZG1" s="184"/>
      <c r="IZH1" s="184"/>
      <c r="IZI1" s="184"/>
      <c r="IZJ1" s="184"/>
      <c r="IZK1" s="184"/>
      <c r="IZL1" s="184"/>
      <c r="IZM1" s="184"/>
      <c r="IZN1" s="184"/>
      <c r="IZO1" s="184"/>
      <c r="IZP1" s="184"/>
      <c r="IZQ1" s="184"/>
      <c r="IZR1" s="184"/>
      <c r="IZS1" s="184"/>
      <c r="IZT1" s="184"/>
      <c r="IZU1" s="184"/>
      <c r="IZV1" s="184"/>
      <c r="IZW1" s="184"/>
      <c r="IZX1" s="184"/>
      <c r="IZY1" s="184"/>
      <c r="IZZ1" s="184"/>
      <c r="JAA1" s="184"/>
      <c r="JAB1" s="184"/>
      <c r="JAC1" s="184"/>
      <c r="JAD1" s="184"/>
      <c r="JAE1" s="184"/>
      <c r="JAF1" s="184"/>
      <c r="JAG1" s="184"/>
      <c r="JAH1" s="184"/>
      <c r="JAI1" s="184"/>
      <c r="JAJ1" s="184"/>
      <c r="JAK1" s="184"/>
      <c r="JAL1" s="184"/>
      <c r="JAM1" s="184"/>
      <c r="JAN1" s="184"/>
      <c r="JAO1" s="184"/>
      <c r="JAP1" s="184"/>
      <c r="JAQ1" s="184"/>
      <c r="JAR1" s="184"/>
      <c r="JAS1" s="184"/>
      <c r="JAT1" s="184"/>
      <c r="JAU1" s="184"/>
      <c r="JAV1" s="184"/>
      <c r="JAW1" s="184"/>
      <c r="JAX1" s="184"/>
      <c r="JAY1" s="184"/>
      <c r="JAZ1" s="184"/>
      <c r="JBA1" s="184"/>
      <c r="JBB1" s="184"/>
      <c r="JBC1" s="184"/>
      <c r="JBD1" s="184"/>
      <c r="JBE1" s="184"/>
      <c r="JBF1" s="184"/>
      <c r="JBG1" s="184"/>
      <c r="JBH1" s="184"/>
      <c r="JBI1" s="184"/>
      <c r="JBJ1" s="184"/>
      <c r="JBK1" s="184"/>
      <c r="JBL1" s="184"/>
      <c r="JBM1" s="184"/>
      <c r="JBN1" s="184"/>
      <c r="JBO1" s="184"/>
      <c r="JBP1" s="184"/>
      <c r="JBQ1" s="184"/>
      <c r="JBR1" s="184"/>
      <c r="JBS1" s="184"/>
      <c r="JBT1" s="184"/>
      <c r="JBU1" s="184"/>
      <c r="JBV1" s="184"/>
      <c r="JBW1" s="184"/>
      <c r="JBX1" s="184"/>
      <c r="JBY1" s="184"/>
      <c r="JBZ1" s="184"/>
      <c r="JCA1" s="184"/>
      <c r="JCB1" s="184"/>
      <c r="JCC1" s="184"/>
      <c r="JCD1" s="184"/>
      <c r="JCE1" s="184"/>
      <c r="JCF1" s="184"/>
      <c r="JCG1" s="184"/>
      <c r="JCH1" s="184"/>
      <c r="JCI1" s="184"/>
      <c r="JCJ1" s="184"/>
      <c r="JCK1" s="184"/>
      <c r="JCL1" s="184"/>
      <c r="JCM1" s="184"/>
      <c r="JCN1" s="184"/>
      <c r="JCO1" s="184"/>
      <c r="JCP1" s="184"/>
      <c r="JCQ1" s="184"/>
      <c r="JCR1" s="184"/>
      <c r="JCS1" s="184"/>
      <c r="JCT1" s="184"/>
      <c r="JCU1" s="184"/>
      <c r="JCV1" s="184"/>
      <c r="JCW1" s="184"/>
      <c r="JCX1" s="184"/>
      <c r="JCY1" s="184"/>
      <c r="JCZ1" s="184"/>
      <c r="JDA1" s="184"/>
      <c r="JDB1" s="184"/>
      <c r="JDC1" s="184"/>
      <c r="JDD1" s="184"/>
      <c r="JDE1" s="184"/>
      <c r="JDF1" s="184"/>
      <c r="JDG1" s="184"/>
      <c r="JDH1" s="184"/>
      <c r="JDI1" s="184"/>
      <c r="JDJ1" s="184"/>
      <c r="JDK1" s="184"/>
      <c r="JDL1" s="184"/>
      <c r="JDM1" s="184"/>
      <c r="JDN1" s="184"/>
      <c r="JDO1" s="184"/>
      <c r="JDP1" s="184"/>
      <c r="JDQ1" s="184"/>
      <c r="JDR1" s="184"/>
      <c r="JDS1" s="184"/>
      <c r="JDT1" s="184"/>
      <c r="JDU1" s="184"/>
      <c r="JDV1" s="184"/>
      <c r="JDW1" s="184"/>
      <c r="JDX1" s="184"/>
      <c r="JDY1" s="184"/>
      <c r="JDZ1" s="184"/>
      <c r="JEA1" s="184"/>
      <c r="JEB1" s="184"/>
      <c r="JEC1" s="184"/>
      <c r="JED1" s="184"/>
      <c r="JEE1" s="184"/>
      <c r="JEF1" s="184"/>
      <c r="JEG1" s="184"/>
      <c r="JEH1" s="184"/>
      <c r="JEI1" s="184"/>
      <c r="JEJ1" s="184"/>
      <c r="JEK1" s="184"/>
      <c r="JEL1" s="184"/>
      <c r="JEM1" s="184"/>
      <c r="JEN1" s="184"/>
      <c r="JEO1" s="184"/>
      <c r="JEP1" s="184"/>
      <c r="JEQ1" s="184"/>
      <c r="JER1" s="184"/>
      <c r="JES1" s="184"/>
      <c r="JET1" s="184"/>
      <c r="JEU1" s="184"/>
      <c r="JEV1" s="184"/>
      <c r="JEW1" s="184"/>
      <c r="JEX1" s="184"/>
      <c r="JEY1" s="184"/>
      <c r="JEZ1" s="184"/>
      <c r="JFA1" s="184"/>
      <c r="JFB1" s="184"/>
      <c r="JFC1" s="184"/>
      <c r="JFD1" s="184"/>
      <c r="JFE1" s="184"/>
      <c r="JFF1" s="184"/>
      <c r="JFG1" s="184"/>
      <c r="JFH1" s="184"/>
      <c r="JFI1" s="184"/>
      <c r="JFJ1" s="184"/>
      <c r="JFK1" s="184"/>
      <c r="JFL1" s="184"/>
      <c r="JFM1" s="184"/>
      <c r="JFN1" s="184"/>
      <c r="JFO1" s="184"/>
      <c r="JFP1" s="184"/>
      <c r="JFQ1" s="184"/>
      <c r="JFR1" s="184"/>
      <c r="JFS1" s="184"/>
      <c r="JFT1" s="184"/>
      <c r="JFU1" s="184"/>
      <c r="JFV1" s="184"/>
      <c r="JFW1" s="184"/>
      <c r="JFX1" s="184"/>
      <c r="JFY1" s="184"/>
      <c r="JFZ1" s="184"/>
      <c r="JGA1" s="184"/>
      <c r="JGB1" s="184"/>
      <c r="JGC1" s="184"/>
      <c r="JGD1" s="184"/>
      <c r="JGE1" s="184"/>
      <c r="JGF1" s="184"/>
      <c r="JGG1" s="184"/>
      <c r="JGH1" s="184"/>
      <c r="JGI1" s="184"/>
      <c r="JGJ1" s="184"/>
      <c r="JGK1" s="184"/>
      <c r="JGL1" s="184"/>
      <c r="JGM1" s="184"/>
      <c r="JGN1" s="184"/>
      <c r="JGO1" s="184"/>
      <c r="JGP1" s="184"/>
      <c r="JGQ1" s="184"/>
      <c r="JGR1" s="184"/>
      <c r="JGS1" s="184"/>
      <c r="JGT1" s="184"/>
      <c r="JGU1" s="184"/>
      <c r="JGV1" s="184"/>
      <c r="JGW1" s="184"/>
      <c r="JGX1" s="184"/>
      <c r="JGY1" s="184"/>
      <c r="JGZ1" s="184"/>
      <c r="JHA1" s="184"/>
      <c r="JHB1" s="184"/>
      <c r="JHC1" s="184"/>
      <c r="JHD1" s="184"/>
      <c r="JHE1" s="184"/>
      <c r="JHF1" s="184"/>
      <c r="JHG1" s="184"/>
      <c r="JHH1" s="184"/>
      <c r="JHI1" s="184"/>
      <c r="JHJ1" s="184"/>
      <c r="JHK1" s="184"/>
      <c r="JHL1" s="184"/>
      <c r="JHM1" s="184"/>
      <c r="JHN1" s="184"/>
      <c r="JHO1" s="184"/>
      <c r="JHP1" s="184"/>
      <c r="JHQ1" s="184"/>
      <c r="JHR1" s="184"/>
      <c r="JHS1" s="184"/>
      <c r="JHT1" s="184"/>
      <c r="JHU1" s="184"/>
      <c r="JHV1" s="184"/>
      <c r="JHW1" s="184"/>
      <c r="JHX1" s="184"/>
      <c r="JHY1" s="184"/>
      <c r="JHZ1" s="184"/>
      <c r="JIA1" s="184"/>
      <c r="JIB1" s="184"/>
      <c r="JIC1" s="184"/>
      <c r="JID1" s="184"/>
      <c r="JIE1" s="184"/>
      <c r="JIF1" s="184"/>
      <c r="JIG1" s="184"/>
      <c r="JIH1" s="184"/>
      <c r="JII1" s="184"/>
      <c r="JIJ1" s="184"/>
      <c r="JIK1" s="184"/>
      <c r="JIL1" s="184"/>
      <c r="JIM1" s="184"/>
      <c r="JIN1" s="184"/>
      <c r="JIO1" s="184"/>
      <c r="JIP1" s="184"/>
      <c r="JIQ1" s="184"/>
      <c r="JIR1" s="184"/>
      <c r="JIS1" s="184"/>
      <c r="JIT1" s="184"/>
      <c r="JIU1" s="184"/>
      <c r="JIV1" s="184"/>
      <c r="JIW1" s="184"/>
      <c r="JIX1" s="184"/>
      <c r="JIY1" s="184"/>
      <c r="JIZ1" s="184"/>
      <c r="JJA1" s="184"/>
      <c r="JJB1" s="184"/>
      <c r="JJC1" s="184"/>
      <c r="JJD1" s="184"/>
      <c r="JJE1" s="184"/>
      <c r="JJF1" s="184"/>
      <c r="JJG1" s="184"/>
      <c r="JJH1" s="184"/>
      <c r="JJI1" s="184"/>
      <c r="JJJ1" s="184"/>
      <c r="JJK1" s="184"/>
      <c r="JJL1" s="184"/>
      <c r="JJM1" s="184"/>
      <c r="JJN1" s="184"/>
      <c r="JJO1" s="184"/>
      <c r="JJP1" s="184"/>
      <c r="JJQ1" s="184"/>
      <c r="JJR1" s="184"/>
      <c r="JJS1" s="184"/>
      <c r="JJT1" s="184"/>
      <c r="JJU1" s="184"/>
      <c r="JJV1" s="184"/>
      <c r="JJW1" s="184"/>
      <c r="JJX1" s="184"/>
      <c r="JJY1" s="184"/>
      <c r="JJZ1" s="184"/>
      <c r="JKA1" s="184"/>
      <c r="JKB1" s="184"/>
      <c r="JKC1" s="184"/>
      <c r="JKD1" s="184"/>
      <c r="JKE1" s="184"/>
      <c r="JKF1" s="184"/>
      <c r="JKG1" s="184"/>
      <c r="JKH1" s="184"/>
      <c r="JKI1" s="184"/>
      <c r="JKJ1" s="184"/>
      <c r="JKK1" s="184"/>
      <c r="JKL1" s="184"/>
      <c r="JKM1" s="184"/>
      <c r="JKN1" s="184"/>
      <c r="JKO1" s="184"/>
      <c r="JKP1" s="184"/>
      <c r="JKQ1" s="184"/>
      <c r="JKR1" s="184"/>
      <c r="JKS1" s="184"/>
      <c r="JKT1" s="184"/>
      <c r="JKU1" s="184"/>
      <c r="JKV1" s="184"/>
      <c r="JKW1" s="184"/>
      <c r="JKX1" s="184"/>
      <c r="JKY1" s="184"/>
      <c r="JKZ1" s="184"/>
      <c r="JLA1" s="184"/>
      <c r="JLB1" s="184"/>
      <c r="JLC1" s="184"/>
      <c r="JLD1" s="184"/>
      <c r="JLE1" s="184"/>
      <c r="JLF1" s="184"/>
      <c r="JLG1" s="184"/>
      <c r="JLH1" s="184"/>
      <c r="JLI1" s="184"/>
      <c r="JLJ1" s="184"/>
      <c r="JLK1" s="184"/>
      <c r="JLL1" s="184"/>
      <c r="JLM1" s="184"/>
      <c r="JLN1" s="184"/>
      <c r="JLO1" s="184"/>
      <c r="JLP1" s="184"/>
      <c r="JLQ1" s="184"/>
      <c r="JLR1" s="184"/>
      <c r="JLS1" s="184"/>
      <c r="JLT1" s="184"/>
      <c r="JLU1" s="184"/>
      <c r="JLV1" s="184"/>
      <c r="JLW1" s="184"/>
      <c r="JLX1" s="184"/>
      <c r="JLY1" s="184"/>
      <c r="JLZ1" s="184"/>
      <c r="JMA1" s="184"/>
      <c r="JMB1" s="184"/>
      <c r="JMC1" s="184"/>
      <c r="JMD1" s="184"/>
      <c r="JME1" s="184"/>
      <c r="JMF1" s="184"/>
      <c r="JMG1" s="184"/>
      <c r="JMH1" s="184"/>
      <c r="JMI1" s="184"/>
      <c r="JMJ1" s="184"/>
      <c r="JMK1" s="184"/>
      <c r="JML1" s="184"/>
      <c r="JMM1" s="184"/>
      <c r="JMN1" s="184"/>
      <c r="JMO1" s="184"/>
      <c r="JMP1" s="184"/>
      <c r="JMQ1" s="184"/>
      <c r="JMR1" s="184"/>
      <c r="JMS1" s="184"/>
      <c r="JMT1" s="184"/>
      <c r="JMU1" s="184"/>
      <c r="JMV1" s="184"/>
      <c r="JMW1" s="184"/>
      <c r="JMX1" s="184"/>
      <c r="JMY1" s="184"/>
      <c r="JMZ1" s="184"/>
      <c r="JNA1" s="184"/>
      <c r="JNB1" s="184"/>
      <c r="JNC1" s="184"/>
      <c r="JND1" s="184"/>
      <c r="JNE1" s="184"/>
      <c r="JNF1" s="184"/>
      <c r="JNG1" s="184"/>
      <c r="JNH1" s="184"/>
      <c r="JNI1" s="184"/>
      <c r="JNJ1" s="184"/>
      <c r="JNK1" s="184"/>
      <c r="JNL1" s="184"/>
      <c r="JNM1" s="184"/>
      <c r="JNN1" s="184"/>
      <c r="JNO1" s="184"/>
      <c r="JNP1" s="184"/>
      <c r="JNQ1" s="184"/>
      <c r="JNR1" s="184"/>
      <c r="JNS1" s="184"/>
      <c r="JNT1" s="184"/>
      <c r="JNU1" s="184"/>
      <c r="JNV1" s="184"/>
      <c r="JNW1" s="184"/>
      <c r="JNX1" s="184"/>
      <c r="JNY1" s="184"/>
      <c r="JNZ1" s="184"/>
      <c r="JOA1" s="184"/>
      <c r="JOB1" s="184"/>
      <c r="JOC1" s="184"/>
      <c r="JOD1" s="184"/>
      <c r="JOE1" s="184"/>
      <c r="JOF1" s="184"/>
      <c r="JOG1" s="184"/>
      <c r="JOH1" s="184"/>
      <c r="JOI1" s="184"/>
      <c r="JOJ1" s="184"/>
      <c r="JOK1" s="184"/>
      <c r="JOL1" s="184"/>
      <c r="JOM1" s="184"/>
      <c r="JON1" s="184"/>
      <c r="JOO1" s="184"/>
      <c r="JOP1" s="184"/>
      <c r="JOQ1" s="184"/>
      <c r="JOR1" s="184"/>
      <c r="JOS1" s="184"/>
      <c r="JOT1" s="184"/>
      <c r="JOU1" s="184"/>
      <c r="JOV1" s="184"/>
      <c r="JOW1" s="184"/>
      <c r="JOX1" s="184"/>
      <c r="JOY1" s="184"/>
      <c r="JOZ1" s="184"/>
      <c r="JPA1" s="184"/>
      <c r="JPB1" s="184"/>
      <c r="JPC1" s="184"/>
      <c r="JPD1" s="184"/>
      <c r="JPE1" s="184"/>
      <c r="JPF1" s="184"/>
      <c r="JPG1" s="184"/>
      <c r="JPH1" s="184"/>
      <c r="JPI1" s="184"/>
      <c r="JPJ1" s="184"/>
      <c r="JPK1" s="184"/>
      <c r="JPL1" s="184"/>
      <c r="JPM1" s="184"/>
      <c r="JPN1" s="184"/>
      <c r="JPO1" s="184"/>
      <c r="JPP1" s="184"/>
      <c r="JPQ1" s="184"/>
      <c r="JPR1" s="184"/>
      <c r="JPS1" s="184"/>
      <c r="JPT1" s="184"/>
      <c r="JPU1" s="184"/>
      <c r="JPV1" s="184"/>
      <c r="JPW1" s="184"/>
      <c r="JPX1" s="184"/>
      <c r="JPY1" s="184"/>
      <c r="JPZ1" s="184"/>
      <c r="JQA1" s="184"/>
      <c r="JQB1" s="184"/>
      <c r="JQC1" s="184"/>
      <c r="JQD1" s="184"/>
      <c r="JQE1" s="184"/>
      <c r="JQF1" s="184"/>
      <c r="JQG1" s="184"/>
      <c r="JQH1" s="184"/>
      <c r="JQI1" s="184"/>
      <c r="JQJ1" s="184"/>
      <c r="JQK1" s="184"/>
      <c r="JQL1" s="184"/>
      <c r="JQM1" s="184"/>
      <c r="JQN1" s="184"/>
      <c r="JQO1" s="184"/>
      <c r="JQP1" s="184"/>
      <c r="JQQ1" s="184"/>
      <c r="JQR1" s="184"/>
      <c r="JQS1" s="184"/>
      <c r="JQT1" s="184"/>
      <c r="JQU1" s="184"/>
      <c r="JQV1" s="184"/>
      <c r="JQW1" s="184"/>
      <c r="JQX1" s="184"/>
      <c r="JQY1" s="184"/>
      <c r="JQZ1" s="184"/>
      <c r="JRA1" s="184"/>
      <c r="JRB1" s="184"/>
      <c r="JRC1" s="184"/>
      <c r="JRD1" s="184"/>
      <c r="JRE1" s="184"/>
      <c r="JRF1" s="184"/>
      <c r="JRG1" s="184"/>
      <c r="JRH1" s="184"/>
      <c r="JRI1" s="184"/>
      <c r="JRJ1" s="184"/>
      <c r="JRK1" s="184"/>
      <c r="JRL1" s="184"/>
      <c r="JRM1" s="184"/>
      <c r="JRN1" s="184"/>
      <c r="JRO1" s="184"/>
      <c r="JRP1" s="184"/>
      <c r="JRQ1" s="184"/>
      <c r="JRR1" s="184"/>
      <c r="JRS1" s="184"/>
      <c r="JRT1" s="184"/>
      <c r="JRU1" s="184"/>
      <c r="JRV1" s="184"/>
      <c r="JRW1" s="184"/>
      <c r="JRX1" s="184"/>
      <c r="JRY1" s="184"/>
      <c r="JRZ1" s="184"/>
      <c r="JSA1" s="184"/>
      <c r="JSB1" s="184"/>
      <c r="JSC1" s="184"/>
      <c r="JSD1" s="184"/>
      <c r="JSE1" s="184"/>
      <c r="JSF1" s="184"/>
      <c r="JSG1" s="184"/>
      <c r="JSH1" s="184"/>
      <c r="JSI1" s="184"/>
      <c r="JSJ1" s="184"/>
      <c r="JSK1" s="184"/>
      <c r="JSL1" s="184"/>
      <c r="JSM1" s="184"/>
      <c r="JSN1" s="184"/>
      <c r="JSO1" s="184"/>
      <c r="JSP1" s="184"/>
      <c r="JSQ1" s="184"/>
      <c r="JSR1" s="184"/>
      <c r="JSS1" s="184"/>
      <c r="JST1" s="184"/>
      <c r="JSU1" s="184"/>
      <c r="JSV1" s="184"/>
      <c r="JSW1" s="184"/>
      <c r="JSX1" s="184"/>
      <c r="JSY1" s="184"/>
      <c r="JSZ1" s="184"/>
      <c r="JTA1" s="184"/>
      <c r="JTB1" s="184"/>
      <c r="JTC1" s="184"/>
      <c r="JTD1" s="184"/>
      <c r="JTE1" s="184"/>
      <c r="JTF1" s="184"/>
      <c r="JTG1" s="184"/>
      <c r="JTH1" s="184"/>
      <c r="JTI1" s="184"/>
      <c r="JTJ1" s="184"/>
      <c r="JTK1" s="184"/>
      <c r="JTL1" s="184"/>
      <c r="JTM1" s="184"/>
      <c r="JTN1" s="184"/>
      <c r="JTO1" s="184"/>
      <c r="JTP1" s="184"/>
      <c r="JTQ1" s="184"/>
      <c r="JTR1" s="184"/>
      <c r="JTS1" s="184"/>
      <c r="JTT1" s="184"/>
      <c r="JTU1" s="184"/>
      <c r="JTV1" s="184"/>
      <c r="JTW1" s="184"/>
      <c r="JTX1" s="184"/>
      <c r="JTY1" s="184"/>
      <c r="JTZ1" s="184"/>
      <c r="JUA1" s="184"/>
      <c r="JUB1" s="184"/>
      <c r="JUC1" s="184"/>
      <c r="JUD1" s="184"/>
      <c r="JUE1" s="184"/>
      <c r="JUF1" s="184"/>
      <c r="JUG1" s="184"/>
      <c r="JUH1" s="184"/>
      <c r="JUI1" s="184"/>
      <c r="JUJ1" s="184"/>
      <c r="JUK1" s="184"/>
      <c r="JUL1" s="184"/>
      <c r="JUM1" s="184"/>
      <c r="JUN1" s="184"/>
      <c r="JUO1" s="184"/>
      <c r="JUP1" s="184"/>
      <c r="JUQ1" s="184"/>
      <c r="JUR1" s="184"/>
      <c r="JUS1" s="184"/>
      <c r="JUT1" s="184"/>
      <c r="JUU1" s="184"/>
      <c r="JUV1" s="184"/>
      <c r="JUW1" s="184"/>
      <c r="JUX1" s="184"/>
      <c r="JUY1" s="184"/>
      <c r="JUZ1" s="184"/>
      <c r="JVA1" s="184"/>
      <c r="JVB1" s="184"/>
      <c r="JVC1" s="184"/>
      <c r="JVD1" s="184"/>
      <c r="JVE1" s="184"/>
      <c r="JVF1" s="184"/>
      <c r="JVG1" s="184"/>
      <c r="JVH1" s="184"/>
      <c r="JVI1" s="184"/>
      <c r="JVJ1" s="184"/>
      <c r="JVK1" s="184"/>
      <c r="JVL1" s="184"/>
      <c r="JVM1" s="184"/>
      <c r="JVN1" s="184"/>
      <c r="JVO1" s="184"/>
      <c r="JVP1" s="184"/>
      <c r="JVQ1" s="184"/>
      <c r="JVR1" s="184"/>
      <c r="JVS1" s="184"/>
      <c r="JVT1" s="184"/>
      <c r="JVU1" s="184"/>
      <c r="JVV1" s="184"/>
      <c r="JVW1" s="184"/>
      <c r="JVX1" s="184"/>
      <c r="JVY1" s="184"/>
      <c r="JVZ1" s="184"/>
      <c r="JWA1" s="184"/>
      <c r="JWB1" s="184"/>
      <c r="JWC1" s="184"/>
      <c r="JWD1" s="184"/>
      <c r="JWE1" s="184"/>
      <c r="JWF1" s="184"/>
      <c r="JWG1" s="184"/>
      <c r="JWH1" s="184"/>
      <c r="JWI1" s="184"/>
      <c r="JWJ1" s="184"/>
      <c r="JWK1" s="184"/>
      <c r="JWL1" s="184"/>
      <c r="JWM1" s="184"/>
      <c r="JWN1" s="184"/>
      <c r="JWO1" s="184"/>
      <c r="JWP1" s="184"/>
      <c r="JWQ1" s="184"/>
      <c r="JWR1" s="184"/>
      <c r="JWS1" s="184"/>
      <c r="JWT1" s="184"/>
      <c r="JWU1" s="184"/>
      <c r="JWV1" s="184"/>
      <c r="JWW1" s="184"/>
      <c r="JWX1" s="184"/>
      <c r="JWY1" s="184"/>
      <c r="JWZ1" s="184"/>
      <c r="JXA1" s="184"/>
      <c r="JXB1" s="184"/>
      <c r="JXC1" s="184"/>
      <c r="JXD1" s="184"/>
      <c r="JXE1" s="184"/>
      <c r="JXF1" s="184"/>
      <c r="JXG1" s="184"/>
      <c r="JXH1" s="184"/>
      <c r="JXI1" s="184"/>
      <c r="JXJ1" s="184"/>
      <c r="JXK1" s="184"/>
      <c r="JXL1" s="184"/>
      <c r="JXM1" s="184"/>
      <c r="JXN1" s="184"/>
      <c r="JXO1" s="184"/>
      <c r="JXP1" s="184"/>
      <c r="JXQ1" s="184"/>
      <c r="JXR1" s="184"/>
      <c r="JXS1" s="184"/>
      <c r="JXT1" s="184"/>
      <c r="JXU1" s="184"/>
      <c r="JXV1" s="184"/>
      <c r="JXW1" s="184"/>
      <c r="JXX1" s="184"/>
      <c r="JXY1" s="184"/>
      <c r="JXZ1" s="184"/>
      <c r="JYA1" s="184"/>
      <c r="JYB1" s="184"/>
      <c r="JYC1" s="184"/>
      <c r="JYD1" s="184"/>
      <c r="JYE1" s="184"/>
      <c r="JYF1" s="184"/>
      <c r="JYG1" s="184"/>
      <c r="JYH1" s="184"/>
      <c r="JYI1" s="184"/>
      <c r="JYJ1" s="184"/>
      <c r="JYK1" s="184"/>
      <c r="JYL1" s="184"/>
      <c r="JYM1" s="184"/>
      <c r="JYN1" s="184"/>
      <c r="JYO1" s="184"/>
      <c r="JYP1" s="184"/>
      <c r="JYQ1" s="184"/>
      <c r="JYR1" s="184"/>
      <c r="JYS1" s="184"/>
      <c r="JYT1" s="184"/>
      <c r="JYU1" s="184"/>
      <c r="JYV1" s="184"/>
      <c r="JYW1" s="184"/>
      <c r="JYX1" s="184"/>
      <c r="JYY1" s="184"/>
      <c r="JYZ1" s="184"/>
      <c r="JZA1" s="184"/>
      <c r="JZB1" s="184"/>
      <c r="JZC1" s="184"/>
      <c r="JZD1" s="184"/>
      <c r="JZE1" s="184"/>
      <c r="JZF1" s="184"/>
      <c r="JZG1" s="184"/>
      <c r="JZH1" s="184"/>
      <c r="JZI1" s="184"/>
      <c r="JZJ1" s="184"/>
      <c r="JZK1" s="184"/>
      <c r="JZL1" s="184"/>
      <c r="JZM1" s="184"/>
      <c r="JZN1" s="184"/>
      <c r="JZO1" s="184"/>
      <c r="JZP1" s="184"/>
      <c r="JZQ1" s="184"/>
      <c r="JZR1" s="184"/>
      <c r="JZS1" s="184"/>
      <c r="JZT1" s="184"/>
      <c r="JZU1" s="184"/>
      <c r="JZV1" s="184"/>
      <c r="JZW1" s="184"/>
      <c r="JZX1" s="184"/>
      <c r="JZY1" s="184"/>
      <c r="JZZ1" s="184"/>
      <c r="KAA1" s="184"/>
      <c r="KAB1" s="184"/>
      <c r="KAC1" s="184"/>
      <c r="KAD1" s="184"/>
      <c r="KAE1" s="184"/>
      <c r="KAF1" s="184"/>
      <c r="KAG1" s="184"/>
      <c r="KAH1" s="184"/>
      <c r="KAI1" s="184"/>
      <c r="KAJ1" s="184"/>
      <c r="KAK1" s="184"/>
      <c r="KAL1" s="184"/>
      <c r="KAM1" s="184"/>
      <c r="KAN1" s="184"/>
      <c r="KAO1" s="184"/>
      <c r="KAP1" s="184"/>
      <c r="KAQ1" s="184"/>
      <c r="KAR1" s="184"/>
      <c r="KAS1" s="184"/>
      <c r="KAT1" s="184"/>
      <c r="KAU1" s="184"/>
      <c r="KAV1" s="184"/>
      <c r="KAW1" s="184"/>
      <c r="KAX1" s="184"/>
      <c r="KAY1" s="184"/>
      <c r="KAZ1" s="184"/>
      <c r="KBA1" s="184"/>
      <c r="KBB1" s="184"/>
      <c r="KBC1" s="184"/>
      <c r="KBD1" s="184"/>
      <c r="KBE1" s="184"/>
      <c r="KBF1" s="184"/>
      <c r="KBG1" s="184"/>
      <c r="KBH1" s="184"/>
      <c r="KBI1" s="184"/>
      <c r="KBJ1" s="184"/>
      <c r="KBK1" s="184"/>
      <c r="KBL1" s="184"/>
      <c r="KBM1" s="184"/>
      <c r="KBN1" s="184"/>
      <c r="KBO1" s="184"/>
      <c r="KBP1" s="184"/>
      <c r="KBQ1" s="184"/>
      <c r="KBR1" s="184"/>
      <c r="KBS1" s="184"/>
      <c r="KBT1" s="184"/>
      <c r="KBU1" s="184"/>
      <c r="KBV1" s="184"/>
      <c r="KBW1" s="184"/>
      <c r="KBX1" s="184"/>
      <c r="KBY1" s="184"/>
      <c r="KBZ1" s="184"/>
      <c r="KCA1" s="184"/>
      <c r="KCB1" s="184"/>
      <c r="KCC1" s="184"/>
      <c r="KCD1" s="184"/>
      <c r="KCE1" s="184"/>
      <c r="KCF1" s="184"/>
      <c r="KCG1" s="184"/>
      <c r="KCH1" s="184"/>
      <c r="KCI1" s="184"/>
      <c r="KCJ1" s="184"/>
      <c r="KCK1" s="184"/>
      <c r="KCL1" s="184"/>
      <c r="KCM1" s="184"/>
      <c r="KCN1" s="184"/>
      <c r="KCO1" s="184"/>
      <c r="KCP1" s="184"/>
      <c r="KCQ1" s="184"/>
      <c r="KCR1" s="184"/>
      <c r="KCS1" s="184"/>
      <c r="KCT1" s="184"/>
      <c r="KCU1" s="184"/>
      <c r="KCV1" s="184"/>
      <c r="KCW1" s="184"/>
      <c r="KCX1" s="184"/>
      <c r="KCY1" s="184"/>
      <c r="KCZ1" s="184"/>
      <c r="KDA1" s="184"/>
      <c r="KDB1" s="184"/>
      <c r="KDC1" s="184"/>
      <c r="KDD1" s="184"/>
      <c r="KDE1" s="184"/>
      <c r="KDF1" s="184"/>
      <c r="KDG1" s="184"/>
      <c r="KDH1" s="184"/>
      <c r="KDI1" s="184"/>
      <c r="KDJ1" s="184"/>
      <c r="KDK1" s="184"/>
      <c r="KDL1" s="184"/>
      <c r="KDM1" s="184"/>
      <c r="KDN1" s="184"/>
      <c r="KDO1" s="184"/>
      <c r="KDP1" s="184"/>
      <c r="KDQ1" s="184"/>
      <c r="KDR1" s="184"/>
      <c r="KDS1" s="184"/>
      <c r="KDT1" s="184"/>
      <c r="KDU1" s="184"/>
      <c r="KDV1" s="184"/>
      <c r="KDW1" s="184"/>
      <c r="KDX1" s="184"/>
      <c r="KDY1" s="184"/>
      <c r="KDZ1" s="184"/>
      <c r="KEA1" s="184"/>
      <c r="KEB1" s="184"/>
      <c r="KEC1" s="184"/>
      <c r="KED1" s="184"/>
      <c r="KEE1" s="184"/>
      <c r="KEF1" s="184"/>
      <c r="KEG1" s="184"/>
      <c r="KEH1" s="184"/>
      <c r="KEI1" s="184"/>
      <c r="KEJ1" s="184"/>
      <c r="KEK1" s="184"/>
      <c r="KEL1" s="184"/>
      <c r="KEM1" s="184"/>
      <c r="KEN1" s="184"/>
      <c r="KEO1" s="184"/>
      <c r="KEP1" s="184"/>
      <c r="KEQ1" s="184"/>
      <c r="KER1" s="184"/>
      <c r="KES1" s="184"/>
      <c r="KET1" s="184"/>
      <c r="KEU1" s="184"/>
      <c r="KEV1" s="184"/>
      <c r="KEW1" s="184"/>
      <c r="KEX1" s="184"/>
      <c r="KEY1" s="184"/>
      <c r="KEZ1" s="184"/>
      <c r="KFA1" s="184"/>
      <c r="KFB1" s="184"/>
      <c r="KFC1" s="184"/>
      <c r="KFD1" s="184"/>
      <c r="KFE1" s="184"/>
      <c r="KFF1" s="184"/>
      <c r="KFG1" s="184"/>
      <c r="KFH1" s="184"/>
      <c r="KFI1" s="184"/>
      <c r="KFJ1" s="184"/>
      <c r="KFK1" s="184"/>
      <c r="KFL1" s="184"/>
      <c r="KFM1" s="184"/>
      <c r="KFN1" s="184"/>
      <c r="KFO1" s="184"/>
      <c r="KFP1" s="184"/>
      <c r="KFQ1" s="184"/>
      <c r="KFR1" s="184"/>
      <c r="KFS1" s="184"/>
      <c r="KFT1" s="184"/>
      <c r="KFU1" s="184"/>
      <c r="KFV1" s="184"/>
      <c r="KFW1" s="184"/>
      <c r="KFX1" s="184"/>
      <c r="KFY1" s="184"/>
      <c r="KFZ1" s="184"/>
      <c r="KGA1" s="184"/>
      <c r="KGB1" s="184"/>
      <c r="KGC1" s="184"/>
      <c r="KGD1" s="184"/>
      <c r="KGE1" s="184"/>
      <c r="KGF1" s="184"/>
      <c r="KGG1" s="184"/>
      <c r="KGH1" s="184"/>
      <c r="KGI1" s="184"/>
      <c r="KGJ1" s="184"/>
      <c r="KGK1" s="184"/>
      <c r="KGL1" s="184"/>
      <c r="KGM1" s="184"/>
      <c r="KGN1" s="184"/>
      <c r="KGO1" s="184"/>
      <c r="KGP1" s="184"/>
      <c r="KGQ1" s="184"/>
      <c r="KGR1" s="184"/>
      <c r="KGS1" s="184"/>
      <c r="KGT1" s="184"/>
      <c r="KGU1" s="184"/>
      <c r="KGV1" s="184"/>
      <c r="KGW1" s="184"/>
      <c r="KGX1" s="184"/>
      <c r="KGY1" s="184"/>
      <c r="KGZ1" s="184"/>
      <c r="KHA1" s="184"/>
      <c r="KHB1" s="184"/>
      <c r="KHC1" s="184"/>
      <c r="KHD1" s="184"/>
      <c r="KHE1" s="184"/>
      <c r="KHF1" s="184"/>
      <c r="KHG1" s="184"/>
      <c r="KHH1" s="184"/>
      <c r="KHI1" s="184"/>
      <c r="KHJ1" s="184"/>
      <c r="KHK1" s="184"/>
      <c r="KHL1" s="184"/>
      <c r="KHM1" s="184"/>
      <c r="KHN1" s="184"/>
      <c r="KHO1" s="184"/>
      <c r="KHP1" s="184"/>
      <c r="KHQ1" s="184"/>
      <c r="KHR1" s="184"/>
      <c r="KHS1" s="184"/>
      <c r="KHT1" s="184"/>
      <c r="KHU1" s="184"/>
      <c r="KHV1" s="184"/>
      <c r="KHW1" s="184"/>
      <c r="KHX1" s="184"/>
      <c r="KHY1" s="184"/>
      <c r="KHZ1" s="184"/>
      <c r="KIA1" s="184"/>
      <c r="KIB1" s="184"/>
      <c r="KIC1" s="184"/>
      <c r="KID1" s="184"/>
      <c r="KIE1" s="184"/>
      <c r="KIF1" s="184"/>
      <c r="KIG1" s="184"/>
      <c r="KIH1" s="184"/>
      <c r="KII1" s="184"/>
      <c r="KIJ1" s="184"/>
      <c r="KIK1" s="184"/>
      <c r="KIL1" s="184"/>
      <c r="KIM1" s="184"/>
      <c r="KIN1" s="184"/>
      <c r="KIO1" s="184"/>
      <c r="KIP1" s="184"/>
      <c r="KIQ1" s="184"/>
      <c r="KIR1" s="184"/>
      <c r="KIS1" s="184"/>
      <c r="KIT1" s="184"/>
      <c r="KIU1" s="184"/>
      <c r="KIV1" s="184"/>
      <c r="KIW1" s="184"/>
      <c r="KIX1" s="184"/>
      <c r="KIY1" s="184"/>
      <c r="KIZ1" s="184"/>
      <c r="KJA1" s="184"/>
      <c r="KJB1" s="184"/>
      <c r="KJC1" s="184"/>
      <c r="KJD1" s="184"/>
      <c r="KJE1" s="184"/>
      <c r="KJF1" s="184"/>
      <c r="KJG1" s="184"/>
      <c r="KJH1" s="184"/>
      <c r="KJI1" s="184"/>
      <c r="KJJ1" s="184"/>
      <c r="KJK1" s="184"/>
      <c r="KJL1" s="184"/>
      <c r="KJM1" s="184"/>
      <c r="KJN1" s="184"/>
      <c r="KJO1" s="184"/>
      <c r="KJP1" s="184"/>
      <c r="KJQ1" s="184"/>
      <c r="KJR1" s="184"/>
      <c r="KJS1" s="184"/>
      <c r="KJT1" s="184"/>
      <c r="KJU1" s="184"/>
      <c r="KJV1" s="184"/>
      <c r="KJW1" s="184"/>
      <c r="KJX1" s="184"/>
      <c r="KJY1" s="184"/>
      <c r="KJZ1" s="184"/>
      <c r="KKA1" s="184"/>
      <c r="KKB1" s="184"/>
      <c r="KKC1" s="184"/>
      <c r="KKD1" s="184"/>
      <c r="KKE1" s="184"/>
      <c r="KKF1" s="184"/>
      <c r="KKG1" s="184"/>
      <c r="KKH1" s="184"/>
      <c r="KKI1" s="184"/>
      <c r="KKJ1" s="184"/>
      <c r="KKK1" s="184"/>
      <c r="KKL1" s="184"/>
      <c r="KKM1" s="184"/>
      <c r="KKN1" s="184"/>
      <c r="KKO1" s="184"/>
      <c r="KKP1" s="184"/>
      <c r="KKQ1" s="184"/>
      <c r="KKR1" s="184"/>
      <c r="KKS1" s="184"/>
      <c r="KKT1" s="184"/>
      <c r="KKU1" s="184"/>
      <c r="KKV1" s="184"/>
      <c r="KKW1" s="184"/>
      <c r="KKX1" s="184"/>
      <c r="KKY1" s="184"/>
      <c r="KKZ1" s="184"/>
      <c r="KLA1" s="184"/>
      <c r="KLB1" s="184"/>
      <c r="KLC1" s="184"/>
      <c r="KLD1" s="184"/>
      <c r="KLE1" s="184"/>
      <c r="KLF1" s="184"/>
      <c r="KLG1" s="184"/>
      <c r="KLH1" s="184"/>
      <c r="KLI1" s="184"/>
      <c r="KLJ1" s="184"/>
      <c r="KLK1" s="184"/>
      <c r="KLL1" s="184"/>
      <c r="KLM1" s="184"/>
      <c r="KLN1" s="184"/>
      <c r="KLO1" s="184"/>
      <c r="KLP1" s="184"/>
      <c r="KLQ1" s="184"/>
      <c r="KLR1" s="184"/>
      <c r="KLS1" s="184"/>
      <c r="KLT1" s="184"/>
      <c r="KLU1" s="184"/>
      <c r="KLV1" s="184"/>
      <c r="KLW1" s="184"/>
      <c r="KLX1" s="184"/>
      <c r="KLY1" s="184"/>
      <c r="KLZ1" s="184"/>
      <c r="KMA1" s="184"/>
      <c r="KMB1" s="184"/>
      <c r="KMC1" s="184"/>
      <c r="KMD1" s="184"/>
      <c r="KME1" s="184"/>
      <c r="KMF1" s="184"/>
      <c r="KMG1" s="184"/>
      <c r="KMH1" s="184"/>
      <c r="KMI1" s="184"/>
      <c r="KMJ1" s="184"/>
      <c r="KMK1" s="184"/>
      <c r="KML1" s="184"/>
      <c r="KMM1" s="184"/>
      <c r="KMN1" s="184"/>
      <c r="KMO1" s="184"/>
      <c r="KMP1" s="184"/>
      <c r="KMQ1" s="184"/>
      <c r="KMR1" s="184"/>
      <c r="KMS1" s="184"/>
      <c r="KMT1" s="184"/>
      <c r="KMU1" s="184"/>
      <c r="KMV1" s="184"/>
      <c r="KMW1" s="184"/>
      <c r="KMX1" s="184"/>
      <c r="KMY1" s="184"/>
      <c r="KMZ1" s="184"/>
      <c r="KNA1" s="184"/>
      <c r="KNB1" s="184"/>
      <c r="KNC1" s="184"/>
      <c r="KND1" s="184"/>
      <c r="KNE1" s="184"/>
      <c r="KNF1" s="184"/>
      <c r="KNG1" s="184"/>
      <c r="KNH1" s="184"/>
      <c r="KNI1" s="184"/>
      <c r="KNJ1" s="184"/>
      <c r="KNK1" s="184"/>
      <c r="KNL1" s="184"/>
      <c r="KNM1" s="184"/>
      <c r="KNN1" s="184"/>
      <c r="KNO1" s="184"/>
      <c r="KNP1" s="184"/>
      <c r="KNQ1" s="184"/>
      <c r="KNR1" s="184"/>
      <c r="KNS1" s="184"/>
      <c r="KNT1" s="184"/>
      <c r="KNU1" s="184"/>
      <c r="KNV1" s="184"/>
      <c r="KNW1" s="184"/>
      <c r="KNX1" s="184"/>
      <c r="KNY1" s="184"/>
      <c r="KNZ1" s="184"/>
      <c r="KOA1" s="184"/>
      <c r="KOB1" s="184"/>
      <c r="KOC1" s="184"/>
      <c r="KOD1" s="184"/>
      <c r="KOE1" s="184"/>
      <c r="KOF1" s="184"/>
      <c r="KOG1" s="184"/>
      <c r="KOH1" s="184"/>
      <c r="KOI1" s="184"/>
      <c r="KOJ1" s="184"/>
      <c r="KOK1" s="184"/>
      <c r="KOL1" s="184"/>
      <c r="KOM1" s="184"/>
      <c r="KON1" s="184"/>
      <c r="KOO1" s="184"/>
      <c r="KOP1" s="184"/>
      <c r="KOQ1" s="184"/>
      <c r="KOR1" s="184"/>
      <c r="KOS1" s="184"/>
      <c r="KOT1" s="184"/>
      <c r="KOU1" s="184"/>
      <c r="KOV1" s="184"/>
      <c r="KOW1" s="184"/>
      <c r="KOX1" s="184"/>
      <c r="KOY1" s="184"/>
      <c r="KOZ1" s="184"/>
      <c r="KPA1" s="184"/>
      <c r="KPB1" s="184"/>
      <c r="KPC1" s="184"/>
      <c r="KPD1" s="184"/>
      <c r="KPE1" s="184"/>
      <c r="KPF1" s="184"/>
      <c r="KPG1" s="184"/>
      <c r="KPH1" s="184"/>
      <c r="KPI1" s="184"/>
      <c r="KPJ1" s="184"/>
      <c r="KPK1" s="184"/>
      <c r="KPL1" s="184"/>
      <c r="KPM1" s="184"/>
      <c r="KPN1" s="184"/>
      <c r="KPO1" s="184"/>
      <c r="KPP1" s="184"/>
      <c r="KPQ1" s="184"/>
      <c r="KPR1" s="184"/>
      <c r="KPS1" s="184"/>
      <c r="KPT1" s="184"/>
      <c r="KPU1" s="184"/>
      <c r="KPV1" s="184"/>
      <c r="KPW1" s="184"/>
      <c r="KPX1" s="184"/>
      <c r="KPY1" s="184"/>
      <c r="KPZ1" s="184"/>
      <c r="KQA1" s="184"/>
      <c r="KQB1" s="184"/>
      <c r="KQC1" s="184"/>
      <c r="KQD1" s="184"/>
      <c r="KQE1" s="184"/>
      <c r="KQF1" s="184"/>
      <c r="KQG1" s="184"/>
      <c r="KQH1" s="184"/>
      <c r="KQI1" s="184"/>
      <c r="KQJ1" s="184"/>
      <c r="KQK1" s="184"/>
      <c r="KQL1" s="184"/>
      <c r="KQM1" s="184"/>
      <c r="KQN1" s="184"/>
      <c r="KQO1" s="184"/>
      <c r="KQP1" s="184"/>
      <c r="KQQ1" s="184"/>
      <c r="KQR1" s="184"/>
      <c r="KQS1" s="184"/>
      <c r="KQT1" s="184"/>
      <c r="KQU1" s="184"/>
      <c r="KQV1" s="184"/>
      <c r="KQW1" s="184"/>
      <c r="KQX1" s="184"/>
      <c r="KQY1" s="184"/>
      <c r="KQZ1" s="184"/>
      <c r="KRA1" s="184"/>
      <c r="KRB1" s="184"/>
      <c r="KRC1" s="184"/>
      <c r="KRD1" s="184"/>
      <c r="KRE1" s="184"/>
      <c r="KRF1" s="184"/>
      <c r="KRG1" s="184"/>
      <c r="KRH1" s="184"/>
      <c r="KRI1" s="184"/>
      <c r="KRJ1" s="184"/>
      <c r="KRK1" s="184"/>
      <c r="KRL1" s="184"/>
      <c r="KRM1" s="184"/>
      <c r="KRN1" s="184"/>
      <c r="KRO1" s="184"/>
      <c r="KRP1" s="184"/>
      <c r="KRQ1" s="184"/>
      <c r="KRR1" s="184"/>
      <c r="KRS1" s="184"/>
      <c r="KRT1" s="184"/>
      <c r="KRU1" s="184"/>
      <c r="KRV1" s="184"/>
      <c r="KRW1" s="184"/>
      <c r="KRX1" s="184"/>
      <c r="KRY1" s="184"/>
      <c r="KRZ1" s="184"/>
      <c r="KSA1" s="184"/>
      <c r="KSB1" s="184"/>
      <c r="KSC1" s="184"/>
      <c r="KSD1" s="184"/>
      <c r="KSE1" s="184"/>
      <c r="KSF1" s="184"/>
      <c r="KSG1" s="184"/>
      <c r="KSH1" s="184"/>
      <c r="KSI1" s="184"/>
      <c r="KSJ1" s="184"/>
      <c r="KSK1" s="184"/>
      <c r="KSL1" s="184"/>
      <c r="KSM1" s="184"/>
      <c r="KSN1" s="184"/>
      <c r="KSO1" s="184"/>
      <c r="KSP1" s="184"/>
      <c r="KSQ1" s="184"/>
      <c r="KSR1" s="184"/>
      <c r="KSS1" s="184"/>
      <c r="KST1" s="184"/>
      <c r="KSU1" s="184"/>
      <c r="KSV1" s="184"/>
      <c r="KSW1" s="184"/>
      <c r="KSX1" s="184"/>
      <c r="KSY1" s="184"/>
      <c r="KSZ1" s="184"/>
      <c r="KTA1" s="184"/>
      <c r="KTB1" s="184"/>
      <c r="KTC1" s="184"/>
      <c r="KTD1" s="184"/>
      <c r="KTE1" s="184"/>
      <c r="KTF1" s="184"/>
      <c r="KTG1" s="184"/>
      <c r="KTH1" s="184"/>
      <c r="KTI1" s="184"/>
      <c r="KTJ1" s="184"/>
      <c r="KTK1" s="184"/>
      <c r="KTL1" s="184"/>
      <c r="KTM1" s="184"/>
      <c r="KTN1" s="184"/>
      <c r="KTO1" s="184"/>
      <c r="KTP1" s="184"/>
      <c r="KTQ1" s="184"/>
      <c r="KTR1" s="184"/>
      <c r="KTS1" s="184"/>
      <c r="KTT1" s="184"/>
      <c r="KTU1" s="184"/>
      <c r="KTV1" s="184"/>
      <c r="KTW1" s="184"/>
      <c r="KTX1" s="184"/>
      <c r="KTY1" s="184"/>
      <c r="KTZ1" s="184"/>
      <c r="KUA1" s="184"/>
      <c r="KUB1" s="184"/>
      <c r="KUC1" s="184"/>
      <c r="KUD1" s="184"/>
      <c r="KUE1" s="184"/>
      <c r="KUF1" s="184"/>
      <c r="KUG1" s="184"/>
      <c r="KUH1" s="184"/>
      <c r="KUI1" s="184"/>
      <c r="KUJ1" s="184"/>
      <c r="KUK1" s="184"/>
      <c r="KUL1" s="184"/>
      <c r="KUM1" s="184"/>
      <c r="KUN1" s="184"/>
      <c r="KUO1" s="184"/>
      <c r="KUP1" s="184"/>
      <c r="KUQ1" s="184"/>
      <c r="KUR1" s="184"/>
      <c r="KUS1" s="184"/>
      <c r="KUT1" s="184"/>
      <c r="KUU1" s="184"/>
      <c r="KUV1" s="184"/>
      <c r="KUW1" s="184"/>
      <c r="KUX1" s="184"/>
      <c r="KUY1" s="184"/>
      <c r="KUZ1" s="184"/>
      <c r="KVA1" s="184"/>
      <c r="KVB1" s="184"/>
      <c r="KVC1" s="184"/>
      <c r="KVD1" s="184"/>
      <c r="KVE1" s="184"/>
      <c r="KVF1" s="184"/>
      <c r="KVG1" s="184"/>
      <c r="KVH1" s="184"/>
      <c r="KVI1" s="184"/>
      <c r="KVJ1" s="184"/>
      <c r="KVK1" s="184"/>
      <c r="KVL1" s="184"/>
      <c r="KVM1" s="184"/>
      <c r="KVN1" s="184"/>
      <c r="KVO1" s="184"/>
      <c r="KVP1" s="184"/>
      <c r="KVQ1" s="184"/>
      <c r="KVR1" s="184"/>
      <c r="KVS1" s="184"/>
      <c r="KVT1" s="184"/>
      <c r="KVU1" s="184"/>
      <c r="KVV1" s="184"/>
      <c r="KVW1" s="184"/>
      <c r="KVX1" s="184"/>
      <c r="KVY1" s="184"/>
      <c r="KVZ1" s="184"/>
      <c r="KWA1" s="184"/>
      <c r="KWB1" s="184"/>
      <c r="KWC1" s="184"/>
      <c r="KWD1" s="184"/>
      <c r="KWE1" s="184"/>
      <c r="KWF1" s="184"/>
      <c r="KWG1" s="184"/>
      <c r="KWH1" s="184"/>
      <c r="KWI1" s="184"/>
      <c r="KWJ1" s="184"/>
      <c r="KWK1" s="184"/>
      <c r="KWL1" s="184"/>
      <c r="KWM1" s="184"/>
      <c r="KWN1" s="184"/>
      <c r="KWO1" s="184"/>
      <c r="KWP1" s="184"/>
      <c r="KWQ1" s="184"/>
      <c r="KWR1" s="184"/>
      <c r="KWS1" s="184"/>
      <c r="KWT1" s="184"/>
      <c r="KWU1" s="184"/>
      <c r="KWV1" s="184"/>
      <c r="KWW1" s="184"/>
      <c r="KWX1" s="184"/>
      <c r="KWY1" s="184"/>
      <c r="KWZ1" s="184"/>
      <c r="KXA1" s="184"/>
      <c r="KXB1" s="184"/>
      <c r="KXC1" s="184"/>
      <c r="KXD1" s="184"/>
      <c r="KXE1" s="184"/>
      <c r="KXF1" s="184"/>
      <c r="KXG1" s="184"/>
      <c r="KXH1" s="184"/>
      <c r="KXI1" s="184"/>
      <c r="KXJ1" s="184"/>
      <c r="KXK1" s="184"/>
      <c r="KXL1" s="184"/>
      <c r="KXM1" s="184"/>
      <c r="KXN1" s="184"/>
      <c r="KXO1" s="184"/>
      <c r="KXP1" s="184"/>
      <c r="KXQ1" s="184"/>
      <c r="KXR1" s="184"/>
      <c r="KXS1" s="184"/>
      <c r="KXT1" s="184"/>
      <c r="KXU1" s="184"/>
      <c r="KXV1" s="184"/>
      <c r="KXW1" s="184"/>
      <c r="KXX1" s="184"/>
      <c r="KXY1" s="184"/>
      <c r="KXZ1" s="184"/>
      <c r="KYA1" s="184"/>
      <c r="KYB1" s="184"/>
      <c r="KYC1" s="184"/>
      <c r="KYD1" s="184"/>
      <c r="KYE1" s="184"/>
      <c r="KYF1" s="184"/>
      <c r="KYG1" s="184"/>
      <c r="KYH1" s="184"/>
      <c r="KYI1" s="184"/>
      <c r="KYJ1" s="184"/>
      <c r="KYK1" s="184"/>
      <c r="KYL1" s="184"/>
      <c r="KYM1" s="184"/>
      <c r="KYN1" s="184"/>
      <c r="KYO1" s="184"/>
      <c r="KYP1" s="184"/>
      <c r="KYQ1" s="184"/>
      <c r="KYR1" s="184"/>
      <c r="KYS1" s="184"/>
      <c r="KYT1" s="184"/>
      <c r="KYU1" s="184"/>
      <c r="KYV1" s="184"/>
      <c r="KYW1" s="184"/>
      <c r="KYX1" s="184"/>
      <c r="KYY1" s="184"/>
      <c r="KYZ1" s="184"/>
      <c r="KZA1" s="184"/>
      <c r="KZB1" s="184"/>
      <c r="KZC1" s="184"/>
      <c r="KZD1" s="184"/>
      <c r="KZE1" s="184"/>
      <c r="KZF1" s="184"/>
      <c r="KZG1" s="184"/>
      <c r="KZH1" s="184"/>
      <c r="KZI1" s="184"/>
      <c r="KZJ1" s="184"/>
      <c r="KZK1" s="184"/>
      <c r="KZL1" s="184"/>
      <c r="KZM1" s="184"/>
      <c r="KZN1" s="184"/>
      <c r="KZO1" s="184"/>
      <c r="KZP1" s="184"/>
      <c r="KZQ1" s="184"/>
      <c r="KZR1" s="184"/>
      <c r="KZS1" s="184"/>
      <c r="KZT1" s="184"/>
      <c r="KZU1" s="184"/>
      <c r="KZV1" s="184"/>
      <c r="KZW1" s="184"/>
      <c r="KZX1" s="184"/>
      <c r="KZY1" s="184"/>
      <c r="KZZ1" s="184"/>
      <c r="LAA1" s="184"/>
      <c r="LAB1" s="184"/>
      <c r="LAC1" s="184"/>
      <c r="LAD1" s="184"/>
      <c r="LAE1" s="184"/>
      <c r="LAF1" s="184"/>
      <c r="LAG1" s="184"/>
      <c r="LAH1" s="184"/>
      <c r="LAI1" s="184"/>
      <c r="LAJ1" s="184"/>
      <c r="LAK1" s="184"/>
      <c r="LAL1" s="184"/>
      <c r="LAM1" s="184"/>
      <c r="LAN1" s="184"/>
      <c r="LAO1" s="184"/>
      <c r="LAP1" s="184"/>
      <c r="LAQ1" s="184"/>
      <c r="LAR1" s="184"/>
      <c r="LAS1" s="184"/>
      <c r="LAT1" s="184"/>
      <c r="LAU1" s="184"/>
      <c r="LAV1" s="184"/>
      <c r="LAW1" s="184"/>
      <c r="LAX1" s="184"/>
      <c r="LAY1" s="184"/>
      <c r="LAZ1" s="184"/>
      <c r="LBA1" s="184"/>
      <c r="LBB1" s="184"/>
      <c r="LBC1" s="184"/>
      <c r="LBD1" s="184"/>
      <c r="LBE1" s="184"/>
      <c r="LBF1" s="184"/>
      <c r="LBG1" s="184"/>
      <c r="LBH1" s="184"/>
      <c r="LBI1" s="184"/>
      <c r="LBJ1" s="184"/>
      <c r="LBK1" s="184"/>
      <c r="LBL1" s="184"/>
      <c r="LBM1" s="184"/>
      <c r="LBN1" s="184"/>
      <c r="LBO1" s="184"/>
      <c r="LBP1" s="184"/>
      <c r="LBQ1" s="184"/>
      <c r="LBR1" s="184"/>
      <c r="LBS1" s="184"/>
      <c r="LBT1" s="184"/>
      <c r="LBU1" s="184"/>
      <c r="LBV1" s="184"/>
      <c r="LBW1" s="184"/>
      <c r="LBX1" s="184"/>
      <c r="LBY1" s="184"/>
      <c r="LBZ1" s="184"/>
      <c r="LCA1" s="184"/>
      <c r="LCB1" s="184"/>
      <c r="LCC1" s="184"/>
      <c r="LCD1" s="184"/>
      <c r="LCE1" s="184"/>
      <c r="LCF1" s="184"/>
      <c r="LCG1" s="184"/>
      <c r="LCH1" s="184"/>
      <c r="LCI1" s="184"/>
      <c r="LCJ1" s="184"/>
      <c r="LCK1" s="184"/>
      <c r="LCL1" s="184"/>
      <c r="LCM1" s="184"/>
      <c r="LCN1" s="184"/>
      <c r="LCO1" s="184"/>
      <c r="LCP1" s="184"/>
      <c r="LCQ1" s="184"/>
      <c r="LCR1" s="184"/>
      <c r="LCS1" s="184"/>
      <c r="LCT1" s="184"/>
      <c r="LCU1" s="184"/>
      <c r="LCV1" s="184"/>
      <c r="LCW1" s="184"/>
      <c r="LCX1" s="184"/>
      <c r="LCY1" s="184"/>
      <c r="LCZ1" s="184"/>
      <c r="LDA1" s="184"/>
      <c r="LDB1" s="184"/>
      <c r="LDC1" s="184"/>
      <c r="LDD1" s="184"/>
      <c r="LDE1" s="184"/>
      <c r="LDF1" s="184"/>
      <c r="LDG1" s="184"/>
      <c r="LDH1" s="184"/>
      <c r="LDI1" s="184"/>
      <c r="LDJ1" s="184"/>
      <c r="LDK1" s="184"/>
      <c r="LDL1" s="184"/>
      <c r="LDM1" s="184"/>
      <c r="LDN1" s="184"/>
      <c r="LDO1" s="184"/>
      <c r="LDP1" s="184"/>
      <c r="LDQ1" s="184"/>
      <c r="LDR1" s="184"/>
      <c r="LDS1" s="184"/>
      <c r="LDT1" s="184"/>
      <c r="LDU1" s="184"/>
      <c r="LDV1" s="184"/>
      <c r="LDW1" s="184"/>
      <c r="LDX1" s="184"/>
      <c r="LDY1" s="184"/>
      <c r="LDZ1" s="184"/>
      <c r="LEA1" s="184"/>
      <c r="LEB1" s="184"/>
      <c r="LEC1" s="184"/>
      <c r="LED1" s="184"/>
      <c r="LEE1" s="184"/>
      <c r="LEF1" s="184"/>
      <c r="LEG1" s="184"/>
      <c r="LEH1" s="184"/>
      <c r="LEI1" s="184"/>
      <c r="LEJ1" s="184"/>
      <c r="LEK1" s="184"/>
      <c r="LEL1" s="184"/>
      <c r="LEM1" s="184"/>
      <c r="LEN1" s="184"/>
      <c r="LEO1" s="184"/>
      <c r="LEP1" s="184"/>
      <c r="LEQ1" s="184"/>
      <c r="LER1" s="184"/>
      <c r="LES1" s="184"/>
      <c r="LET1" s="184"/>
      <c r="LEU1" s="184"/>
      <c r="LEV1" s="184"/>
      <c r="LEW1" s="184"/>
      <c r="LEX1" s="184"/>
      <c r="LEY1" s="184"/>
      <c r="LEZ1" s="184"/>
      <c r="LFA1" s="184"/>
      <c r="LFB1" s="184"/>
      <c r="LFC1" s="184"/>
      <c r="LFD1" s="184"/>
      <c r="LFE1" s="184"/>
      <c r="LFF1" s="184"/>
      <c r="LFG1" s="184"/>
      <c r="LFH1" s="184"/>
      <c r="LFI1" s="184"/>
      <c r="LFJ1" s="184"/>
      <c r="LFK1" s="184"/>
      <c r="LFL1" s="184"/>
      <c r="LFM1" s="184"/>
      <c r="LFN1" s="184"/>
      <c r="LFO1" s="184"/>
      <c r="LFP1" s="184"/>
      <c r="LFQ1" s="184"/>
      <c r="LFR1" s="184"/>
      <c r="LFS1" s="184"/>
      <c r="LFT1" s="184"/>
      <c r="LFU1" s="184"/>
      <c r="LFV1" s="184"/>
      <c r="LFW1" s="184"/>
      <c r="LFX1" s="184"/>
      <c r="LFY1" s="184"/>
      <c r="LFZ1" s="184"/>
      <c r="LGA1" s="184"/>
      <c r="LGB1" s="184"/>
      <c r="LGC1" s="184"/>
      <c r="LGD1" s="184"/>
      <c r="LGE1" s="184"/>
      <c r="LGF1" s="184"/>
      <c r="LGG1" s="184"/>
      <c r="LGH1" s="184"/>
      <c r="LGI1" s="184"/>
      <c r="LGJ1" s="184"/>
      <c r="LGK1" s="184"/>
      <c r="LGL1" s="184"/>
      <c r="LGM1" s="184"/>
      <c r="LGN1" s="184"/>
      <c r="LGO1" s="184"/>
      <c r="LGP1" s="184"/>
      <c r="LGQ1" s="184"/>
      <c r="LGR1" s="184"/>
      <c r="LGS1" s="184"/>
      <c r="LGT1" s="184"/>
      <c r="LGU1" s="184"/>
      <c r="LGV1" s="184"/>
      <c r="LGW1" s="184"/>
      <c r="LGX1" s="184"/>
      <c r="LGY1" s="184"/>
      <c r="LGZ1" s="184"/>
      <c r="LHA1" s="184"/>
      <c r="LHB1" s="184"/>
      <c r="LHC1" s="184"/>
      <c r="LHD1" s="184"/>
      <c r="LHE1" s="184"/>
      <c r="LHF1" s="184"/>
      <c r="LHG1" s="184"/>
      <c r="LHH1" s="184"/>
      <c r="LHI1" s="184"/>
      <c r="LHJ1" s="184"/>
      <c r="LHK1" s="184"/>
      <c r="LHL1" s="184"/>
      <c r="LHM1" s="184"/>
      <c r="LHN1" s="184"/>
      <c r="LHO1" s="184"/>
      <c r="LHP1" s="184"/>
      <c r="LHQ1" s="184"/>
      <c r="LHR1" s="184"/>
      <c r="LHS1" s="184"/>
      <c r="LHT1" s="184"/>
      <c r="LHU1" s="184"/>
      <c r="LHV1" s="184"/>
      <c r="LHW1" s="184"/>
      <c r="LHX1" s="184"/>
      <c r="LHY1" s="184"/>
      <c r="LHZ1" s="184"/>
      <c r="LIA1" s="184"/>
      <c r="LIB1" s="184"/>
      <c r="LIC1" s="184"/>
      <c r="LID1" s="184"/>
      <c r="LIE1" s="184"/>
      <c r="LIF1" s="184"/>
      <c r="LIG1" s="184"/>
      <c r="LIH1" s="184"/>
      <c r="LII1" s="184"/>
      <c r="LIJ1" s="184"/>
      <c r="LIK1" s="184"/>
      <c r="LIL1" s="184"/>
      <c r="LIM1" s="184"/>
      <c r="LIN1" s="184"/>
      <c r="LIO1" s="184"/>
      <c r="LIP1" s="184"/>
      <c r="LIQ1" s="184"/>
      <c r="LIR1" s="184"/>
      <c r="LIS1" s="184"/>
      <c r="LIT1" s="184"/>
      <c r="LIU1" s="184"/>
      <c r="LIV1" s="184"/>
      <c r="LIW1" s="184"/>
      <c r="LIX1" s="184"/>
      <c r="LIY1" s="184"/>
      <c r="LIZ1" s="184"/>
      <c r="LJA1" s="184"/>
      <c r="LJB1" s="184"/>
      <c r="LJC1" s="184"/>
      <c r="LJD1" s="184"/>
      <c r="LJE1" s="184"/>
      <c r="LJF1" s="184"/>
      <c r="LJG1" s="184"/>
      <c r="LJH1" s="184"/>
      <c r="LJI1" s="184"/>
      <c r="LJJ1" s="184"/>
      <c r="LJK1" s="184"/>
      <c r="LJL1" s="184"/>
      <c r="LJM1" s="184"/>
      <c r="LJN1" s="184"/>
      <c r="LJO1" s="184"/>
      <c r="LJP1" s="184"/>
      <c r="LJQ1" s="184"/>
      <c r="LJR1" s="184"/>
      <c r="LJS1" s="184"/>
      <c r="LJT1" s="184"/>
      <c r="LJU1" s="184"/>
      <c r="LJV1" s="184"/>
      <c r="LJW1" s="184"/>
      <c r="LJX1" s="184"/>
      <c r="LJY1" s="184"/>
      <c r="LJZ1" s="184"/>
      <c r="LKA1" s="184"/>
      <c r="LKB1" s="184"/>
      <c r="LKC1" s="184"/>
      <c r="LKD1" s="184"/>
      <c r="LKE1" s="184"/>
      <c r="LKF1" s="184"/>
      <c r="LKG1" s="184"/>
      <c r="LKH1" s="184"/>
      <c r="LKI1" s="184"/>
      <c r="LKJ1" s="184"/>
      <c r="LKK1" s="184"/>
      <c r="LKL1" s="184"/>
      <c r="LKM1" s="184"/>
      <c r="LKN1" s="184"/>
      <c r="LKO1" s="184"/>
      <c r="LKP1" s="184"/>
      <c r="LKQ1" s="184"/>
      <c r="LKR1" s="184"/>
      <c r="LKS1" s="184"/>
      <c r="LKT1" s="184"/>
      <c r="LKU1" s="184"/>
      <c r="LKV1" s="184"/>
      <c r="LKW1" s="184"/>
      <c r="LKX1" s="184"/>
      <c r="LKY1" s="184"/>
      <c r="LKZ1" s="184"/>
      <c r="LLA1" s="184"/>
      <c r="LLB1" s="184"/>
      <c r="LLC1" s="184"/>
      <c r="LLD1" s="184"/>
      <c r="LLE1" s="184"/>
      <c r="LLF1" s="184"/>
      <c r="LLG1" s="184"/>
      <c r="LLH1" s="184"/>
      <c r="LLI1" s="184"/>
      <c r="LLJ1" s="184"/>
      <c r="LLK1" s="184"/>
      <c r="LLL1" s="184"/>
      <c r="LLM1" s="184"/>
      <c r="LLN1" s="184"/>
      <c r="LLO1" s="184"/>
      <c r="LLP1" s="184"/>
      <c r="LLQ1" s="184"/>
      <c r="LLR1" s="184"/>
      <c r="LLS1" s="184"/>
      <c r="LLT1" s="184"/>
      <c r="LLU1" s="184"/>
      <c r="LLV1" s="184"/>
      <c r="LLW1" s="184"/>
      <c r="LLX1" s="184"/>
      <c r="LLY1" s="184"/>
      <c r="LLZ1" s="184"/>
      <c r="LMA1" s="184"/>
      <c r="LMB1" s="184"/>
      <c r="LMC1" s="184"/>
      <c r="LMD1" s="184"/>
      <c r="LME1" s="184"/>
      <c r="LMF1" s="184"/>
      <c r="LMG1" s="184"/>
      <c r="LMH1" s="184"/>
      <c r="LMI1" s="184"/>
      <c r="LMJ1" s="184"/>
      <c r="LMK1" s="184"/>
      <c r="LML1" s="184"/>
      <c r="LMM1" s="184"/>
      <c r="LMN1" s="184"/>
      <c r="LMO1" s="184"/>
      <c r="LMP1" s="184"/>
      <c r="LMQ1" s="184"/>
      <c r="LMR1" s="184"/>
      <c r="LMS1" s="184"/>
      <c r="LMT1" s="184"/>
      <c r="LMU1" s="184"/>
      <c r="LMV1" s="184"/>
      <c r="LMW1" s="184"/>
      <c r="LMX1" s="184"/>
      <c r="LMY1" s="184"/>
      <c r="LMZ1" s="184"/>
      <c r="LNA1" s="184"/>
      <c r="LNB1" s="184"/>
      <c r="LNC1" s="184"/>
      <c r="LND1" s="184"/>
      <c r="LNE1" s="184"/>
      <c r="LNF1" s="184"/>
      <c r="LNG1" s="184"/>
      <c r="LNH1" s="184"/>
      <c r="LNI1" s="184"/>
      <c r="LNJ1" s="184"/>
      <c r="LNK1" s="184"/>
      <c r="LNL1" s="184"/>
      <c r="LNM1" s="184"/>
      <c r="LNN1" s="184"/>
      <c r="LNO1" s="184"/>
      <c r="LNP1" s="184"/>
      <c r="LNQ1" s="184"/>
      <c r="LNR1" s="184"/>
      <c r="LNS1" s="184"/>
      <c r="LNT1" s="184"/>
      <c r="LNU1" s="184"/>
      <c r="LNV1" s="184"/>
      <c r="LNW1" s="184"/>
      <c r="LNX1" s="184"/>
      <c r="LNY1" s="184"/>
      <c r="LNZ1" s="184"/>
      <c r="LOA1" s="184"/>
      <c r="LOB1" s="184"/>
      <c r="LOC1" s="184"/>
      <c r="LOD1" s="184"/>
      <c r="LOE1" s="184"/>
      <c r="LOF1" s="184"/>
      <c r="LOG1" s="184"/>
      <c r="LOH1" s="184"/>
      <c r="LOI1" s="184"/>
      <c r="LOJ1" s="184"/>
      <c r="LOK1" s="184"/>
      <c r="LOL1" s="184"/>
      <c r="LOM1" s="184"/>
      <c r="LON1" s="184"/>
      <c r="LOO1" s="184"/>
      <c r="LOP1" s="184"/>
      <c r="LOQ1" s="184"/>
      <c r="LOR1" s="184"/>
      <c r="LOS1" s="184"/>
      <c r="LOT1" s="184"/>
      <c r="LOU1" s="184"/>
      <c r="LOV1" s="184"/>
      <c r="LOW1" s="184"/>
      <c r="LOX1" s="184"/>
      <c r="LOY1" s="184"/>
      <c r="LOZ1" s="184"/>
      <c r="LPA1" s="184"/>
      <c r="LPB1" s="184"/>
      <c r="LPC1" s="184"/>
      <c r="LPD1" s="184"/>
      <c r="LPE1" s="184"/>
      <c r="LPF1" s="184"/>
      <c r="LPG1" s="184"/>
      <c r="LPH1" s="184"/>
      <c r="LPI1" s="184"/>
      <c r="LPJ1" s="184"/>
      <c r="LPK1" s="184"/>
      <c r="LPL1" s="184"/>
      <c r="LPM1" s="184"/>
      <c r="LPN1" s="184"/>
      <c r="LPO1" s="184"/>
      <c r="LPP1" s="184"/>
      <c r="LPQ1" s="184"/>
      <c r="LPR1" s="184"/>
      <c r="LPS1" s="184"/>
      <c r="LPT1" s="184"/>
      <c r="LPU1" s="184"/>
      <c r="LPV1" s="184"/>
      <c r="LPW1" s="184"/>
      <c r="LPX1" s="184"/>
      <c r="LPY1" s="184"/>
      <c r="LPZ1" s="184"/>
      <c r="LQA1" s="184"/>
      <c r="LQB1" s="184"/>
      <c r="LQC1" s="184"/>
      <c r="LQD1" s="184"/>
      <c r="LQE1" s="184"/>
      <c r="LQF1" s="184"/>
      <c r="LQG1" s="184"/>
      <c r="LQH1" s="184"/>
      <c r="LQI1" s="184"/>
      <c r="LQJ1" s="184"/>
      <c r="LQK1" s="184"/>
      <c r="LQL1" s="184"/>
      <c r="LQM1" s="184"/>
      <c r="LQN1" s="184"/>
      <c r="LQO1" s="184"/>
      <c r="LQP1" s="184"/>
      <c r="LQQ1" s="184"/>
      <c r="LQR1" s="184"/>
      <c r="LQS1" s="184"/>
      <c r="LQT1" s="184"/>
      <c r="LQU1" s="184"/>
      <c r="LQV1" s="184"/>
      <c r="LQW1" s="184"/>
      <c r="LQX1" s="184"/>
      <c r="LQY1" s="184"/>
      <c r="LQZ1" s="184"/>
      <c r="LRA1" s="184"/>
      <c r="LRB1" s="184"/>
      <c r="LRC1" s="184"/>
      <c r="LRD1" s="184"/>
      <c r="LRE1" s="184"/>
      <c r="LRF1" s="184"/>
      <c r="LRG1" s="184"/>
      <c r="LRH1" s="184"/>
      <c r="LRI1" s="184"/>
      <c r="LRJ1" s="184"/>
      <c r="LRK1" s="184"/>
      <c r="LRL1" s="184"/>
      <c r="LRM1" s="184"/>
      <c r="LRN1" s="184"/>
      <c r="LRO1" s="184"/>
      <c r="LRP1" s="184"/>
      <c r="LRQ1" s="184"/>
      <c r="LRR1" s="184"/>
      <c r="LRS1" s="184"/>
      <c r="LRT1" s="184"/>
      <c r="LRU1" s="184"/>
      <c r="LRV1" s="184"/>
      <c r="LRW1" s="184"/>
      <c r="LRX1" s="184"/>
      <c r="LRY1" s="184"/>
      <c r="LRZ1" s="184"/>
      <c r="LSA1" s="184"/>
      <c r="LSB1" s="184"/>
      <c r="LSC1" s="184"/>
      <c r="LSD1" s="184"/>
      <c r="LSE1" s="184"/>
      <c r="LSF1" s="184"/>
      <c r="LSG1" s="184"/>
      <c r="LSH1" s="184"/>
      <c r="LSI1" s="184"/>
      <c r="LSJ1" s="184"/>
      <c r="LSK1" s="184"/>
      <c r="LSL1" s="184"/>
      <c r="LSM1" s="184"/>
      <c r="LSN1" s="184"/>
      <c r="LSO1" s="184"/>
      <c r="LSP1" s="184"/>
      <c r="LSQ1" s="184"/>
      <c r="LSR1" s="184"/>
      <c r="LSS1" s="184"/>
      <c r="LST1" s="184"/>
      <c r="LSU1" s="184"/>
      <c r="LSV1" s="184"/>
      <c r="LSW1" s="184"/>
      <c r="LSX1" s="184"/>
      <c r="LSY1" s="184"/>
      <c r="LSZ1" s="184"/>
      <c r="LTA1" s="184"/>
      <c r="LTB1" s="184"/>
      <c r="LTC1" s="184"/>
      <c r="LTD1" s="184"/>
      <c r="LTE1" s="184"/>
      <c r="LTF1" s="184"/>
      <c r="LTG1" s="184"/>
      <c r="LTH1" s="184"/>
      <c r="LTI1" s="184"/>
      <c r="LTJ1" s="184"/>
      <c r="LTK1" s="184"/>
      <c r="LTL1" s="184"/>
      <c r="LTM1" s="184"/>
      <c r="LTN1" s="184"/>
      <c r="LTO1" s="184"/>
      <c r="LTP1" s="184"/>
      <c r="LTQ1" s="184"/>
      <c r="LTR1" s="184"/>
      <c r="LTS1" s="184"/>
      <c r="LTT1" s="184"/>
      <c r="LTU1" s="184"/>
      <c r="LTV1" s="184"/>
      <c r="LTW1" s="184"/>
      <c r="LTX1" s="184"/>
      <c r="LTY1" s="184"/>
      <c r="LTZ1" s="184"/>
      <c r="LUA1" s="184"/>
      <c r="LUB1" s="184"/>
      <c r="LUC1" s="184"/>
      <c r="LUD1" s="184"/>
      <c r="LUE1" s="184"/>
      <c r="LUF1" s="184"/>
      <c r="LUG1" s="184"/>
      <c r="LUH1" s="184"/>
      <c r="LUI1" s="184"/>
      <c r="LUJ1" s="184"/>
      <c r="LUK1" s="184"/>
      <c r="LUL1" s="184"/>
      <c r="LUM1" s="184"/>
      <c r="LUN1" s="184"/>
      <c r="LUO1" s="184"/>
      <c r="LUP1" s="184"/>
      <c r="LUQ1" s="184"/>
      <c r="LUR1" s="184"/>
      <c r="LUS1" s="184"/>
      <c r="LUT1" s="184"/>
      <c r="LUU1" s="184"/>
      <c r="LUV1" s="184"/>
      <c r="LUW1" s="184"/>
      <c r="LUX1" s="184"/>
      <c r="LUY1" s="184"/>
      <c r="LUZ1" s="184"/>
      <c r="LVA1" s="184"/>
      <c r="LVB1" s="184"/>
      <c r="LVC1" s="184"/>
      <c r="LVD1" s="184"/>
      <c r="LVE1" s="184"/>
      <c r="LVF1" s="184"/>
      <c r="LVG1" s="184"/>
      <c r="LVH1" s="184"/>
      <c r="LVI1" s="184"/>
      <c r="LVJ1" s="184"/>
      <c r="LVK1" s="184"/>
      <c r="LVL1" s="184"/>
      <c r="LVM1" s="184"/>
      <c r="LVN1" s="184"/>
      <c r="LVO1" s="184"/>
      <c r="LVP1" s="184"/>
      <c r="LVQ1" s="184"/>
      <c r="LVR1" s="184"/>
      <c r="LVS1" s="184"/>
      <c r="LVT1" s="184"/>
      <c r="LVU1" s="184"/>
      <c r="LVV1" s="184"/>
      <c r="LVW1" s="184"/>
      <c r="LVX1" s="184"/>
      <c r="LVY1" s="184"/>
      <c r="LVZ1" s="184"/>
      <c r="LWA1" s="184"/>
      <c r="LWB1" s="184"/>
      <c r="LWC1" s="184"/>
      <c r="LWD1" s="184"/>
      <c r="LWE1" s="184"/>
      <c r="LWF1" s="184"/>
      <c r="LWG1" s="184"/>
      <c r="LWH1" s="184"/>
      <c r="LWI1" s="184"/>
      <c r="LWJ1" s="184"/>
      <c r="LWK1" s="184"/>
      <c r="LWL1" s="184"/>
      <c r="LWM1" s="184"/>
      <c r="LWN1" s="184"/>
      <c r="LWO1" s="184"/>
      <c r="LWP1" s="184"/>
      <c r="LWQ1" s="184"/>
      <c r="LWR1" s="184"/>
      <c r="LWS1" s="184"/>
      <c r="LWT1" s="184"/>
      <c r="LWU1" s="184"/>
      <c r="LWV1" s="184"/>
      <c r="LWW1" s="184"/>
      <c r="LWX1" s="184"/>
      <c r="LWY1" s="184"/>
      <c r="LWZ1" s="184"/>
      <c r="LXA1" s="184"/>
      <c r="LXB1" s="184"/>
      <c r="LXC1" s="184"/>
      <c r="LXD1" s="184"/>
      <c r="LXE1" s="184"/>
      <c r="LXF1" s="184"/>
      <c r="LXG1" s="184"/>
      <c r="LXH1" s="184"/>
      <c r="LXI1" s="184"/>
      <c r="LXJ1" s="184"/>
      <c r="LXK1" s="184"/>
      <c r="LXL1" s="184"/>
      <c r="LXM1" s="184"/>
      <c r="LXN1" s="184"/>
      <c r="LXO1" s="184"/>
      <c r="LXP1" s="184"/>
      <c r="LXQ1" s="184"/>
      <c r="LXR1" s="184"/>
      <c r="LXS1" s="184"/>
      <c r="LXT1" s="184"/>
      <c r="LXU1" s="184"/>
      <c r="LXV1" s="184"/>
      <c r="LXW1" s="184"/>
      <c r="LXX1" s="184"/>
      <c r="LXY1" s="184"/>
      <c r="LXZ1" s="184"/>
      <c r="LYA1" s="184"/>
      <c r="LYB1" s="184"/>
      <c r="LYC1" s="184"/>
      <c r="LYD1" s="184"/>
      <c r="LYE1" s="184"/>
      <c r="LYF1" s="184"/>
      <c r="LYG1" s="184"/>
      <c r="LYH1" s="184"/>
      <c r="LYI1" s="184"/>
      <c r="LYJ1" s="184"/>
      <c r="LYK1" s="184"/>
      <c r="LYL1" s="184"/>
      <c r="LYM1" s="184"/>
      <c r="LYN1" s="184"/>
      <c r="LYO1" s="184"/>
      <c r="LYP1" s="184"/>
      <c r="LYQ1" s="184"/>
      <c r="LYR1" s="184"/>
      <c r="LYS1" s="184"/>
      <c r="LYT1" s="184"/>
      <c r="LYU1" s="184"/>
      <c r="LYV1" s="184"/>
      <c r="LYW1" s="184"/>
      <c r="LYX1" s="184"/>
      <c r="LYY1" s="184"/>
      <c r="LYZ1" s="184"/>
      <c r="LZA1" s="184"/>
      <c r="LZB1" s="184"/>
      <c r="LZC1" s="184"/>
      <c r="LZD1" s="184"/>
      <c r="LZE1" s="184"/>
      <c r="LZF1" s="184"/>
      <c r="LZG1" s="184"/>
      <c r="LZH1" s="184"/>
      <c r="LZI1" s="184"/>
      <c r="LZJ1" s="184"/>
      <c r="LZK1" s="184"/>
      <c r="LZL1" s="184"/>
      <c r="LZM1" s="184"/>
      <c r="LZN1" s="184"/>
      <c r="LZO1" s="184"/>
      <c r="LZP1" s="184"/>
      <c r="LZQ1" s="184"/>
      <c r="LZR1" s="184"/>
      <c r="LZS1" s="184"/>
      <c r="LZT1" s="184"/>
      <c r="LZU1" s="184"/>
      <c r="LZV1" s="184"/>
      <c r="LZW1" s="184"/>
      <c r="LZX1" s="184"/>
      <c r="LZY1" s="184"/>
      <c r="LZZ1" s="184"/>
      <c r="MAA1" s="184"/>
      <c r="MAB1" s="184"/>
      <c r="MAC1" s="184"/>
      <c r="MAD1" s="184"/>
      <c r="MAE1" s="184"/>
      <c r="MAF1" s="184"/>
      <c r="MAG1" s="184"/>
      <c r="MAH1" s="184"/>
      <c r="MAI1" s="184"/>
      <c r="MAJ1" s="184"/>
      <c r="MAK1" s="184"/>
      <c r="MAL1" s="184"/>
      <c r="MAM1" s="184"/>
      <c r="MAN1" s="184"/>
      <c r="MAO1" s="184"/>
      <c r="MAP1" s="184"/>
      <c r="MAQ1" s="184"/>
      <c r="MAR1" s="184"/>
      <c r="MAS1" s="184"/>
      <c r="MAT1" s="184"/>
      <c r="MAU1" s="184"/>
      <c r="MAV1" s="184"/>
      <c r="MAW1" s="184"/>
      <c r="MAX1" s="184"/>
      <c r="MAY1" s="184"/>
      <c r="MAZ1" s="184"/>
      <c r="MBA1" s="184"/>
      <c r="MBB1" s="184"/>
      <c r="MBC1" s="184"/>
      <c r="MBD1" s="184"/>
      <c r="MBE1" s="184"/>
      <c r="MBF1" s="184"/>
      <c r="MBG1" s="184"/>
      <c r="MBH1" s="184"/>
      <c r="MBI1" s="184"/>
      <c r="MBJ1" s="184"/>
      <c r="MBK1" s="184"/>
      <c r="MBL1" s="184"/>
      <c r="MBM1" s="184"/>
      <c r="MBN1" s="184"/>
      <c r="MBO1" s="184"/>
      <c r="MBP1" s="184"/>
      <c r="MBQ1" s="184"/>
      <c r="MBR1" s="184"/>
      <c r="MBS1" s="184"/>
      <c r="MBT1" s="184"/>
      <c r="MBU1" s="184"/>
      <c r="MBV1" s="184"/>
      <c r="MBW1" s="184"/>
      <c r="MBX1" s="184"/>
      <c r="MBY1" s="184"/>
      <c r="MBZ1" s="184"/>
      <c r="MCA1" s="184"/>
      <c r="MCB1" s="184"/>
      <c r="MCC1" s="184"/>
      <c r="MCD1" s="184"/>
      <c r="MCE1" s="184"/>
      <c r="MCF1" s="184"/>
      <c r="MCG1" s="184"/>
      <c r="MCH1" s="184"/>
      <c r="MCI1" s="184"/>
      <c r="MCJ1" s="184"/>
      <c r="MCK1" s="184"/>
      <c r="MCL1" s="184"/>
      <c r="MCM1" s="184"/>
      <c r="MCN1" s="184"/>
      <c r="MCO1" s="184"/>
      <c r="MCP1" s="184"/>
      <c r="MCQ1" s="184"/>
      <c r="MCR1" s="184"/>
      <c r="MCS1" s="184"/>
      <c r="MCT1" s="184"/>
      <c r="MCU1" s="184"/>
      <c r="MCV1" s="184"/>
      <c r="MCW1" s="184"/>
      <c r="MCX1" s="184"/>
      <c r="MCY1" s="184"/>
      <c r="MCZ1" s="184"/>
      <c r="MDA1" s="184"/>
      <c r="MDB1" s="184"/>
      <c r="MDC1" s="184"/>
      <c r="MDD1" s="184"/>
      <c r="MDE1" s="184"/>
      <c r="MDF1" s="184"/>
      <c r="MDG1" s="184"/>
      <c r="MDH1" s="184"/>
      <c r="MDI1" s="184"/>
      <c r="MDJ1" s="184"/>
      <c r="MDK1" s="184"/>
      <c r="MDL1" s="184"/>
      <c r="MDM1" s="184"/>
      <c r="MDN1" s="184"/>
      <c r="MDO1" s="184"/>
      <c r="MDP1" s="184"/>
      <c r="MDQ1" s="184"/>
      <c r="MDR1" s="184"/>
      <c r="MDS1" s="184"/>
      <c r="MDT1" s="184"/>
      <c r="MDU1" s="184"/>
      <c r="MDV1" s="184"/>
      <c r="MDW1" s="184"/>
      <c r="MDX1" s="184"/>
      <c r="MDY1" s="184"/>
      <c r="MDZ1" s="184"/>
      <c r="MEA1" s="184"/>
      <c r="MEB1" s="184"/>
      <c r="MEC1" s="184"/>
      <c r="MED1" s="184"/>
      <c r="MEE1" s="184"/>
      <c r="MEF1" s="184"/>
      <c r="MEG1" s="184"/>
      <c r="MEH1" s="184"/>
      <c r="MEI1" s="184"/>
      <c r="MEJ1" s="184"/>
      <c r="MEK1" s="184"/>
      <c r="MEL1" s="184"/>
      <c r="MEM1" s="184"/>
      <c r="MEN1" s="184"/>
      <c r="MEO1" s="184"/>
      <c r="MEP1" s="184"/>
      <c r="MEQ1" s="184"/>
      <c r="MER1" s="184"/>
      <c r="MES1" s="184"/>
      <c r="MET1" s="184"/>
      <c r="MEU1" s="184"/>
      <c r="MEV1" s="184"/>
      <c r="MEW1" s="184"/>
      <c r="MEX1" s="184"/>
      <c r="MEY1" s="184"/>
      <c r="MEZ1" s="184"/>
      <c r="MFA1" s="184"/>
      <c r="MFB1" s="184"/>
      <c r="MFC1" s="184"/>
      <c r="MFD1" s="184"/>
      <c r="MFE1" s="184"/>
      <c r="MFF1" s="184"/>
      <c r="MFG1" s="184"/>
      <c r="MFH1" s="184"/>
      <c r="MFI1" s="184"/>
      <c r="MFJ1" s="184"/>
      <c r="MFK1" s="184"/>
      <c r="MFL1" s="184"/>
      <c r="MFM1" s="184"/>
      <c r="MFN1" s="184"/>
      <c r="MFO1" s="184"/>
      <c r="MFP1" s="184"/>
      <c r="MFQ1" s="184"/>
      <c r="MFR1" s="184"/>
      <c r="MFS1" s="184"/>
      <c r="MFT1" s="184"/>
      <c r="MFU1" s="184"/>
      <c r="MFV1" s="184"/>
      <c r="MFW1" s="184"/>
      <c r="MFX1" s="184"/>
      <c r="MFY1" s="184"/>
      <c r="MFZ1" s="184"/>
      <c r="MGA1" s="184"/>
      <c r="MGB1" s="184"/>
      <c r="MGC1" s="184"/>
      <c r="MGD1" s="184"/>
      <c r="MGE1" s="184"/>
      <c r="MGF1" s="184"/>
      <c r="MGG1" s="184"/>
      <c r="MGH1" s="184"/>
      <c r="MGI1" s="184"/>
      <c r="MGJ1" s="184"/>
      <c r="MGK1" s="184"/>
      <c r="MGL1" s="184"/>
      <c r="MGM1" s="184"/>
      <c r="MGN1" s="184"/>
      <c r="MGO1" s="184"/>
      <c r="MGP1" s="184"/>
      <c r="MGQ1" s="184"/>
      <c r="MGR1" s="184"/>
      <c r="MGS1" s="184"/>
      <c r="MGT1" s="184"/>
      <c r="MGU1" s="184"/>
      <c r="MGV1" s="184"/>
      <c r="MGW1" s="184"/>
      <c r="MGX1" s="184"/>
      <c r="MGY1" s="184"/>
      <c r="MGZ1" s="184"/>
      <c r="MHA1" s="184"/>
      <c r="MHB1" s="184"/>
      <c r="MHC1" s="184"/>
      <c r="MHD1" s="184"/>
      <c r="MHE1" s="184"/>
      <c r="MHF1" s="184"/>
      <c r="MHG1" s="184"/>
      <c r="MHH1" s="184"/>
      <c r="MHI1" s="184"/>
      <c r="MHJ1" s="184"/>
      <c r="MHK1" s="184"/>
      <c r="MHL1" s="184"/>
      <c r="MHM1" s="184"/>
      <c r="MHN1" s="184"/>
      <c r="MHO1" s="184"/>
      <c r="MHP1" s="184"/>
      <c r="MHQ1" s="184"/>
      <c r="MHR1" s="184"/>
      <c r="MHS1" s="184"/>
      <c r="MHT1" s="184"/>
      <c r="MHU1" s="184"/>
      <c r="MHV1" s="184"/>
      <c r="MHW1" s="184"/>
      <c r="MHX1" s="184"/>
      <c r="MHY1" s="184"/>
      <c r="MHZ1" s="184"/>
      <c r="MIA1" s="184"/>
      <c r="MIB1" s="184"/>
      <c r="MIC1" s="184"/>
      <c r="MID1" s="184"/>
      <c r="MIE1" s="184"/>
      <c r="MIF1" s="184"/>
      <c r="MIG1" s="184"/>
      <c r="MIH1" s="184"/>
      <c r="MII1" s="184"/>
      <c r="MIJ1" s="184"/>
      <c r="MIK1" s="184"/>
      <c r="MIL1" s="184"/>
      <c r="MIM1" s="184"/>
      <c r="MIN1" s="184"/>
      <c r="MIO1" s="184"/>
      <c r="MIP1" s="184"/>
      <c r="MIQ1" s="184"/>
      <c r="MIR1" s="184"/>
      <c r="MIS1" s="184"/>
      <c r="MIT1" s="184"/>
      <c r="MIU1" s="184"/>
      <c r="MIV1" s="184"/>
      <c r="MIW1" s="184"/>
      <c r="MIX1" s="184"/>
      <c r="MIY1" s="184"/>
      <c r="MIZ1" s="184"/>
      <c r="MJA1" s="184"/>
      <c r="MJB1" s="184"/>
      <c r="MJC1" s="184"/>
      <c r="MJD1" s="184"/>
      <c r="MJE1" s="184"/>
      <c r="MJF1" s="184"/>
      <c r="MJG1" s="184"/>
      <c r="MJH1" s="184"/>
      <c r="MJI1" s="184"/>
      <c r="MJJ1" s="184"/>
      <c r="MJK1" s="184"/>
      <c r="MJL1" s="184"/>
      <c r="MJM1" s="184"/>
      <c r="MJN1" s="184"/>
      <c r="MJO1" s="184"/>
      <c r="MJP1" s="184"/>
      <c r="MJQ1" s="184"/>
      <c r="MJR1" s="184"/>
      <c r="MJS1" s="184"/>
      <c r="MJT1" s="184"/>
      <c r="MJU1" s="184"/>
      <c r="MJV1" s="184"/>
      <c r="MJW1" s="184"/>
      <c r="MJX1" s="184"/>
      <c r="MJY1" s="184"/>
      <c r="MJZ1" s="184"/>
      <c r="MKA1" s="184"/>
      <c r="MKB1" s="184"/>
      <c r="MKC1" s="184"/>
      <c r="MKD1" s="184"/>
      <c r="MKE1" s="184"/>
      <c r="MKF1" s="184"/>
      <c r="MKG1" s="184"/>
      <c r="MKH1" s="184"/>
      <c r="MKI1" s="184"/>
      <c r="MKJ1" s="184"/>
      <c r="MKK1" s="184"/>
      <c r="MKL1" s="184"/>
      <c r="MKM1" s="184"/>
      <c r="MKN1" s="184"/>
      <c r="MKO1" s="184"/>
      <c r="MKP1" s="184"/>
      <c r="MKQ1" s="184"/>
      <c r="MKR1" s="184"/>
      <c r="MKS1" s="184"/>
      <c r="MKT1" s="184"/>
      <c r="MKU1" s="184"/>
      <c r="MKV1" s="184"/>
      <c r="MKW1" s="184"/>
      <c r="MKX1" s="184"/>
      <c r="MKY1" s="184"/>
      <c r="MKZ1" s="184"/>
      <c r="MLA1" s="184"/>
      <c r="MLB1" s="184"/>
      <c r="MLC1" s="184"/>
      <c r="MLD1" s="184"/>
      <c r="MLE1" s="184"/>
      <c r="MLF1" s="184"/>
      <c r="MLG1" s="184"/>
      <c r="MLH1" s="184"/>
      <c r="MLI1" s="184"/>
      <c r="MLJ1" s="184"/>
      <c r="MLK1" s="184"/>
      <c r="MLL1" s="184"/>
      <c r="MLM1" s="184"/>
      <c r="MLN1" s="184"/>
      <c r="MLO1" s="184"/>
      <c r="MLP1" s="184"/>
      <c r="MLQ1" s="184"/>
      <c r="MLR1" s="184"/>
      <c r="MLS1" s="184"/>
      <c r="MLT1" s="184"/>
      <c r="MLU1" s="184"/>
      <c r="MLV1" s="184"/>
      <c r="MLW1" s="184"/>
      <c r="MLX1" s="184"/>
      <c r="MLY1" s="184"/>
      <c r="MLZ1" s="184"/>
      <c r="MMA1" s="184"/>
      <c r="MMB1" s="184"/>
      <c r="MMC1" s="184"/>
      <c r="MMD1" s="184"/>
      <c r="MME1" s="184"/>
      <c r="MMF1" s="184"/>
      <c r="MMG1" s="184"/>
      <c r="MMH1" s="184"/>
      <c r="MMI1" s="184"/>
      <c r="MMJ1" s="184"/>
      <c r="MMK1" s="184"/>
      <c r="MML1" s="184"/>
      <c r="MMM1" s="184"/>
      <c r="MMN1" s="184"/>
      <c r="MMO1" s="184"/>
      <c r="MMP1" s="184"/>
      <c r="MMQ1" s="184"/>
      <c r="MMR1" s="184"/>
      <c r="MMS1" s="184"/>
      <c r="MMT1" s="184"/>
      <c r="MMU1" s="184"/>
      <c r="MMV1" s="184"/>
      <c r="MMW1" s="184"/>
      <c r="MMX1" s="184"/>
      <c r="MMY1" s="184"/>
      <c r="MMZ1" s="184"/>
      <c r="MNA1" s="184"/>
      <c r="MNB1" s="184"/>
      <c r="MNC1" s="184"/>
      <c r="MND1" s="184"/>
      <c r="MNE1" s="184"/>
      <c r="MNF1" s="184"/>
      <c r="MNG1" s="184"/>
      <c r="MNH1" s="184"/>
      <c r="MNI1" s="184"/>
      <c r="MNJ1" s="184"/>
      <c r="MNK1" s="184"/>
      <c r="MNL1" s="184"/>
      <c r="MNM1" s="184"/>
      <c r="MNN1" s="184"/>
      <c r="MNO1" s="184"/>
      <c r="MNP1" s="184"/>
      <c r="MNQ1" s="184"/>
      <c r="MNR1" s="184"/>
      <c r="MNS1" s="184"/>
      <c r="MNT1" s="184"/>
      <c r="MNU1" s="184"/>
      <c r="MNV1" s="184"/>
      <c r="MNW1" s="184"/>
      <c r="MNX1" s="184"/>
      <c r="MNY1" s="184"/>
      <c r="MNZ1" s="184"/>
      <c r="MOA1" s="184"/>
      <c r="MOB1" s="184"/>
      <c r="MOC1" s="184"/>
      <c r="MOD1" s="184"/>
      <c r="MOE1" s="184"/>
      <c r="MOF1" s="184"/>
      <c r="MOG1" s="184"/>
      <c r="MOH1" s="184"/>
      <c r="MOI1" s="184"/>
      <c r="MOJ1" s="184"/>
      <c r="MOK1" s="184"/>
      <c r="MOL1" s="184"/>
      <c r="MOM1" s="184"/>
      <c r="MON1" s="184"/>
      <c r="MOO1" s="184"/>
      <c r="MOP1" s="184"/>
      <c r="MOQ1" s="184"/>
      <c r="MOR1" s="184"/>
      <c r="MOS1" s="184"/>
      <c r="MOT1" s="184"/>
      <c r="MOU1" s="184"/>
      <c r="MOV1" s="184"/>
      <c r="MOW1" s="184"/>
      <c r="MOX1" s="184"/>
      <c r="MOY1" s="184"/>
      <c r="MOZ1" s="184"/>
      <c r="MPA1" s="184"/>
      <c r="MPB1" s="184"/>
      <c r="MPC1" s="184"/>
      <c r="MPD1" s="184"/>
      <c r="MPE1" s="184"/>
      <c r="MPF1" s="184"/>
      <c r="MPG1" s="184"/>
      <c r="MPH1" s="184"/>
      <c r="MPI1" s="184"/>
      <c r="MPJ1" s="184"/>
      <c r="MPK1" s="184"/>
      <c r="MPL1" s="184"/>
      <c r="MPM1" s="184"/>
      <c r="MPN1" s="184"/>
      <c r="MPO1" s="184"/>
      <c r="MPP1" s="184"/>
      <c r="MPQ1" s="184"/>
      <c r="MPR1" s="184"/>
      <c r="MPS1" s="184"/>
      <c r="MPT1" s="184"/>
      <c r="MPU1" s="184"/>
      <c r="MPV1" s="184"/>
      <c r="MPW1" s="184"/>
      <c r="MPX1" s="184"/>
      <c r="MPY1" s="184"/>
      <c r="MPZ1" s="184"/>
      <c r="MQA1" s="184"/>
      <c r="MQB1" s="184"/>
      <c r="MQC1" s="184"/>
      <c r="MQD1" s="184"/>
      <c r="MQE1" s="184"/>
      <c r="MQF1" s="184"/>
      <c r="MQG1" s="184"/>
      <c r="MQH1" s="184"/>
      <c r="MQI1" s="184"/>
      <c r="MQJ1" s="184"/>
      <c r="MQK1" s="184"/>
      <c r="MQL1" s="184"/>
      <c r="MQM1" s="184"/>
      <c r="MQN1" s="184"/>
      <c r="MQO1" s="184"/>
      <c r="MQP1" s="184"/>
      <c r="MQQ1" s="184"/>
      <c r="MQR1" s="184"/>
      <c r="MQS1" s="184"/>
      <c r="MQT1" s="184"/>
      <c r="MQU1" s="184"/>
      <c r="MQV1" s="184"/>
      <c r="MQW1" s="184"/>
      <c r="MQX1" s="184"/>
      <c r="MQY1" s="184"/>
      <c r="MQZ1" s="184"/>
      <c r="MRA1" s="184"/>
      <c r="MRB1" s="184"/>
      <c r="MRC1" s="184"/>
      <c r="MRD1" s="184"/>
      <c r="MRE1" s="184"/>
      <c r="MRF1" s="184"/>
      <c r="MRG1" s="184"/>
      <c r="MRH1" s="184"/>
      <c r="MRI1" s="184"/>
      <c r="MRJ1" s="184"/>
      <c r="MRK1" s="184"/>
      <c r="MRL1" s="184"/>
      <c r="MRM1" s="184"/>
      <c r="MRN1" s="184"/>
      <c r="MRO1" s="184"/>
      <c r="MRP1" s="184"/>
      <c r="MRQ1" s="184"/>
      <c r="MRR1" s="184"/>
      <c r="MRS1" s="184"/>
      <c r="MRT1" s="184"/>
      <c r="MRU1" s="184"/>
      <c r="MRV1" s="184"/>
      <c r="MRW1" s="184"/>
      <c r="MRX1" s="184"/>
      <c r="MRY1" s="184"/>
      <c r="MRZ1" s="184"/>
      <c r="MSA1" s="184"/>
      <c r="MSB1" s="184"/>
      <c r="MSC1" s="184"/>
      <c r="MSD1" s="184"/>
      <c r="MSE1" s="184"/>
      <c r="MSF1" s="184"/>
      <c r="MSG1" s="184"/>
      <c r="MSH1" s="184"/>
      <c r="MSI1" s="184"/>
      <c r="MSJ1" s="184"/>
      <c r="MSK1" s="184"/>
      <c r="MSL1" s="184"/>
      <c r="MSM1" s="184"/>
      <c r="MSN1" s="184"/>
      <c r="MSO1" s="184"/>
      <c r="MSP1" s="184"/>
      <c r="MSQ1" s="184"/>
      <c r="MSR1" s="184"/>
      <c r="MSS1" s="184"/>
      <c r="MST1" s="184"/>
      <c r="MSU1" s="184"/>
      <c r="MSV1" s="184"/>
      <c r="MSW1" s="184"/>
      <c r="MSX1" s="184"/>
      <c r="MSY1" s="184"/>
      <c r="MSZ1" s="184"/>
      <c r="MTA1" s="184"/>
      <c r="MTB1" s="184"/>
      <c r="MTC1" s="184"/>
      <c r="MTD1" s="184"/>
      <c r="MTE1" s="184"/>
      <c r="MTF1" s="184"/>
      <c r="MTG1" s="184"/>
      <c r="MTH1" s="184"/>
      <c r="MTI1" s="184"/>
      <c r="MTJ1" s="184"/>
      <c r="MTK1" s="184"/>
      <c r="MTL1" s="184"/>
      <c r="MTM1" s="184"/>
      <c r="MTN1" s="184"/>
      <c r="MTO1" s="184"/>
      <c r="MTP1" s="184"/>
      <c r="MTQ1" s="184"/>
      <c r="MTR1" s="184"/>
      <c r="MTS1" s="184"/>
      <c r="MTT1" s="184"/>
      <c r="MTU1" s="184"/>
      <c r="MTV1" s="184"/>
      <c r="MTW1" s="184"/>
      <c r="MTX1" s="184"/>
      <c r="MTY1" s="184"/>
      <c r="MTZ1" s="184"/>
      <c r="MUA1" s="184"/>
      <c r="MUB1" s="184"/>
      <c r="MUC1" s="184"/>
      <c r="MUD1" s="184"/>
      <c r="MUE1" s="184"/>
      <c r="MUF1" s="184"/>
      <c r="MUG1" s="184"/>
      <c r="MUH1" s="184"/>
      <c r="MUI1" s="184"/>
      <c r="MUJ1" s="184"/>
      <c r="MUK1" s="184"/>
      <c r="MUL1" s="184"/>
      <c r="MUM1" s="184"/>
      <c r="MUN1" s="184"/>
      <c r="MUO1" s="184"/>
      <c r="MUP1" s="184"/>
      <c r="MUQ1" s="184"/>
      <c r="MUR1" s="184"/>
      <c r="MUS1" s="184"/>
      <c r="MUT1" s="184"/>
      <c r="MUU1" s="184"/>
      <c r="MUV1" s="184"/>
      <c r="MUW1" s="184"/>
      <c r="MUX1" s="184"/>
      <c r="MUY1" s="184"/>
      <c r="MUZ1" s="184"/>
      <c r="MVA1" s="184"/>
      <c r="MVB1" s="184"/>
      <c r="MVC1" s="184"/>
      <c r="MVD1" s="184"/>
      <c r="MVE1" s="184"/>
      <c r="MVF1" s="184"/>
      <c r="MVG1" s="184"/>
      <c r="MVH1" s="184"/>
      <c r="MVI1" s="184"/>
      <c r="MVJ1" s="184"/>
      <c r="MVK1" s="184"/>
      <c r="MVL1" s="184"/>
      <c r="MVM1" s="184"/>
      <c r="MVN1" s="184"/>
      <c r="MVO1" s="184"/>
      <c r="MVP1" s="184"/>
      <c r="MVQ1" s="184"/>
      <c r="MVR1" s="184"/>
      <c r="MVS1" s="184"/>
      <c r="MVT1" s="184"/>
      <c r="MVU1" s="184"/>
      <c r="MVV1" s="184"/>
      <c r="MVW1" s="184"/>
      <c r="MVX1" s="184"/>
      <c r="MVY1" s="184"/>
      <c r="MVZ1" s="184"/>
      <c r="MWA1" s="184"/>
      <c r="MWB1" s="184"/>
      <c r="MWC1" s="184"/>
      <c r="MWD1" s="184"/>
      <c r="MWE1" s="184"/>
      <c r="MWF1" s="184"/>
      <c r="MWG1" s="184"/>
      <c r="MWH1" s="184"/>
      <c r="MWI1" s="184"/>
      <c r="MWJ1" s="184"/>
      <c r="MWK1" s="184"/>
      <c r="MWL1" s="184"/>
      <c r="MWM1" s="184"/>
      <c r="MWN1" s="184"/>
      <c r="MWO1" s="184"/>
      <c r="MWP1" s="184"/>
      <c r="MWQ1" s="184"/>
      <c r="MWR1" s="184"/>
      <c r="MWS1" s="184"/>
      <c r="MWT1" s="184"/>
      <c r="MWU1" s="184"/>
      <c r="MWV1" s="184"/>
      <c r="MWW1" s="184"/>
      <c r="MWX1" s="184"/>
      <c r="MWY1" s="184"/>
      <c r="MWZ1" s="184"/>
      <c r="MXA1" s="184"/>
      <c r="MXB1" s="184"/>
      <c r="MXC1" s="184"/>
      <c r="MXD1" s="184"/>
      <c r="MXE1" s="184"/>
      <c r="MXF1" s="184"/>
      <c r="MXG1" s="184"/>
      <c r="MXH1" s="184"/>
      <c r="MXI1" s="184"/>
      <c r="MXJ1" s="184"/>
      <c r="MXK1" s="184"/>
      <c r="MXL1" s="184"/>
      <c r="MXM1" s="184"/>
      <c r="MXN1" s="184"/>
      <c r="MXO1" s="184"/>
      <c r="MXP1" s="184"/>
      <c r="MXQ1" s="184"/>
      <c r="MXR1" s="184"/>
      <c r="MXS1" s="184"/>
      <c r="MXT1" s="184"/>
      <c r="MXU1" s="184"/>
      <c r="MXV1" s="184"/>
      <c r="MXW1" s="184"/>
      <c r="MXX1" s="184"/>
      <c r="MXY1" s="184"/>
      <c r="MXZ1" s="184"/>
      <c r="MYA1" s="184"/>
      <c r="MYB1" s="184"/>
      <c r="MYC1" s="184"/>
      <c r="MYD1" s="184"/>
      <c r="MYE1" s="184"/>
      <c r="MYF1" s="184"/>
      <c r="MYG1" s="184"/>
      <c r="MYH1" s="184"/>
      <c r="MYI1" s="184"/>
      <c r="MYJ1" s="184"/>
      <c r="MYK1" s="184"/>
      <c r="MYL1" s="184"/>
      <c r="MYM1" s="184"/>
      <c r="MYN1" s="184"/>
      <c r="MYO1" s="184"/>
      <c r="MYP1" s="184"/>
      <c r="MYQ1" s="184"/>
      <c r="MYR1" s="184"/>
      <c r="MYS1" s="184"/>
      <c r="MYT1" s="184"/>
      <c r="MYU1" s="184"/>
      <c r="MYV1" s="184"/>
      <c r="MYW1" s="184"/>
      <c r="MYX1" s="184"/>
      <c r="MYY1" s="184"/>
      <c r="MYZ1" s="184"/>
      <c r="MZA1" s="184"/>
      <c r="MZB1" s="184"/>
      <c r="MZC1" s="184"/>
      <c r="MZD1" s="184"/>
      <c r="MZE1" s="184"/>
      <c r="MZF1" s="184"/>
      <c r="MZG1" s="184"/>
      <c r="MZH1" s="184"/>
      <c r="MZI1" s="184"/>
      <c r="MZJ1" s="184"/>
      <c r="MZK1" s="184"/>
      <c r="MZL1" s="184"/>
      <c r="MZM1" s="184"/>
      <c r="MZN1" s="184"/>
      <c r="MZO1" s="184"/>
      <c r="MZP1" s="184"/>
      <c r="MZQ1" s="184"/>
      <c r="MZR1" s="184"/>
      <c r="MZS1" s="184"/>
      <c r="MZT1" s="184"/>
      <c r="MZU1" s="184"/>
      <c r="MZV1" s="184"/>
      <c r="MZW1" s="184"/>
      <c r="MZX1" s="184"/>
      <c r="MZY1" s="184"/>
      <c r="MZZ1" s="184"/>
      <c r="NAA1" s="184"/>
      <c r="NAB1" s="184"/>
      <c r="NAC1" s="184"/>
      <c r="NAD1" s="184"/>
      <c r="NAE1" s="184"/>
      <c r="NAF1" s="184"/>
      <c r="NAG1" s="184"/>
      <c r="NAH1" s="184"/>
      <c r="NAI1" s="184"/>
      <c r="NAJ1" s="184"/>
      <c r="NAK1" s="184"/>
      <c r="NAL1" s="184"/>
      <c r="NAM1" s="184"/>
      <c r="NAN1" s="184"/>
      <c r="NAO1" s="184"/>
      <c r="NAP1" s="184"/>
      <c r="NAQ1" s="184"/>
      <c r="NAR1" s="184"/>
      <c r="NAS1" s="184"/>
      <c r="NAT1" s="184"/>
      <c r="NAU1" s="184"/>
      <c r="NAV1" s="184"/>
      <c r="NAW1" s="184"/>
      <c r="NAX1" s="184"/>
      <c r="NAY1" s="184"/>
      <c r="NAZ1" s="184"/>
      <c r="NBA1" s="184"/>
      <c r="NBB1" s="184"/>
      <c r="NBC1" s="184"/>
      <c r="NBD1" s="184"/>
      <c r="NBE1" s="184"/>
      <c r="NBF1" s="184"/>
      <c r="NBG1" s="184"/>
      <c r="NBH1" s="184"/>
      <c r="NBI1" s="184"/>
      <c r="NBJ1" s="184"/>
      <c r="NBK1" s="184"/>
      <c r="NBL1" s="184"/>
      <c r="NBM1" s="184"/>
      <c r="NBN1" s="184"/>
      <c r="NBO1" s="184"/>
      <c r="NBP1" s="184"/>
      <c r="NBQ1" s="184"/>
      <c r="NBR1" s="184"/>
      <c r="NBS1" s="184"/>
      <c r="NBT1" s="184"/>
      <c r="NBU1" s="184"/>
      <c r="NBV1" s="184"/>
      <c r="NBW1" s="184"/>
      <c r="NBX1" s="184"/>
      <c r="NBY1" s="184"/>
      <c r="NBZ1" s="184"/>
      <c r="NCA1" s="184"/>
      <c r="NCB1" s="184"/>
      <c r="NCC1" s="184"/>
      <c r="NCD1" s="184"/>
      <c r="NCE1" s="184"/>
      <c r="NCF1" s="184"/>
      <c r="NCG1" s="184"/>
      <c r="NCH1" s="184"/>
      <c r="NCI1" s="184"/>
      <c r="NCJ1" s="184"/>
      <c r="NCK1" s="184"/>
      <c r="NCL1" s="184"/>
      <c r="NCM1" s="184"/>
      <c r="NCN1" s="184"/>
      <c r="NCO1" s="184"/>
      <c r="NCP1" s="184"/>
      <c r="NCQ1" s="184"/>
      <c r="NCR1" s="184"/>
      <c r="NCS1" s="184"/>
      <c r="NCT1" s="184"/>
      <c r="NCU1" s="184"/>
      <c r="NCV1" s="184"/>
      <c r="NCW1" s="184"/>
      <c r="NCX1" s="184"/>
      <c r="NCY1" s="184"/>
      <c r="NCZ1" s="184"/>
      <c r="NDA1" s="184"/>
      <c r="NDB1" s="184"/>
      <c r="NDC1" s="184"/>
      <c r="NDD1" s="184"/>
      <c r="NDE1" s="184"/>
      <c r="NDF1" s="184"/>
      <c r="NDG1" s="184"/>
      <c r="NDH1" s="184"/>
      <c r="NDI1" s="184"/>
      <c r="NDJ1" s="184"/>
      <c r="NDK1" s="184"/>
      <c r="NDL1" s="184"/>
      <c r="NDM1" s="184"/>
      <c r="NDN1" s="184"/>
      <c r="NDO1" s="184"/>
      <c r="NDP1" s="184"/>
      <c r="NDQ1" s="184"/>
      <c r="NDR1" s="184"/>
      <c r="NDS1" s="184"/>
      <c r="NDT1" s="184"/>
      <c r="NDU1" s="184"/>
      <c r="NDV1" s="184"/>
      <c r="NDW1" s="184"/>
      <c r="NDX1" s="184"/>
      <c r="NDY1" s="184"/>
      <c r="NDZ1" s="184"/>
      <c r="NEA1" s="184"/>
      <c r="NEB1" s="184"/>
      <c r="NEC1" s="184"/>
      <c r="NED1" s="184"/>
      <c r="NEE1" s="184"/>
      <c r="NEF1" s="184"/>
      <c r="NEG1" s="184"/>
      <c r="NEH1" s="184"/>
      <c r="NEI1" s="184"/>
      <c r="NEJ1" s="184"/>
      <c r="NEK1" s="184"/>
      <c r="NEL1" s="184"/>
      <c r="NEM1" s="184"/>
      <c r="NEN1" s="184"/>
      <c r="NEO1" s="184"/>
      <c r="NEP1" s="184"/>
      <c r="NEQ1" s="184"/>
      <c r="NER1" s="184"/>
      <c r="NES1" s="184"/>
      <c r="NET1" s="184"/>
      <c r="NEU1" s="184"/>
      <c r="NEV1" s="184"/>
      <c r="NEW1" s="184"/>
      <c r="NEX1" s="184"/>
      <c r="NEY1" s="184"/>
      <c r="NEZ1" s="184"/>
      <c r="NFA1" s="184"/>
      <c r="NFB1" s="184"/>
      <c r="NFC1" s="184"/>
      <c r="NFD1" s="184"/>
      <c r="NFE1" s="184"/>
      <c r="NFF1" s="184"/>
      <c r="NFG1" s="184"/>
      <c r="NFH1" s="184"/>
      <c r="NFI1" s="184"/>
      <c r="NFJ1" s="184"/>
      <c r="NFK1" s="184"/>
      <c r="NFL1" s="184"/>
      <c r="NFM1" s="184"/>
      <c r="NFN1" s="184"/>
      <c r="NFO1" s="184"/>
      <c r="NFP1" s="184"/>
      <c r="NFQ1" s="184"/>
      <c r="NFR1" s="184"/>
      <c r="NFS1" s="184"/>
      <c r="NFT1" s="184"/>
      <c r="NFU1" s="184"/>
      <c r="NFV1" s="184"/>
      <c r="NFW1" s="184"/>
      <c r="NFX1" s="184"/>
      <c r="NFY1" s="184"/>
      <c r="NFZ1" s="184"/>
      <c r="NGA1" s="184"/>
      <c r="NGB1" s="184"/>
      <c r="NGC1" s="184"/>
      <c r="NGD1" s="184"/>
      <c r="NGE1" s="184"/>
      <c r="NGF1" s="184"/>
      <c r="NGG1" s="184"/>
      <c r="NGH1" s="184"/>
      <c r="NGI1" s="184"/>
      <c r="NGJ1" s="184"/>
      <c r="NGK1" s="184"/>
      <c r="NGL1" s="184"/>
      <c r="NGM1" s="184"/>
      <c r="NGN1" s="184"/>
      <c r="NGO1" s="184"/>
      <c r="NGP1" s="184"/>
      <c r="NGQ1" s="184"/>
      <c r="NGR1" s="184"/>
      <c r="NGS1" s="184"/>
      <c r="NGT1" s="184"/>
      <c r="NGU1" s="184"/>
      <c r="NGV1" s="184"/>
      <c r="NGW1" s="184"/>
      <c r="NGX1" s="184"/>
      <c r="NGY1" s="184"/>
      <c r="NGZ1" s="184"/>
      <c r="NHA1" s="184"/>
      <c r="NHB1" s="184"/>
      <c r="NHC1" s="184"/>
      <c r="NHD1" s="184"/>
      <c r="NHE1" s="184"/>
      <c r="NHF1" s="184"/>
      <c r="NHG1" s="184"/>
      <c r="NHH1" s="184"/>
      <c r="NHI1" s="184"/>
      <c r="NHJ1" s="184"/>
      <c r="NHK1" s="184"/>
      <c r="NHL1" s="184"/>
      <c r="NHM1" s="184"/>
      <c r="NHN1" s="184"/>
      <c r="NHO1" s="184"/>
      <c r="NHP1" s="184"/>
      <c r="NHQ1" s="184"/>
      <c r="NHR1" s="184"/>
      <c r="NHS1" s="184"/>
      <c r="NHT1" s="184"/>
      <c r="NHU1" s="184"/>
      <c r="NHV1" s="184"/>
      <c r="NHW1" s="184"/>
      <c r="NHX1" s="184"/>
      <c r="NHY1" s="184"/>
      <c r="NHZ1" s="184"/>
      <c r="NIA1" s="184"/>
      <c r="NIB1" s="184"/>
      <c r="NIC1" s="184"/>
      <c r="NID1" s="184"/>
      <c r="NIE1" s="184"/>
      <c r="NIF1" s="184"/>
      <c r="NIG1" s="184"/>
      <c r="NIH1" s="184"/>
      <c r="NII1" s="184"/>
      <c r="NIJ1" s="184"/>
      <c r="NIK1" s="184"/>
      <c r="NIL1" s="184"/>
      <c r="NIM1" s="184"/>
      <c r="NIN1" s="184"/>
      <c r="NIO1" s="184"/>
      <c r="NIP1" s="184"/>
      <c r="NIQ1" s="184"/>
      <c r="NIR1" s="184"/>
      <c r="NIS1" s="184"/>
      <c r="NIT1" s="184"/>
      <c r="NIU1" s="184"/>
      <c r="NIV1" s="184"/>
      <c r="NIW1" s="184"/>
      <c r="NIX1" s="184"/>
      <c r="NIY1" s="184"/>
      <c r="NIZ1" s="184"/>
      <c r="NJA1" s="184"/>
      <c r="NJB1" s="184"/>
      <c r="NJC1" s="184"/>
      <c r="NJD1" s="184"/>
      <c r="NJE1" s="184"/>
      <c r="NJF1" s="184"/>
      <c r="NJG1" s="184"/>
      <c r="NJH1" s="184"/>
      <c r="NJI1" s="184"/>
      <c r="NJJ1" s="184"/>
      <c r="NJK1" s="184"/>
      <c r="NJL1" s="184"/>
      <c r="NJM1" s="184"/>
      <c r="NJN1" s="184"/>
      <c r="NJO1" s="184"/>
      <c r="NJP1" s="184"/>
      <c r="NJQ1" s="184"/>
      <c r="NJR1" s="184"/>
      <c r="NJS1" s="184"/>
      <c r="NJT1" s="184"/>
      <c r="NJU1" s="184"/>
      <c r="NJV1" s="184"/>
      <c r="NJW1" s="184"/>
      <c r="NJX1" s="184"/>
      <c r="NJY1" s="184"/>
      <c r="NJZ1" s="184"/>
      <c r="NKA1" s="184"/>
      <c r="NKB1" s="184"/>
      <c r="NKC1" s="184"/>
      <c r="NKD1" s="184"/>
      <c r="NKE1" s="184"/>
      <c r="NKF1" s="184"/>
      <c r="NKG1" s="184"/>
      <c r="NKH1" s="184"/>
      <c r="NKI1" s="184"/>
      <c r="NKJ1" s="184"/>
      <c r="NKK1" s="184"/>
      <c r="NKL1" s="184"/>
      <c r="NKM1" s="184"/>
      <c r="NKN1" s="184"/>
      <c r="NKO1" s="184"/>
      <c r="NKP1" s="184"/>
      <c r="NKQ1" s="184"/>
      <c r="NKR1" s="184"/>
      <c r="NKS1" s="184"/>
      <c r="NKT1" s="184"/>
      <c r="NKU1" s="184"/>
      <c r="NKV1" s="184"/>
      <c r="NKW1" s="184"/>
      <c r="NKX1" s="184"/>
      <c r="NKY1" s="184"/>
      <c r="NKZ1" s="184"/>
      <c r="NLA1" s="184"/>
      <c r="NLB1" s="184"/>
      <c r="NLC1" s="184"/>
      <c r="NLD1" s="184"/>
      <c r="NLE1" s="184"/>
      <c r="NLF1" s="184"/>
      <c r="NLG1" s="184"/>
      <c r="NLH1" s="184"/>
      <c r="NLI1" s="184"/>
      <c r="NLJ1" s="184"/>
      <c r="NLK1" s="184"/>
      <c r="NLL1" s="184"/>
      <c r="NLM1" s="184"/>
      <c r="NLN1" s="184"/>
      <c r="NLO1" s="184"/>
      <c r="NLP1" s="184"/>
      <c r="NLQ1" s="184"/>
      <c r="NLR1" s="184"/>
      <c r="NLS1" s="184"/>
      <c r="NLT1" s="184"/>
      <c r="NLU1" s="184"/>
      <c r="NLV1" s="184"/>
      <c r="NLW1" s="184"/>
      <c r="NLX1" s="184"/>
      <c r="NLY1" s="184"/>
      <c r="NLZ1" s="184"/>
      <c r="NMA1" s="184"/>
      <c r="NMB1" s="184"/>
      <c r="NMC1" s="184"/>
      <c r="NMD1" s="184"/>
      <c r="NME1" s="184"/>
      <c r="NMF1" s="184"/>
      <c r="NMG1" s="184"/>
      <c r="NMH1" s="184"/>
      <c r="NMI1" s="184"/>
      <c r="NMJ1" s="184"/>
      <c r="NMK1" s="184"/>
      <c r="NML1" s="184"/>
      <c r="NMM1" s="184"/>
      <c r="NMN1" s="184"/>
      <c r="NMO1" s="184"/>
      <c r="NMP1" s="184"/>
      <c r="NMQ1" s="184"/>
      <c r="NMR1" s="184"/>
      <c r="NMS1" s="184"/>
      <c r="NMT1" s="184"/>
      <c r="NMU1" s="184"/>
      <c r="NMV1" s="184"/>
      <c r="NMW1" s="184"/>
      <c r="NMX1" s="184"/>
      <c r="NMY1" s="184"/>
      <c r="NMZ1" s="184"/>
      <c r="NNA1" s="184"/>
      <c r="NNB1" s="184"/>
      <c r="NNC1" s="184"/>
      <c r="NND1" s="184"/>
      <c r="NNE1" s="184"/>
      <c r="NNF1" s="184"/>
      <c r="NNG1" s="184"/>
      <c r="NNH1" s="184"/>
      <c r="NNI1" s="184"/>
      <c r="NNJ1" s="184"/>
      <c r="NNK1" s="184"/>
      <c r="NNL1" s="184"/>
      <c r="NNM1" s="184"/>
      <c r="NNN1" s="184"/>
      <c r="NNO1" s="184"/>
      <c r="NNP1" s="184"/>
      <c r="NNQ1" s="184"/>
      <c r="NNR1" s="184"/>
      <c r="NNS1" s="184"/>
      <c r="NNT1" s="184"/>
      <c r="NNU1" s="184"/>
      <c r="NNV1" s="184"/>
      <c r="NNW1" s="184"/>
      <c r="NNX1" s="184"/>
      <c r="NNY1" s="184"/>
      <c r="NNZ1" s="184"/>
      <c r="NOA1" s="184"/>
      <c r="NOB1" s="184"/>
      <c r="NOC1" s="184"/>
      <c r="NOD1" s="184"/>
      <c r="NOE1" s="184"/>
      <c r="NOF1" s="184"/>
      <c r="NOG1" s="184"/>
      <c r="NOH1" s="184"/>
      <c r="NOI1" s="184"/>
      <c r="NOJ1" s="184"/>
      <c r="NOK1" s="184"/>
      <c r="NOL1" s="184"/>
      <c r="NOM1" s="184"/>
      <c r="NON1" s="184"/>
      <c r="NOO1" s="184"/>
      <c r="NOP1" s="184"/>
      <c r="NOQ1" s="184"/>
      <c r="NOR1" s="184"/>
      <c r="NOS1" s="184"/>
      <c r="NOT1" s="184"/>
      <c r="NOU1" s="184"/>
      <c r="NOV1" s="184"/>
      <c r="NOW1" s="184"/>
      <c r="NOX1" s="184"/>
      <c r="NOY1" s="184"/>
      <c r="NOZ1" s="184"/>
      <c r="NPA1" s="184"/>
      <c r="NPB1" s="184"/>
      <c r="NPC1" s="184"/>
      <c r="NPD1" s="184"/>
      <c r="NPE1" s="184"/>
      <c r="NPF1" s="184"/>
      <c r="NPG1" s="184"/>
      <c r="NPH1" s="184"/>
      <c r="NPI1" s="184"/>
      <c r="NPJ1" s="184"/>
      <c r="NPK1" s="184"/>
      <c r="NPL1" s="184"/>
      <c r="NPM1" s="184"/>
      <c r="NPN1" s="184"/>
      <c r="NPO1" s="184"/>
      <c r="NPP1" s="184"/>
      <c r="NPQ1" s="184"/>
      <c r="NPR1" s="184"/>
      <c r="NPS1" s="184"/>
      <c r="NPT1" s="184"/>
      <c r="NPU1" s="184"/>
      <c r="NPV1" s="184"/>
      <c r="NPW1" s="184"/>
      <c r="NPX1" s="184"/>
      <c r="NPY1" s="184"/>
      <c r="NPZ1" s="184"/>
      <c r="NQA1" s="184"/>
      <c r="NQB1" s="184"/>
      <c r="NQC1" s="184"/>
      <c r="NQD1" s="184"/>
      <c r="NQE1" s="184"/>
      <c r="NQF1" s="184"/>
      <c r="NQG1" s="184"/>
      <c r="NQH1" s="184"/>
      <c r="NQI1" s="184"/>
      <c r="NQJ1" s="184"/>
      <c r="NQK1" s="184"/>
      <c r="NQL1" s="184"/>
      <c r="NQM1" s="184"/>
      <c r="NQN1" s="184"/>
      <c r="NQO1" s="184"/>
      <c r="NQP1" s="184"/>
      <c r="NQQ1" s="184"/>
      <c r="NQR1" s="184"/>
      <c r="NQS1" s="184"/>
      <c r="NQT1" s="184"/>
      <c r="NQU1" s="184"/>
      <c r="NQV1" s="184"/>
      <c r="NQW1" s="184"/>
      <c r="NQX1" s="184"/>
      <c r="NQY1" s="184"/>
      <c r="NQZ1" s="184"/>
      <c r="NRA1" s="184"/>
      <c r="NRB1" s="184"/>
      <c r="NRC1" s="184"/>
      <c r="NRD1" s="184"/>
      <c r="NRE1" s="184"/>
      <c r="NRF1" s="184"/>
      <c r="NRG1" s="184"/>
      <c r="NRH1" s="184"/>
      <c r="NRI1" s="184"/>
      <c r="NRJ1" s="184"/>
      <c r="NRK1" s="184"/>
      <c r="NRL1" s="184"/>
      <c r="NRM1" s="184"/>
      <c r="NRN1" s="184"/>
      <c r="NRO1" s="184"/>
      <c r="NRP1" s="184"/>
      <c r="NRQ1" s="184"/>
      <c r="NRR1" s="184"/>
      <c r="NRS1" s="184"/>
      <c r="NRT1" s="184"/>
      <c r="NRU1" s="184"/>
      <c r="NRV1" s="184"/>
      <c r="NRW1" s="184"/>
      <c r="NRX1" s="184"/>
      <c r="NRY1" s="184"/>
      <c r="NRZ1" s="184"/>
      <c r="NSA1" s="184"/>
      <c r="NSB1" s="184"/>
      <c r="NSC1" s="184"/>
      <c r="NSD1" s="184"/>
      <c r="NSE1" s="184"/>
      <c r="NSF1" s="184"/>
      <c r="NSG1" s="184"/>
      <c r="NSH1" s="184"/>
      <c r="NSI1" s="184"/>
      <c r="NSJ1" s="184"/>
      <c r="NSK1" s="184"/>
      <c r="NSL1" s="184"/>
      <c r="NSM1" s="184"/>
      <c r="NSN1" s="184"/>
      <c r="NSO1" s="184"/>
      <c r="NSP1" s="184"/>
      <c r="NSQ1" s="184"/>
      <c r="NSR1" s="184"/>
      <c r="NSS1" s="184"/>
      <c r="NST1" s="184"/>
      <c r="NSU1" s="184"/>
      <c r="NSV1" s="184"/>
      <c r="NSW1" s="184"/>
      <c r="NSX1" s="184"/>
      <c r="NSY1" s="184"/>
      <c r="NSZ1" s="184"/>
      <c r="NTA1" s="184"/>
      <c r="NTB1" s="184"/>
      <c r="NTC1" s="184"/>
      <c r="NTD1" s="184"/>
      <c r="NTE1" s="184"/>
      <c r="NTF1" s="184"/>
      <c r="NTG1" s="184"/>
      <c r="NTH1" s="184"/>
      <c r="NTI1" s="184"/>
      <c r="NTJ1" s="184"/>
      <c r="NTK1" s="184"/>
      <c r="NTL1" s="184"/>
      <c r="NTM1" s="184"/>
      <c r="NTN1" s="184"/>
      <c r="NTO1" s="184"/>
      <c r="NTP1" s="184"/>
      <c r="NTQ1" s="184"/>
      <c r="NTR1" s="184"/>
      <c r="NTS1" s="184"/>
      <c r="NTT1" s="184"/>
      <c r="NTU1" s="184"/>
      <c r="NTV1" s="184"/>
      <c r="NTW1" s="184"/>
      <c r="NTX1" s="184"/>
      <c r="NTY1" s="184"/>
      <c r="NTZ1" s="184"/>
      <c r="NUA1" s="184"/>
      <c r="NUB1" s="184"/>
      <c r="NUC1" s="184"/>
      <c r="NUD1" s="184"/>
      <c r="NUE1" s="184"/>
      <c r="NUF1" s="184"/>
      <c r="NUG1" s="184"/>
      <c r="NUH1" s="184"/>
      <c r="NUI1" s="184"/>
      <c r="NUJ1" s="184"/>
      <c r="NUK1" s="184"/>
      <c r="NUL1" s="184"/>
      <c r="NUM1" s="184"/>
      <c r="NUN1" s="184"/>
      <c r="NUO1" s="184"/>
      <c r="NUP1" s="184"/>
      <c r="NUQ1" s="184"/>
      <c r="NUR1" s="184"/>
      <c r="NUS1" s="184"/>
      <c r="NUT1" s="184"/>
      <c r="NUU1" s="184"/>
      <c r="NUV1" s="184"/>
      <c r="NUW1" s="184"/>
      <c r="NUX1" s="184"/>
      <c r="NUY1" s="184"/>
      <c r="NUZ1" s="184"/>
      <c r="NVA1" s="184"/>
      <c r="NVB1" s="184"/>
      <c r="NVC1" s="184"/>
      <c r="NVD1" s="184"/>
      <c r="NVE1" s="184"/>
      <c r="NVF1" s="184"/>
      <c r="NVG1" s="184"/>
      <c r="NVH1" s="184"/>
      <c r="NVI1" s="184"/>
      <c r="NVJ1" s="184"/>
      <c r="NVK1" s="184"/>
      <c r="NVL1" s="184"/>
      <c r="NVM1" s="184"/>
      <c r="NVN1" s="184"/>
      <c r="NVO1" s="184"/>
      <c r="NVP1" s="184"/>
      <c r="NVQ1" s="184"/>
      <c r="NVR1" s="184"/>
      <c r="NVS1" s="184"/>
      <c r="NVT1" s="184"/>
      <c r="NVU1" s="184"/>
      <c r="NVV1" s="184"/>
      <c r="NVW1" s="184"/>
      <c r="NVX1" s="184"/>
      <c r="NVY1" s="184"/>
      <c r="NVZ1" s="184"/>
      <c r="NWA1" s="184"/>
      <c r="NWB1" s="184"/>
      <c r="NWC1" s="184"/>
      <c r="NWD1" s="184"/>
      <c r="NWE1" s="184"/>
      <c r="NWF1" s="184"/>
      <c r="NWG1" s="184"/>
      <c r="NWH1" s="184"/>
      <c r="NWI1" s="184"/>
      <c r="NWJ1" s="184"/>
      <c r="NWK1" s="184"/>
      <c r="NWL1" s="184"/>
      <c r="NWM1" s="184"/>
      <c r="NWN1" s="184"/>
      <c r="NWO1" s="184"/>
      <c r="NWP1" s="184"/>
      <c r="NWQ1" s="184"/>
      <c r="NWR1" s="184"/>
      <c r="NWS1" s="184"/>
      <c r="NWT1" s="184"/>
      <c r="NWU1" s="184"/>
      <c r="NWV1" s="184"/>
      <c r="NWW1" s="184"/>
      <c r="NWX1" s="184"/>
      <c r="NWY1" s="184"/>
      <c r="NWZ1" s="184"/>
      <c r="NXA1" s="184"/>
      <c r="NXB1" s="184"/>
      <c r="NXC1" s="184"/>
      <c r="NXD1" s="184"/>
      <c r="NXE1" s="184"/>
      <c r="NXF1" s="184"/>
      <c r="NXG1" s="184"/>
      <c r="NXH1" s="184"/>
      <c r="NXI1" s="184"/>
      <c r="NXJ1" s="184"/>
      <c r="NXK1" s="184"/>
      <c r="NXL1" s="184"/>
      <c r="NXM1" s="184"/>
      <c r="NXN1" s="184"/>
      <c r="NXO1" s="184"/>
      <c r="NXP1" s="184"/>
      <c r="NXQ1" s="184"/>
      <c r="NXR1" s="184"/>
      <c r="NXS1" s="184"/>
      <c r="NXT1" s="184"/>
      <c r="NXU1" s="184"/>
      <c r="NXV1" s="184"/>
      <c r="NXW1" s="184"/>
      <c r="NXX1" s="184"/>
      <c r="NXY1" s="184"/>
      <c r="NXZ1" s="184"/>
      <c r="NYA1" s="184"/>
      <c r="NYB1" s="184"/>
      <c r="NYC1" s="184"/>
      <c r="NYD1" s="184"/>
      <c r="NYE1" s="184"/>
      <c r="NYF1" s="184"/>
      <c r="NYG1" s="184"/>
      <c r="NYH1" s="184"/>
      <c r="NYI1" s="184"/>
      <c r="NYJ1" s="184"/>
      <c r="NYK1" s="184"/>
      <c r="NYL1" s="184"/>
      <c r="NYM1" s="184"/>
      <c r="NYN1" s="184"/>
      <c r="NYO1" s="184"/>
      <c r="NYP1" s="184"/>
      <c r="NYQ1" s="184"/>
      <c r="NYR1" s="184"/>
      <c r="NYS1" s="184"/>
      <c r="NYT1" s="184"/>
      <c r="NYU1" s="184"/>
      <c r="NYV1" s="184"/>
      <c r="NYW1" s="184"/>
      <c r="NYX1" s="184"/>
      <c r="NYY1" s="184"/>
      <c r="NYZ1" s="184"/>
      <c r="NZA1" s="184"/>
      <c r="NZB1" s="184"/>
      <c r="NZC1" s="184"/>
      <c r="NZD1" s="184"/>
      <c r="NZE1" s="184"/>
      <c r="NZF1" s="184"/>
      <c r="NZG1" s="184"/>
      <c r="NZH1" s="184"/>
      <c r="NZI1" s="184"/>
      <c r="NZJ1" s="184"/>
      <c r="NZK1" s="184"/>
      <c r="NZL1" s="184"/>
      <c r="NZM1" s="184"/>
      <c r="NZN1" s="184"/>
      <c r="NZO1" s="184"/>
      <c r="NZP1" s="184"/>
      <c r="NZQ1" s="184"/>
      <c r="NZR1" s="184"/>
      <c r="NZS1" s="184"/>
      <c r="NZT1" s="184"/>
      <c r="NZU1" s="184"/>
      <c r="NZV1" s="184"/>
      <c r="NZW1" s="184"/>
      <c r="NZX1" s="184"/>
      <c r="NZY1" s="184"/>
      <c r="NZZ1" s="184"/>
      <c r="OAA1" s="184"/>
      <c r="OAB1" s="184"/>
      <c r="OAC1" s="184"/>
      <c r="OAD1" s="184"/>
      <c r="OAE1" s="184"/>
      <c r="OAF1" s="184"/>
      <c r="OAG1" s="184"/>
      <c r="OAH1" s="184"/>
      <c r="OAI1" s="184"/>
      <c r="OAJ1" s="184"/>
      <c r="OAK1" s="184"/>
      <c r="OAL1" s="184"/>
      <c r="OAM1" s="184"/>
      <c r="OAN1" s="184"/>
      <c r="OAO1" s="184"/>
      <c r="OAP1" s="184"/>
      <c r="OAQ1" s="184"/>
      <c r="OAR1" s="184"/>
      <c r="OAS1" s="184"/>
      <c r="OAT1" s="184"/>
      <c r="OAU1" s="184"/>
      <c r="OAV1" s="184"/>
      <c r="OAW1" s="184"/>
      <c r="OAX1" s="184"/>
      <c r="OAY1" s="184"/>
      <c r="OAZ1" s="184"/>
      <c r="OBA1" s="184"/>
      <c r="OBB1" s="184"/>
      <c r="OBC1" s="184"/>
      <c r="OBD1" s="184"/>
      <c r="OBE1" s="184"/>
      <c r="OBF1" s="184"/>
      <c r="OBG1" s="184"/>
      <c r="OBH1" s="184"/>
      <c r="OBI1" s="184"/>
      <c r="OBJ1" s="184"/>
      <c r="OBK1" s="184"/>
      <c r="OBL1" s="184"/>
      <c r="OBM1" s="184"/>
      <c r="OBN1" s="184"/>
      <c r="OBO1" s="184"/>
      <c r="OBP1" s="184"/>
      <c r="OBQ1" s="184"/>
      <c r="OBR1" s="184"/>
      <c r="OBS1" s="184"/>
      <c r="OBT1" s="184"/>
      <c r="OBU1" s="184"/>
      <c r="OBV1" s="184"/>
      <c r="OBW1" s="184"/>
      <c r="OBX1" s="184"/>
      <c r="OBY1" s="184"/>
      <c r="OBZ1" s="184"/>
      <c r="OCA1" s="184"/>
      <c r="OCB1" s="184"/>
      <c r="OCC1" s="184"/>
      <c r="OCD1" s="184"/>
      <c r="OCE1" s="184"/>
      <c r="OCF1" s="184"/>
      <c r="OCG1" s="184"/>
      <c r="OCH1" s="184"/>
      <c r="OCI1" s="184"/>
      <c r="OCJ1" s="184"/>
      <c r="OCK1" s="184"/>
      <c r="OCL1" s="184"/>
      <c r="OCM1" s="184"/>
      <c r="OCN1" s="184"/>
      <c r="OCO1" s="184"/>
      <c r="OCP1" s="184"/>
      <c r="OCQ1" s="184"/>
      <c r="OCR1" s="184"/>
      <c r="OCS1" s="184"/>
      <c r="OCT1" s="184"/>
      <c r="OCU1" s="184"/>
      <c r="OCV1" s="184"/>
      <c r="OCW1" s="184"/>
      <c r="OCX1" s="184"/>
      <c r="OCY1" s="184"/>
      <c r="OCZ1" s="184"/>
      <c r="ODA1" s="184"/>
      <c r="ODB1" s="184"/>
      <c r="ODC1" s="184"/>
      <c r="ODD1" s="184"/>
      <c r="ODE1" s="184"/>
      <c r="ODF1" s="184"/>
      <c r="ODG1" s="184"/>
      <c r="ODH1" s="184"/>
      <c r="ODI1" s="184"/>
      <c r="ODJ1" s="184"/>
      <c r="ODK1" s="184"/>
      <c r="ODL1" s="184"/>
      <c r="ODM1" s="184"/>
      <c r="ODN1" s="184"/>
      <c r="ODO1" s="184"/>
      <c r="ODP1" s="184"/>
      <c r="ODQ1" s="184"/>
      <c r="ODR1" s="184"/>
      <c r="ODS1" s="184"/>
      <c r="ODT1" s="184"/>
      <c r="ODU1" s="184"/>
      <c r="ODV1" s="184"/>
      <c r="ODW1" s="184"/>
      <c r="ODX1" s="184"/>
      <c r="ODY1" s="184"/>
      <c r="ODZ1" s="184"/>
      <c r="OEA1" s="184"/>
      <c r="OEB1" s="184"/>
      <c r="OEC1" s="184"/>
      <c r="OED1" s="184"/>
      <c r="OEE1" s="184"/>
      <c r="OEF1" s="184"/>
      <c r="OEG1" s="184"/>
      <c r="OEH1" s="184"/>
      <c r="OEI1" s="184"/>
      <c r="OEJ1" s="184"/>
      <c r="OEK1" s="184"/>
      <c r="OEL1" s="184"/>
      <c r="OEM1" s="184"/>
      <c r="OEN1" s="184"/>
      <c r="OEO1" s="184"/>
      <c r="OEP1" s="184"/>
      <c r="OEQ1" s="184"/>
      <c r="OER1" s="184"/>
      <c r="OES1" s="184"/>
      <c r="OET1" s="184"/>
      <c r="OEU1" s="184"/>
      <c r="OEV1" s="184"/>
      <c r="OEW1" s="184"/>
      <c r="OEX1" s="184"/>
      <c r="OEY1" s="184"/>
      <c r="OEZ1" s="184"/>
      <c r="OFA1" s="184"/>
      <c r="OFB1" s="184"/>
      <c r="OFC1" s="184"/>
      <c r="OFD1" s="184"/>
      <c r="OFE1" s="184"/>
      <c r="OFF1" s="184"/>
      <c r="OFG1" s="184"/>
      <c r="OFH1" s="184"/>
      <c r="OFI1" s="184"/>
      <c r="OFJ1" s="184"/>
      <c r="OFK1" s="184"/>
      <c r="OFL1" s="184"/>
      <c r="OFM1" s="184"/>
      <c r="OFN1" s="184"/>
      <c r="OFO1" s="184"/>
      <c r="OFP1" s="184"/>
      <c r="OFQ1" s="184"/>
      <c r="OFR1" s="184"/>
      <c r="OFS1" s="184"/>
      <c r="OFT1" s="184"/>
      <c r="OFU1" s="184"/>
      <c r="OFV1" s="184"/>
      <c r="OFW1" s="184"/>
      <c r="OFX1" s="184"/>
      <c r="OFY1" s="184"/>
      <c r="OFZ1" s="184"/>
      <c r="OGA1" s="184"/>
      <c r="OGB1" s="184"/>
      <c r="OGC1" s="184"/>
      <c r="OGD1" s="184"/>
      <c r="OGE1" s="184"/>
      <c r="OGF1" s="184"/>
      <c r="OGG1" s="184"/>
      <c r="OGH1" s="184"/>
      <c r="OGI1" s="184"/>
      <c r="OGJ1" s="184"/>
      <c r="OGK1" s="184"/>
      <c r="OGL1" s="184"/>
      <c r="OGM1" s="184"/>
      <c r="OGN1" s="184"/>
      <c r="OGO1" s="184"/>
      <c r="OGP1" s="184"/>
      <c r="OGQ1" s="184"/>
      <c r="OGR1" s="184"/>
      <c r="OGS1" s="184"/>
      <c r="OGT1" s="184"/>
      <c r="OGU1" s="184"/>
      <c r="OGV1" s="184"/>
      <c r="OGW1" s="184"/>
      <c r="OGX1" s="184"/>
      <c r="OGY1" s="184"/>
      <c r="OGZ1" s="184"/>
      <c r="OHA1" s="184"/>
      <c r="OHB1" s="184"/>
      <c r="OHC1" s="184"/>
      <c r="OHD1" s="184"/>
      <c r="OHE1" s="184"/>
      <c r="OHF1" s="184"/>
      <c r="OHG1" s="184"/>
      <c r="OHH1" s="184"/>
      <c r="OHI1" s="184"/>
      <c r="OHJ1" s="184"/>
      <c r="OHK1" s="184"/>
      <c r="OHL1" s="184"/>
      <c r="OHM1" s="184"/>
      <c r="OHN1" s="184"/>
      <c r="OHO1" s="184"/>
      <c r="OHP1" s="184"/>
      <c r="OHQ1" s="184"/>
      <c r="OHR1" s="184"/>
      <c r="OHS1" s="184"/>
      <c r="OHT1" s="184"/>
      <c r="OHU1" s="184"/>
      <c r="OHV1" s="184"/>
      <c r="OHW1" s="184"/>
      <c r="OHX1" s="184"/>
      <c r="OHY1" s="184"/>
      <c r="OHZ1" s="184"/>
      <c r="OIA1" s="184"/>
      <c r="OIB1" s="184"/>
      <c r="OIC1" s="184"/>
      <c r="OID1" s="184"/>
      <c r="OIE1" s="184"/>
      <c r="OIF1" s="184"/>
      <c r="OIG1" s="184"/>
      <c r="OIH1" s="184"/>
      <c r="OII1" s="184"/>
      <c r="OIJ1" s="184"/>
      <c r="OIK1" s="184"/>
      <c r="OIL1" s="184"/>
      <c r="OIM1" s="184"/>
      <c r="OIN1" s="184"/>
      <c r="OIO1" s="184"/>
      <c r="OIP1" s="184"/>
      <c r="OIQ1" s="184"/>
      <c r="OIR1" s="184"/>
      <c r="OIS1" s="184"/>
      <c r="OIT1" s="184"/>
      <c r="OIU1" s="184"/>
      <c r="OIV1" s="184"/>
      <c r="OIW1" s="184"/>
      <c r="OIX1" s="184"/>
      <c r="OIY1" s="184"/>
      <c r="OIZ1" s="184"/>
      <c r="OJA1" s="184"/>
      <c r="OJB1" s="184"/>
      <c r="OJC1" s="184"/>
      <c r="OJD1" s="184"/>
      <c r="OJE1" s="184"/>
      <c r="OJF1" s="184"/>
      <c r="OJG1" s="184"/>
      <c r="OJH1" s="184"/>
      <c r="OJI1" s="184"/>
      <c r="OJJ1" s="184"/>
      <c r="OJK1" s="184"/>
      <c r="OJL1" s="184"/>
      <c r="OJM1" s="184"/>
      <c r="OJN1" s="184"/>
      <c r="OJO1" s="184"/>
      <c r="OJP1" s="184"/>
      <c r="OJQ1" s="184"/>
      <c r="OJR1" s="184"/>
      <c r="OJS1" s="184"/>
      <c r="OJT1" s="184"/>
      <c r="OJU1" s="184"/>
      <c r="OJV1" s="184"/>
      <c r="OJW1" s="184"/>
      <c r="OJX1" s="184"/>
      <c r="OJY1" s="184"/>
      <c r="OJZ1" s="184"/>
      <c r="OKA1" s="184"/>
      <c r="OKB1" s="184"/>
      <c r="OKC1" s="184"/>
      <c r="OKD1" s="184"/>
      <c r="OKE1" s="184"/>
      <c r="OKF1" s="184"/>
      <c r="OKG1" s="184"/>
      <c r="OKH1" s="184"/>
      <c r="OKI1" s="184"/>
      <c r="OKJ1" s="184"/>
      <c r="OKK1" s="184"/>
      <c r="OKL1" s="184"/>
      <c r="OKM1" s="184"/>
      <c r="OKN1" s="184"/>
      <c r="OKO1" s="184"/>
      <c r="OKP1" s="184"/>
      <c r="OKQ1" s="184"/>
      <c r="OKR1" s="184"/>
      <c r="OKS1" s="184"/>
      <c r="OKT1" s="184"/>
      <c r="OKU1" s="184"/>
      <c r="OKV1" s="184"/>
      <c r="OKW1" s="184"/>
      <c r="OKX1" s="184"/>
      <c r="OKY1" s="184"/>
      <c r="OKZ1" s="184"/>
      <c r="OLA1" s="184"/>
      <c r="OLB1" s="184"/>
      <c r="OLC1" s="184"/>
      <c r="OLD1" s="184"/>
      <c r="OLE1" s="184"/>
      <c r="OLF1" s="184"/>
      <c r="OLG1" s="184"/>
      <c r="OLH1" s="184"/>
      <c r="OLI1" s="184"/>
      <c r="OLJ1" s="184"/>
      <c r="OLK1" s="184"/>
      <c r="OLL1" s="184"/>
      <c r="OLM1" s="184"/>
      <c r="OLN1" s="184"/>
      <c r="OLO1" s="184"/>
      <c r="OLP1" s="184"/>
      <c r="OLQ1" s="184"/>
      <c r="OLR1" s="184"/>
      <c r="OLS1" s="184"/>
      <c r="OLT1" s="184"/>
      <c r="OLU1" s="184"/>
      <c r="OLV1" s="184"/>
      <c r="OLW1" s="184"/>
      <c r="OLX1" s="184"/>
      <c r="OLY1" s="184"/>
      <c r="OLZ1" s="184"/>
      <c r="OMA1" s="184"/>
      <c r="OMB1" s="184"/>
      <c r="OMC1" s="184"/>
      <c r="OMD1" s="184"/>
      <c r="OME1" s="184"/>
      <c r="OMF1" s="184"/>
      <c r="OMG1" s="184"/>
      <c r="OMH1" s="184"/>
      <c r="OMI1" s="184"/>
      <c r="OMJ1" s="184"/>
      <c r="OMK1" s="184"/>
      <c r="OML1" s="184"/>
      <c r="OMM1" s="184"/>
      <c r="OMN1" s="184"/>
      <c r="OMO1" s="184"/>
      <c r="OMP1" s="184"/>
      <c r="OMQ1" s="184"/>
      <c r="OMR1" s="184"/>
      <c r="OMS1" s="184"/>
      <c r="OMT1" s="184"/>
      <c r="OMU1" s="184"/>
      <c r="OMV1" s="184"/>
      <c r="OMW1" s="184"/>
      <c r="OMX1" s="184"/>
      <c r="OMY1" s="184"/>
      <c r="OMZ1" s="184"/>
      <c r="ONA1" s="184"/>
      <c r="ONB1" s="184"/>
      <c r="ONC1" s="184"/>
      <c r="OND1" s="184"/>
      <c r="ONE1" s="184"/>
      <c r="ONF1" s="184"/>
      <c r="ONG1" s="184"/>
      <c r="ONH1" s="184"/>
      <c r="ONI1" s="184"/>
      <c r="ONJ1" s="184"/>
      <c r="ONK1" s="184"/>
      <c r="ONL1" s="184"/>
      <c r="ONM1" s="184"/>
      <c r="ONN1" s="184"/>
      <c r="ONO1" s="184"/>
      <c r="ONP1" s="184"/>
      <c r="ONQ1" s="184"/>
      <c r="ONR1" s="184"/>
      <c r="ONS1" s="184"/>
      <c r="ONT1" s="184"/>
      <c r="ONU1" s="184"/>
      <c r="ONV1" s="184"/>
      <c r="ONW1" s="184"/>
      <c r="ONX1" s="184"/>
      <c r="ONY1" s="184"/>
      <c r="ONZ1" s="184"/>
      <c r="OOA1" s="184"/>
      <c r="OOB1" s="184"/>
      <c r="OOC1" s="184"/>
      <c r="OOD1" s="184"/>
      <c r="OOE1" s="184"/>
      <c r="OOF1" s="184"/>
      <c r="OOG1" s="184"/>
      <c r="OOH1" s="184"/>
      <c r="OOI1" s="184"/>
      <c r="OOJ1" s="184"/>
      <c r="OOK1" s="184"/>
      <c r="OOL1" s="184"/>
      <c r="OOM1" s="184"/>
      <c r="OON1" s="184"/>
      <c r="OOO1" s="184"/>
      <c r="OOP1" s="184"/>
      <c r="OOQ1" s="184"/>
      <c r="OOR1" s="184"/>
      <c r="OOS1" s="184"/>
      <c r="OOT1" s="184"/>
      <c r="OOU1" s="184"/>
      <c r="OOV1" s="184"/>
      <c r="OOW1" s="184"/>
      <c r="OOX1" s="184"/>
      <c r="OOY1" s="184"/>
      <c r="OOZ1" s="184"/>
      <c r="OPA1" s="184"/>
      <c r="OPB1" s="184"/>
      <c r="OPC1" s="184"/>
      <c r="OPD1" s="184"/>
      <c r="OPE1" s="184"/>
      <c r="OPF1" s="184"/>
      <c r="OPG1" s="184"/>
      <c r="OPH1" s="184"/>
      <c r="OPI1" s="184"/>
      <c r="OPJ1" s="184"/>
      <c r="OPK1" s="184"/>
      <c r="OPL1" s="184"/>
      <c r="OPM1" s="184"/>
      <c r="OPN1" s="184"/>
      <c r="OPO1" s="184"/>
      <c r="OPP1" s="184"/>
      <c r="OPQ1" s="184"/>
      <c r="OPR1" s="184"/>
      <c r="OPS1" s="184"/>
      <c r="OPT1" s="184"/>
      <c r="OPU1" s="184"/>
      <c r="OPV1" s="184"/>
      <c r="OPW1" s="184"/>
      <c r="OPX1" s="184"/>
      <c r="OPY1" s="184"/>
      <c r="OPZ1" s="184"/>
      <c r="OQA1" s="184"/>
      <c r="OQB1" s="184"/>
      <c r="OQC1" s="184"/>
      <c r="OQD1" s="184"/>
      <c r="OQE1" s="184"/>
      <c r="OQF1" s="184"/>
      <c r="OQG1" s="184"/>
      <c r="OQH1" s="184"/>
      <c r="OQI1" s="184"/>
      <c r="OQJ1" s="184"/>
      <c r="OQK1" s="184"/>
      <c r="OQL1" s="184"/>
      <c r="OQM1" s="184"/>
      <c r="OQN1" s="184"/>
      <c r="OQO1" s="184"/>
      <c r="OQP1" s="184"/>
      <c r="OQQ1" s="184"/>
      <c r="OQR1" s="184"/>
      <c r="OQS1" s="184"/>
      <c r="OQT1" s="184"/>
      <c r="OQU1" s="184"/>
      <c r="OQV1" s="184"/>
      <c r="OQW1" s="184"/>
      <c r="OQX1" s="184"/>
      <c r="OQY1" s="184"/>
      <c r="OQZ1" s="184"/>
      <c r="ORA1" s="184"/>
      <c r="ORB1" s="184"/>
      <c r="ORC1" s="184"/>
      <c r="ORD1" s="184"/>
      <c r="ORE1" s="184"/>
      <c r="ORF1" s="184"/>
      <c r="ORG1" s="184"/>
      <c r="ORH1" s="184"/>
      <c r="ORI1" s="184"/>
      <c r="ORJ1" s="184"/>
      <c r="ORK1" s="184"/>
      <c r="ORL1" s="184"/>
      <c r="ORM1" s="184"/>
      <c r="ORN1" s="184"/>
      <c r="ORO1" s="184"/>
      <c r="ORP1" s="184"/>
      <c r="ORQ1" s="184"/>
      <c r="ORR1" s="184"/>
      <c r="ORS1" s="184"/>
      <c r="ORT1" s="184"/>
      <c r="ORU1" s="184"/>
      <c r="ORV1" s="184"/>
      <c r="ORW1" s="184"/>
      <c r="ORX1" s="184"/>
      <c r="ORY1" s="184"/>
      <c r="ORZ1" s="184"/>
      <c r="OSA1" s="184"/>
      <c r="OSB1" s="184"/>
      <c r="OSC1" s="184"/>
      <c r="OSD1" s="184"/>
      <c r="OSE1" s="184"/>
      <c r="OSF1" s="184"/>
      <c r="OSG1" s="184"/>
      <c r="OSH1" s="184"/>
      <c r="OSI1" s="184"/>
      <c r="OSJ1" s="184"/>
      <c r="OSK1" s="184"/>
      <c r="OSL1" s="184"/>
      <c r="OSM1" s="184"/>
      <c r="OSN1" s="184"/>
      <c r="OSO1" s="184"/>
      <c r="OSP1" s="184"/>
      <c r="OSQ1" s="184"/>
      <c r="OSR1" s="184"/>
      <c r="OSS1" s="184"/>
      <c r="OST1" s="184"/>
      <c r="OSU1" s="184"/>
      <c r="OSV1" s="184"/>
      <c r="OSW1" s="184"/>
      <c r="OSX1" s="184"/>
      <c r="OSY1" s="184"/>
      <c r="OSZ1" s="184"/>
      <c r="OTA1" s="184"/>
      <c r="OTB1" s="184"/>
      <c r="OTC1" s="184"/>
      <c r="OTD1" s="184"/>
      <c r="OTE1" s="184"/>
      <c r="OTF1" s="184"/>
      <c r="OTG1" s="184"/>
      <c r="OTH1" s="184"/>
      <c r="OTI1" s="184"/>
      <c r="OTJ1" s="184"/>
      <c r="OTK1" s="184"/>
      <c r="OTL1" s="184"/>
      <c r="OTM1" s="184"/>
      <c r="OTN1" s="184"/>
      <c r="OTO1" s="184"/>
      <c r="OTP1" s="184"/>
      <c r="OTQ1" s="184"/>
      <c r="OTR1" s="184"/>
      <c r="OTS1" s="184"/>
      <c r="OTT1" s="184"/>
      <c r="OTU1" s="184"/>
      <c r="OTV1" s="184"/>
      <c r="OTW1" s="184"/>
      <c r="OTX1" s="184"/>
      <c r="OTY1" s="184"/>
      <c r="OTZ1" s="184"/>
      <c r="OUA1" s="184"/>
      <c r="OUB1" s="184"/>
      <c r="OUC1" s="184"/>
      <c r="OUD1" s="184"/>
      <c r="OUE1" s="184"/>
      <c r="OUF1" s="184"/>
      <c r="OUG1" s="184"/>
      <c r="OUH1" s="184"/>
      <c r="OUI1" s="184"/>
      <c r="OUJ1" s="184"/>
      <c r="OUK1" s="184"/>
      <c r="OUL1" s="184"/>
      <c r="OUM1" s="184"/>
      <c r="OUN1" s="184"/>
      <c r="OUO1" s="184"/>
      <c r="OUP1" s="184"/>
      <c r="OUQ1" s="184"/>
      <c r="OUR1" s="184"/>
      <c r="OUS1" s="184"/>
      <c r="OUT1" s="184"/>
      <c r="OUU1" s="184"/>
      <c r="OUV1" s="184"/>
      <c r="OUW1" s="184"/>
      <c r="OUX1" s="184"/>
      <c r="OUY1" s="184"/>
      <c r="OUZ1" s="184"/>
      <c r="OVA1" s="184"/>
      <c r="OVB1" s="184"/>
      <c r="OVC1" s="184"/>
      <c r="OVD1" s="184"/>
      <c r="OVE1" s="184"/>
      <c r="OVF1" s="184"/>
      <c r="OVG1" s="184"/>
      <c r="OVH1" s="184"/>
      <c r="OVI1" s="184"/>
      <c r="OVJ1" s="184"/>
      <c r="OVK1" s="184"/>
      <c r="OVL1" s="184"/>
      <c r="OVM1" s="184"/>
      <c r="OVN1" s="184"/>
      <c r="OVO1" s="184"/>
      <c r="OVP1" s="184"/>
      <c r="OVQ1" s="184"/>
      <c r="OVR1" s="184"/>
      <c r="OVS1" s="184"/>
      <c r="OVT1" s="184"/>
      <c r="OVU1" s="184"/>
      <c r="OVV1" s="184"/>
      <c r="OVW1" s="184"/>
      <c r="OVX1" s="184"/>
      <c r="OVY1" s="184"/>
      <c r="OVZ1" s="184"/>
      <c r="OWA1" s="184"/>
      <c r="OWB1" s="184"/>
      <c r="OWC1" s="184"/>
      <c r="OWD1" s="184"/>
      <c r="OWE1" s="184"/>
      <c r="OWF1" s="184"/>
      <c r="OWG1" s="184"/>
      <c r="OWH1" s="184"/>
      <c r="OWI1" s="184"/>
      <c r="OWJ1" s="184"/>
      <c r="OWK1" s="184"/>
      <c r="OWL1" s="184"/>
      <c r="OWM1" s="184"/>
      <c r="OWN1" s="184"/>
      <c r="OWO1" s="184"/>
      <c r="OWP1" s="184"/>
      <c r="OWQ1" s="184"/>
      <c r="OWR1" s="184"/>
      <c r="OWS1" s="184"/>
      <c r="OWT1" s="184"/>
      <c r="OWU1" s="184"/>
      <c r="OWV1" s="184"/>
      <c r="OWW1" s="184"/>
      <c r="OWX1" s="184"/>
      <c r="OWY1" s="184"/>
      <c r="OWZ1" s="184"/>
      <c r="OXA1" s="184"/>
      <c r="OXB1" s="184"/>
      <c r="OXC1" s="184"/>
      <c r="OXD1" s="184"/>
      <c r="OXE1" s="184"/>
      <c r="OXF1" s="184"/>
      <c r="OXG1" s="184"/>
      <c r="OXH1" s="184"/>
      <c r="OXI1" s="184"/>
      <c r="OXJ1" s="184"/>
      <c r="OXK1" s="184"/>
      <c r="OXL1" s="184"/>
      <c r="OXM1" s="184"/>
      <c r="OXN1" s="184"/>
      <c r="OXO1" s="184"/>
      <c r="OXP1" s="184"/>
      <c r="OXQ1" s="184"/>
      <c r="OXR1" s="184"/>
      <c r="OXS1" s="184"/>
      <c r="OXT1" s="184"/>
      <c r="OXU1" s="184"/>
      <c r="OXV1" s="184"/>
      <c r="OXW1" s="184"/>
      <c r="OXX1" s="184"/>
      <c r="OXY1" s="184"/>
      <c r="OXZ1" s="184"/>
      <c r="OYA1" s="184"/>
      <c r="OYB1" s="184"/>
      <c r="OYC1" s="184"/>
      <c r="OYD1" s="184"/>
      <c r="OYE1" s="184"/>
      <c r="OYF1" s="184"/>
      <c r="OYG1" s="184"/>
      <c r="OYH1" s="184"/>
      <c r="OYI1" s="184"/>
      <c r="OYJ1" s="184"/>
      <c r="OYK1" s="184"/>
      <c r="OYL1" s="184"/>
      <c r="OYM1" s="184"/>
      <c r="OYN1" s="184"/>
      <c r="OYO1" s="184"/>
      <c r="OYP1" s="184"/>
      <c r="OYQ1" s="184"/>
      <c r="OYR1" s="184"/>
      <c r="OYS1" s="184"/>
      <c r="OYT1" s="184"/>
      <c r="OYU1" s="184"/>
      <c r="OYV1" s="184"/>
      <c r="OYW1" s="184"/>
      <c r="OYX1" s="184"/>
      <c r="OYY1" s="184"/>
      <c r="OYZ1" s="184"/>
      <c r="OZA1" s="184"/>
      <c r="OZB1" s="184"/>
      <c r="OZC1" s="184"/>
      <c r="OZD1" s="184"/>
      <c r="OZE1" s="184"/>
      <c r="OZF1" s="184"/>
      <c r="OZG1" s="184"/>
      <c r="OZH1" s="184"/>
      <c r="OZI1" s="184"/>
      <c r="OZJ1" s="184"/>
      <c r="OZK1" s="184"/>
      <c r="OZL1" s="184"/>
      <c r="OZM1" s="184"/>
      <c r="OZN1" s="184"/>
      <c r="OZO1" s="184"/>
      <c r="OZP1" s="184"/>
      <c r="OZQ1" s="184"/>
      <c r="OZR1" s="184"/>
      <c r="OZS1" s="184"/>
      <c r="OZT1" s="184"/>
      <c r="OZU1" s="184"/>
      <c r="OZV1" s="184"/>
      <c r="OZW1" s="184"/>
      <c r="OZX1" s="184"/>
      <c r="OZY1" s="184"/>
      <c r="OZZ1" s="184"/>
      <c r="PAA1" s="184"/>
      <c r="PAB1" s="184"/>
      <c r="PAC1" s="184"/>
      <c r="PAD1" s="184"/>
      <c r="PAE1" s="184"/>
      <c r="PAF1" s="184"/>
      <c r="PAG1" s="184"/>
      <c r="PAH1" s="184"/>
      <c r="PAI1" s="184"/>
      <c r="PAJ1" s="184"/>
      <c r="PAK1" s="184"/>
      <c r="PAL1" s="184"/>
      <c r="PAM1" s="184"/>
      <c r="PAN1" s="184"/>
      <c r="PAO1" s="184"/>
      <c r="PAP1" s="184"/>
      <c r="PAQ1" s="184"/>
      <c r="PAR1" s="184"/>
      <c r="PAS1" s="184"/>
      <c r="PAT1" s="184"/>
      <c r="PAU1" s="184"/>
      <c r="PAV1" s="184"/>
      <c r="PAW1" s="184"/>
      <c r="PAX1" s="184"/>
      <c r="PAY1" s="184"/>
      <c r="PAZ1" s="184"/>
      <c r="PBA1" s="184"/>
      <c r="PBB1" s="184"/>
      <c r="PBC1" s="184"/>
      <c r="PBD1" s="184"/>
      <c r="PBE1" s="184"/>
      <c r="PBF1" s="184"/>
      <c r="PBG1" s="184"/>
      <c r="PBH1" s="184"/>
      <c r="PBI1" s="184"/>
      <c r="PBJ1" s="184"/>
      <c r="PBK1" s="184"/>
      <c r="PBL1" s="184"/>
      <c r="PBM1" s="184"/>
      <c r="PBN1" s="184"/>
      <c r="PBO1" s="184"/>
      <c r="PBP1" s="184"/>
      <c r="PBQ1" s="184"/>
      <c r="PBR1" s="184"/>
      <c r="PBS1" s="184"/>
      <c r="PBT1" s="184"/>
      <c r="PBU1" s="184"/>
      <c r="PBV1" s="184"/>
      <c r="PBW1" s="184"/>
      <c r="PBX1" s="184"/>
      <c r="PBY1" s="184"/>
      <c r="PBZ1" s="184"/>
      <c r="PCA1" s="184"/>
      <c r="PCB1" s="184"/>
      <c r="PCC1" s="184"/>
      <c r="PCD1" s="184"/>
      <c r="PCE1" s="184"/>
      <c r="PCF1" s="184"/>
      <c r="PCG1" s="184"/>
      <c r="PCH1" s="184"/>
      <c r="PCI1" s="184"/>
      <c r="PCJ1" s="184"/>
      <c r="PCK1" s="184"/>
      <c r="PCL1" s="184"/>
      <c r="PCM1" s="184"/>
      <c r="PCN1" s="184"/>
      <c r="PCO1" s="184"/>
      <c r="PCP1" s="184"/>
      <c r="PCQ1" s="184"/>
      <c r="PCR1" s="184"/>
      <c r="PCS1" s="184"/>
      <c r="PCT1" s="184"/>
      <c r="PCU1" s="184"/>
      <c r="PCV1" s="184"/>
      <c r="PCW1" s="184"/>
      <c r="PCX1" s="184"/>
      <c r="PCY1" s="184"/>
      <c r="PCZ1" s="184"/>
      <c r="PDA1" s="184"/>
      <c r="PDB1" s="184"/>
      <c r="PDC1" s="184"/>
      <c r="PDD1" s="184"/>
      <c r="PDE1" s="184"/>
      <c r="PDF1" s="184"/>
      <c r="PDG1" s="184"/>
      <c r="PDH1" s="184"/>
      <c r="PDI1" s="184"/>
      <c r="PDJ1" s="184"/>
      <c r="PDK1" s="184"/>
      <c r="PDL1" s="184"/>
      <c r="PDM1" s="184"/>
      <c r="PDN1" s="184"/>
      <c r="PDO1" s="184"/>
      <c r="PDP1" s="184"/>
      <c r="PDQ1" s="184"/>
      <c r="PDR1" s="184"/>
      <c r="PDS1" s="184"/>
      <c r="PDT1" s="184"/>
      <c r="PDU1" s="184"/>
      <c r="PDV1" s="184"/>
      <c r="PDW1" s="184"/>
      <c r="PDX1" s="184"/>
      <c r="PDY1" s="184"/>
      <c r="PDZ1" s="184"/>
      <c r="PEA1" s="184"/>
      <c r="PEB1" s="184"/>
      <c r="PEC1" s="184"/>
      <c r="PED1" s="184"/>
      <c r="PEE1" s="184"/>
      <c r="PEF1" s="184"/>
      <c r="PEG1" s="184"/>
      <c r="PEH1" s="184"/>
      <c r="PEI1" s="184"/>
      <c r="PEJ1" s="184"/>
      <c r="PEK1" s="184"/>
      <c r="PEL1" s="184"/>
      <c r="PEM1" s="184"/>
      <c r="PEN1" s="184"/>
      <c r="PEO1" s="184"/>
      <c r="PEP1" s="184"/>
      <c r="PEQ1" s="184"/>
      <c r="PER1" s="184"/>
      <c r="PES1" s="184"/>
      <c r="PET1" s="184"/>
      <c r="PEU1" s="184"/>
      <c r="PEV1" s="184"/>
      <c r="PEW1" s="184"/>
      <c r="PEX1" s="184"/>
      <c r="PEY1" s="184"/>
      <c r="PEZ1" s="184"/>
      <c r="PFA1" s="184"/>
      <c r="PFB1" s="184"/>
      <c r="PFC1" s="184"/>
      <c r="PFD1" s="184"/>
      <c r="PFE1" s="184"/>
      <c r="PFF1" s="184"/>
      <c r="PFG1" s="184"/>
      <c r="PFH1" s="184"/>
      <c r="PFI1" s="184"/>
      <c r="PFJ1" s="184"/>
      <c r="PFK1" s="184"/>
      <c r="PFL1" s="184"/>
      <c r="PFM1" s="184"/>
      <c r="PFN1" s="184"/>
      <c r="PFO1" s="184"/>
      <c r="PFP1" s="184"/>
      <c r="PFQ1" s="184"/>
      <c r="PFR1" s="184"/>
      <c r="PFS1" s="184"/>
      <c r="PFT1" s="184"/>
      <c r="PFU1" s="184"/>
      <c r="PFV1" s="184"/>
      <c r="PFW1" s="184"/>
      <c r="PFX1" s="184"/>
      <c r="PFY1" s="184"/>
      <c r="PFZ1" s="184"/>
      <c r="PGA1" s="184"/>
      <c r="PGB1" s="184"/>
      <c r="PGC1" s="184"/>
      <c r="PGD1" s="184"/>
      <c r="PGE1" s="184"/>
      <c r="PGF1" s="184"/>
      <c r="PGG1" s="184"/>
      <c r="PGH1" s="184"/>
      <c r="PGI1" s="184"/>
      <c r="PGJ1" s="184"/>
      <c r="PGK1" s="184"/>
      <c r="PGL1" s="184"/>
      <c r="PGM1" s="184"/>
      <c r="PGN1" s="184"/>
      <c r="PGO1" s="184"/>
      <c r="PGP1" s="184"/>
      <c r="PGQ1" s="184"/>
      <c r="PGR1" s="184"/>
      <c r="PGS1" s="184"/>
      <c r="PGT1" s="184"/>
      <c r="PGU1" s="184"/>
      <c r="PGV1" s="184"/>
      <c r="PGW1" s="184"/>
      <c r="PGX1" s="184"/>
      <c r="PGY1" s="184"/>
      <c r="PGZ1" s="184"/>
      <c r="PHA1" s="184"/>
      <c r="PHB1" s="184"/>
      <c r="PHC1" s="184"/>
      <c r="PHD1" s="184"/>
      <c r="PHE1" s="184"/>
      <c r="PHF1" s="184"/>
      <c r="PHG1" s="184"/>
      <c r="PHH1" s="184"/>
      <c r="PHI1" s="184"/>
      <c r="PHJ1" s="184"/>
      <c r="PHK1" s="184"/>
      <c r="PHL1" s="184"/>
      <c r="PHM1" s="184"/>
      <c r="PHN1" s="184"/>
      <c r="PHO1" s="184"/>
      <c r="PHP1" s="184"/>
      <c r="PHQ1" s="184"/>
      <c r="PHR1" s="184"/>
      <c r="PHS1" s="184"/>
      <c r="PHT1" s="184"/>
      <c r="PHU1" s="184"/>
      <c r="PHV1" s="184"/>
      <c r="PHW1" s="184"/>
      <c r="PHX1" s="184"/>
      <c r="PHY1" s="184"/>
      <c r="PHZ1" s="184"/>
      <c r="PIA1" s="184"/>
      <c r="PIB1" s="184"/>
      <c r="PIC1" s="184"/>
      <c r="PID1" s="184"/>
      <c r="PIE1" s="184"/>
      <c r="PIF1" s="184"/>
      <c r="PIG1" s="184"/>
      <c r="PIH1" s="184"/>
      <c r="PII1" s="184"/>
      <c r="PIJ1" s="184"/>
      <c r="PIK1" s="184"/>
      <c r="PIL1" s="184"/>
      <c r="PIM1" s="184"/>
      <c r="PIN1" s="184"/>
      <c r="PIO1" s="184"/>
      <c r="PIP1" s="184"/>
      <c r="PIQ1" s="184"/>
      <c r="PIR1" s="184"/>
      <c r="PIS1" s="184"/>
      <c r="PIT1" s="184"/>
      <c r="PIU1" s="184"/>
      <c r="PIV1" s="184"/>
      <c r="PIW1" s="184"/>
      <c r="PIX1" s="184"/>
      <c r="PIY1" s="184"/>
      <c r="PIZ1" s="184"/>
      <c r="PJA1" s="184"/>
      <c r="PJB1" s="184"/>
      <c r="PJC1" s="184"/>
      <c r="PJD1" s="184"/>
      <c r="PJE1" s="184"/>
      <c r="PJF1" s="184"/>
      <c r="PJG1" s="184"/>
      <c r="PJH1" s="184"/>
      <c r="PJI1" s="184"/>
      <c r="PJJ1" s="184"/>
      <c r="PJK1" s="184"/>
      <c r="PJL1" s="184"/>
      <c r="PJM1" s="184"/>
      <c r="PJN1" s="184"/>
      <c r="PJO1" s="184"/>
      <c r="PJP1" s="184"/>
      <c r="PJQ1" s="184"/>
      <c r="PJR1" s="184"/>
      <c r="PJS1" s="184"/>
      <c r="PJT1" s="184"/>
      <c r="PJU1" s="184"/>
      <c r="PJV1" s="184"/>
      <c r="PJW1" s="184"/>
      <c r="PJX1" s="184"/>
      <c r="PJY1" s="184"/>
      <c r="PJZ1" s="184"/>
      <c r="PKA1" s="184"/>
      <c r="PKB1" s="184"/>
      <c r="PKC1" s="184"/>
      <c r="PKD1" s="184"/>
      <c r="PKE1" s="184"/>
      <c r="PKF1" s="184"/>
      <c r="PKG1" s="184"/>
      <c r="PKH1" s="184"/>
      <c r="PKI1" s="184"/>
      <c r="PKJ1" s="184"/>
      <c r="PKK1" s="184"/>
      <c r="PKL1" s="184"/>
      <c r="PKM1" s="184"/>
      <c r="PKN1" s="184"/>
      <c r="PKO1" s="184"/>
      <c r="PKP1" s="184"/>
      <c r="PKQ1" s="184"/>
      <c r="PKR1" s="184"/>
      <c r="PKS1" s="184"/>
      <c r="PKT1" s="184"/>
      <c r="PKU1" s="184"/>
      <c r="PKV1" s="184"/>
      <c r="PKW1" s="184"/>
      <c r="PKX1" s="184"/>
      <c r="PKY1" s="184"/>
      <c r="PKZ1" s="184"/>
      <c r="PLA1" s="184"/>
      <c r="PLB1" s="184"/>
      <c r="PLC1" s="184"/>
      <c r="PLD1" s="184"/>
      <c r="PLE1" s="184"/>
      <c r="PLF1" s="184"/>
      <c r="PLG1" s="184"/>
      <c r="PLH1" s="184"/>
      <c r="PLI1" s="184"/>
      <c r="PLJ1" s="184"/>
      <c r="PLK1" s="184"/>
      <c r="PLL1" s="184"/>
      <c r="PLM1" s="184"/>
      <c r="PLN1" s="184"/>
      <c r="PLO1" s="184"/>
      <c r="PLP1" s="184"/>
      <c r="PLQ1" s="184"/>
      <c r="PLR1" s="184"/>
      <c r="PLS1" s="184"/>
      <c r="PLT1" s="184"/>
      <c r="PLU1" s="184"/>
      <c r="PLV1" s="184"/>
      <c r="PLW1" s="184"/>
      <c r="PLX1" s="184"/>
      <c r="PLY1" s="184"/>
      <c r="PLZ1" s="184"/>
      <c r="PMA1" s="184"/>
      <c r="PMB1" s="184"/>
      <c r="PMC1" s="184"/>
      <c r="PMD1" s="184"/>
      <c r="PME1" s="184"/>
      <c r="PMF1" s="184"/>
      <c r="PMG1" s="184"/>
      <c r="PMH1" s="184"/>
      <c r="PMI1" s="184"/>
      <c r="PMJ1" s="184"/>
      <c r="PMK1" s="184"/>
      <c r="PML1" s="184"/>
      <c r="PMM1" s="184"/>
      <c r="PMN1" s="184"/>
      <c r="PMO1" s="184"/>
      <c r="PMP1" s="184"/>
      <c r="PMQ1" s="184"/>
      <c r="PMR1" s="184"/>
      <c r="PMS1" s="184"/>
      <c r="PMT1" s="184"/>
      <c r="PMU1" s="184"/>
      <c r="PMV1" s="184"/>
      <c r="PMW1" s="184"/>
      <c r="PMX1" s="184"/>
      <c r="PMY1" s="184"/>
      <c r="PMZ1" s="184"/>
      <c r="PNA1" s="184"/>
      <c r="PNB1" s="184"/>
      <c r="PNC1" s="184"/>
      <c r="PND1" s="184"/>
      <c r="PNE1" s="184"/>
      <c r="PNF1" s="184"/>
      <c r="PNG1" s="184"/>
      <c r="PNH1" s="184"/>
      <c r="PNI1" s="184"/>
      <c r="PNJ1" s="184"/>
      <c r="PNK1" s="184"/>
      <c r="PNL1" s="184"/>
      <c r="PNM1" s="184"/>
      <c r="PNN1" s="184"/>
      <c r="PNO1" s="184"/>
      <c r="PNP1" s="184"/>
      <c r="PNQ1" s="184"/>
      <c r="PNR1" s="184"/>
      <c r="PNS1" s="184"/>
      <c r="PNT1" s="184"/>
      <c r="PNU1" s="184"/>
      <c r="PNV1" s="184"/>
      <c r="PNW1" s="184"/>
      <c r="PNX1" s="184"/>
      <c r="PNY1" s="184"/>
      <c r="PNZ1" s="184"/>
      <c r="POA1" s="184"/>
      <c r="POB1" s="184"/>
      <c r="POC1" s="184"/>
      <c r="POD1" s="184"/>
      <c r="POE1" s="184"/>
      <c r="POF1" s="184"/>
      <c r="POG1" s="184"/>
      <c r="POH1" s="184"/>
      <c r="POI1" s="184"/>
      <c r="POJ1" s="184"/>
      <c r="POK1" s="184"/>
      <c r="POL1" s="184"/>
      <c r="POM1" s="184"/>
      <c r="PON1" s="184"/>
      <c r="POO1" s="184"/>
      <c r="POP1" s="184"/>
      <c r="POQ1" s="184"/>
      <c r="POR1" s="184"/>
      <c r="POS1" s="184"/>
      <c r="POT1" s="184"/>
      <c r="POU1" s="184"/>
      <c r="POV1" s="184"/>
      <c r="POW1" s="184"/>
      <c r="POX1" s="184"/>
      <c r="POY1" s="184"/>
      <c r="POZ1" s="184"/>
      <c r="PPA1" s="184"/>
      <c r="PPB1" s="184"/>
      <c r="PPC1" s="184"/>
      <c r="PPD1" s="184"/>
      <c r="PPE1" s="184"/>
      <c r="PPF1" s="184"/>
      <c r="PPG1" s="184"/>
      <c r="PPH1" s="184"/>
      <c r="PPI1" s="184"/>
      <c r="PPJ1" s="184"/>
      <c r="PPK1" s="184"/>
      <c r="PPL1" s="184"/>
      <c r="PPM1" s="184"/>
      <c r="PPN1" s="184"/>
      <c r="PPO1" s="184"/>
      <c r="PPP1" s="184"/>
      <c r="PPQ1" s="184"/>
      <c r="PPR1" s="184"/>
      <c r="PPS1" s="184"/>
      <c r="PPT1" s="184"/>
      <c r="PPU1" s="184"/>
      <c r="PPV1" s="184"/>
      <c r="PPW1" s="184"/>
      <c r="PPX1" s="184"/>
      <c r="PPY1" s="184"/>
      <c r="PPZ1" s="184"/>
      <c r="PQA1" s="184"/>
      <c r="PQB1" s="184"/>
      <c r="PQC1" s="184"/>
      <c r="PQD1" s="184"/>
      <c r="PQE1" s="184"/>
      <c r="PQF1" s="184"/>
      <c r="PQG1" s="184"/>
      <c r="PQH1" s="184"/>
      <c r="PQI1" s="184"/>
      <c r="PQJ1" s="184"/>
      <c r="PQK1" s="184"/>
      <c r="PQL1" s="184"/>
      <c r="PQM1" s="184"/>
      <c r="PQN1" s="184"/>
      <c r="PQO1" s="184"/>
      <c r="PQP1" s="184"/>
      <c r="PQQ1" s="184"/>
      <c r="PQR1" s="184"/>
      <c r="PQS1" s="184"/>
      <c r="PQT1" s="184"/>
      <c r="PQU1" s="184"/>
      <c r="PQV1" s="184"/>
      <c r="PQW1" s="184"/>
      <c r="PQX1" s="184"/>
      <c r="PQY1" s="184"/>
      <c r="PQZ1" s="184"/>
      <c r="PRA1" s="184"/>
      <c r="PRB1" s="184"/>
      <c r="PRC1" s="184"/>
      <c r="PRD1" s="184"/>
      <c r="PRE1" s="184"/>
      <c r="PRF1" s="184"/>
      <c r="PRG1" s="184"/>
      <c r="PRH1" s="184"/>
      <c r="PRI1" s="184"/>
      <c r="PRJ1" s="184"/>
      <c r="PRK1" s="184"/>
      <c r="PRL1" s="184"/>
      <c r="PRM1" s="184"/>
      <c r="PRN1" s="184"/>
      <c r="PRO1" s="184"/>
      <c r="PRP1" s="184"/>
      <c r="PRQ1" s="184"/>
      <c r="PRR1" s="184"/>
      <c r="PRS1" s="184"/>
      <c r="PRT1" s="184"/>
      <c r="PRU1" s="184"/>
      <c r="PRV1" s="184"/>
      <c r="PRW1" s="184"/>
      <c r="PRX1" s="184"/>
      <c r="PRY1" s="184"/>
      <c r="PRZ1" s="184"/>
      <c r="PSA1" s="184"/>
      <c r="PSB1" s="184"/>
      <c r="PSC1" s="184"/>
      <c r="PSD1" s="184"/>
      <c r="PSE1" s="184"/>
      <c r="PSF1" s="184"/>
      <c r="PSG1" s="184"/>
      <c r="PSH1" s="184"/>
      <c r="PSI1" s="184"/>
      <c r="PSJ1" s="184"/>
      <c r="PSK1" s="184"/>
      <c r="PSL1" s="184"/>
      <c r="PSM1" s="184"/>
      <c r="PSN1" s="184"/>
      <c r="PSO1" s="184"/>
      <c r="PSP1" s="184"/>
      <c r="PSQ1" s="184"/>
      <c r="PSR1" s="184"/>
      <c r="PSS1" s="184"/>
      <c r="PST1" s="184"/>
      <c r="PSU1" s="184"/>
      <c r="PSV1" s="184"/>
      <c r="PSW1" s="184"/>
      <c r="PSX1" s="184"/>
      <c r="PSY1" s="184"/>
      <c r="PSZ1" s="184"/>
      <c r="PTA1" s="184"/>
      <c r="PTB1" s="184"/>
      <c r="PTC1" s="184"/>
      <c r="PTD1" s="184"/>
      <c r="PTE1" s="184"/>
      <c r="PTF1" s="184"/>
      <c r="PTG1" s="184"/>
      <c r="PTH1" s="184"/>
      <c r="PTI1" s="184"/>
      <c r="PTJ1" s="184"/>
      <c r="PTK1" s="184"/>
      <c r="PTL1" s="184"/>
      <c r="PTM1" s="184"/>
      <c r="PTN1" s="184"/>
      <c r="PTO1" s="184"/>
      <c r="PTP1" s="184"/>
      <c r="PTQ1" s="184"/>
      <c r="PTR1" s="184"/>
      <c r="PTS1" s="184"/>
      <c r="PTT1" s="184"/>
      <c r="PTU1" s="184"/>
      <c r="PTV1" s="184"/>
      <c r="PTW1" s="184"/>
      <c r="PTX1" s="184"/>
      <c r="PTY1" s="184"/>
      <c r="PTZ1" s="184"/>
      <c r="PUA1" s="184"/>
      <c r="PUB1" s="184"/>
      <c r="PUC1" s="184"/>
      <c r="PUD1" s="184"/>
      <c r="PUE1" s="184"/>
      <c r="PUF1" s="184"/>
      <c r="PUG1" s="184"/>
      <c r="PUH1" s="184"/>
      <c r="PUI1" s="184"/>
      <c r="PUJ1" s="184"/>
      <c r="PUK1" s="184"/>
      <c r="PUL1" s="184"/>
      <c r="PUM1" s="184"/>
      <c r="PUN1" s="184"/>
      <c r="PUO1" s="184"/>
      <c r="PUP1" s="184"/>
      <c r="PUQ1" s="184"/>
      <c r="PUR1" s="184"/>
      <c r="PUS1" s="184"/>
      <c r="PUT1" s="184"/>
      <c r="PUU1" s="184"/>
      <c r="PUV1" s="184"/>
      <c r="PUW1" s="184"/>
      <c r="PUX1" s="184"/>
      <c r="PUY1" s="184"/>
      <c r="PUZ1" s="184"/>
      <c r="PVA1" s="184"/>
      <c r="PVB1" s="184"/>
      <c r="PVC1" s="184"/>
      <c r="PVD1" s="184"/>
      <c r="PVE1" s="184"/>
      <c r="PVF1" s="184"/>
      <c r="PVG1" s="184"/>
      <c r="PVH1" s="184"/>
      <c r="PVI1" s="184"/>
      <c r="PVJ1" s="184"/>
      <c r="PVK1" s="184"/>
      <c r="PVL1" s="184"/>
      <c r="PVM1" s="184"/>
      <c r="PVN1" s="184"/>
      <c r="PVO1" s="184"/>
      <c r="PVP1" s="184"/>
      <c r="PVQ1" s="184"/>
      <c r="PVR1" s="184"/>
      <c r="PVS1" s="184"/>
      <c r="PVT1" s="184"/>
      <c r="PVU1" s="184"/>
      <c r="PVV1" s="184"/>
      <c r="PVW1" s="184"/>
      <c r="PVX1" s="184"/>
      <c r="PVY1" s="184"/>
      <c r="PVZ1" s="184"/>
      <c r="PWA1" s="184"/>
      <c r="PWB1" s="184"/>
      <c r="PWC1" s="184"/>
      <c r="PWD1" s="184"/>
      <c r="PWE1" s="184"/>
      <c r="PWF1" s="184"/>
      <c r="PWG1" s="184"/>
      <c r="PWH1" s="184"/>
      <c r="PWI1" s="184"/>
      <c r="PWJ1" s="184"/>
      <c r="PWK1" s="184"/>
      <c r="PWL1" s="184"/>
      <c r="PWM1" s="184"/>
      <c r="PWN1" s="184"/>
      <c r="PWO1" s="184"/>
      <c r="PWP1" s="184"/>
      <c r="PWQ1" s="184"/>
      <c r="PWR1" s="184"/>
      <c r="PWS1" s="184"/>
      <c r="PWT1" s="184"/>
      <c r="PWU1" s="184"/>
      <c r="PWV1" s="184"/>
      <c r="PWW1" s="184"/>
      <c r="PWX1" s="184"/>
      <c r="PWY1" s="184"/>
      <c r="PWZ1" s="184"/>
      <c r="PXA1" s="184"/>
      <c r="PXB1" s="184"/>
      <c r="PXC1" s="184"/>
      <c r="PXD1" s="184"/>
      <c r="PXE1" s="184"/>
      <c r="PXF1" s="184"/>
      <c r="PXG1" s="184"/>
      <c r="PXH1" s="184"/>
      <c r="PXI1" s="184"/>
      <c r="PXJ1" s="184"/>
      <c r="PXK1" s="184"/>
      <c r="PXL1" s="184"/>
      <c r="PXM1" s="184"/>
      <c r="PXN1" s="184"/>
      <c r="PXO1" s="184"/>
      <c r="PXP1" s="184"/>
      <c r="PXQ1" s="184"/>
      <c r="PXR1" s="184"/>
      <c r="PXS1" s="184"/>
      <c r="PXT1" s="184"/>
      <c r="PXU1" s="184"/>
      <c r="PXV1" s="184"/>
      <c r="PXW1" s="184"/>
      <c r="PXX1" s="184"/>
      <c r="PXY1" s="184"/>
      <c r="PXZ1" s="184"/>
      <c r="PYA1" s="184"/>
      <c r="PYB1" s="184"/>
      <c r="PYC1" s="184"/>
      <c r="PYD1" s="184"/>
      <c r="PYE1" s="184"/>
      <c r="PYF1" s="184"/>
      <c r="PYG1" s="184"/>
      <c r="PYH1" s="184"/>
      <c r="PYI1" s="184"/>
      <c r="PYJ1" s="184"/>
      <c r="PYK1" s="184"/>
      <c r="PYL1" s="184"/>
      <c r="PYM1" s="184"/>
      <c r="PYN1" s="184"/>
      <c r="PYO1" s="184"/>
      <c r="PYP1" s="184"/>
      <c r="PYQ1" s="184"/>
      <c r="PYR1" s="184"/>
      <c r="PYS1" s="184"/>
      <c r="PYT1" s="184"/>
      <c r="PYU1" s="184"/>
      <c r="PYV1" s="184"/>
      <c r="PYW1" s="184"/>
      <c r="PYX1" s="184"/>
      <c r="PYY1" s="184"/>
      <c r="PYZ1" s="184"/>
      <c r="PZA1" s="184"/>
      <c r="PZB1" s="184"/>
      <c r="PZC1" s="184"/>
      <c r="PZD1" s="184"/>
      <c r="PZE1" s="184"/>
      <c r="PZF1" s="184"/>
      <c r="PZG1" s="184"/>
      <c r="PZH1" s="184"/>
      <c r="PZI1" s="184"/>
      <c r="PZJ1" s="184"/>
      <c r="PZK1" s="184"/>
      <c r="PZL1" s="184"/>
      <c r="PZM1" s="184"/>
      <c r="PZN1" s="184"/>
      <c r="PZO1" s="184"/>
      <c r="PZP1" s="184"/>
      <c r="PZQ1" s="184"/>
      <c r="PZR1" s="184"/>
      <c r="PZS1" s="184"/>
      <c r="PZT1" s="184"/>
      <c r="PZU1" s="184"/>
      <c r="PZV1" s="184"/>
      <c r="PZW1" s="184"/>
      <c r="PZX1" s="184"/>
      <c r="PZY1" s="184"/>
      <c r="PZZ1" s="184"/>
      <c r="QAA1" s="184"/>
      <c r="QAB1" s="184"/>
      <c r="QAC1" s="184"/>
      <c r="QAD1" s="184"/>
      <c r="QAE1" s="184"/>
      <c r="QAF1" s="184"/>
      <c r="QAG1" s="184"/>
      <c r="QAH1" s="184"/>
      <c r="QAI1" s="184"/>
      <c r="QAJ1" s="184"/>
      <c r="QAK1" s="184"/>
      <c r="QAL1" s="184"/>
      <c r="QAM1" s="184"/>
      <c r="QAN1" s="184"/>
      <c r="QAO1" s="184"/>
      <c r="QAP1" s="184"/>
      <c r="QAQ1" s="184"/>
      <c r="QAR1" s="184"/>
      <c r="QAS1" s="184"/>
      <c r="QAT1" s="184"/>
      <c r="QAU1" s="184"/>
      <c r="QAV1" s="184"/>
      <c r="QAW1" s="184"/>
      <c r="QAX1" s="184"/>
      <c r="QAY1" s="184"/>
      <c r="QAZ1" s="184"/>
      <c r="QBA1" s="184"/>
      <c r="QBB1" s="184"/>
      <c r="QBC1" s="184"/>
      <c r="QBD1" s="184"/>
      <c r="QBE1" s="184"/>
      <c r="QBF1" s="184"/>
      <c r="QBG1" s="184"/>
      <c r="QBH1" s="184"/>
      <c r="QBI1" s="184"/>
      <c r="QBJ1" s="184"/>
      <c r="QBK1" s="184"/>
      <c r="QBL1" s="184"/>
      <c r="QBM1" s="184"/>
      <c r="QBN1" s="184"/>
      <c r="QBO1" s="184"/>
      <c r="QBP1" s="184"/>
      <c r="QBQ1" s="184"/>
      <c r="QBR1" s="184"/>
      <c r="QBS1" s="184"/>
      <c r="QBT1" s="184"/>
      <c r="QBU1" s="184"/>
      <c r="QBV1" s="184"/>
      <c r="QBW1" s="184"/>
      <c r="QBX1" s="184"/>
      <c r="QBY1" s="184"/>
      <c r="QBZ1" s="184"/>
      <c r="QCA1" s="184"/>
      <c r="QCB1" s="184"/>
      <c r="QCC1" s="184"/>
      <c r="QCD1" s="184"/>
      <c r="QCE1" s="184"/>
      <c r="QCF1" s="184"/>
      <c r="QCG1" s="184"/>
      <c r="QCH1" s="184"/>
      <c r="QCI1" s="184"/>
      <c r="QCJ1" s="184"/>
      <c r="QCK1" s="184"/>
      <c r="QCL1" s="184"/>
      <c r="QCM1" s="184"/>
      <c r="QCN1" s="184"/>
      <c r="QCO1" s="184"/>
      <c r="QCP1" s="184"/>
      <c r="QCQ1" s="184"/>
      <c r="QCR1" s="184"/>
      <c r="QCS1" s="184"/>
      <c r="QCT1" s="184"/>
      <c r="QCU1" s="184"/>
      <c r="QCV1" s="184"/>
      <c r="QCW1" s="184"/>
      <c r="QCX1" s="184"/>
      <c r="QCY1" s="184"/>
      <c r="QCZ1" s="184"/>
      <c r="QDA1" s="184"/>
      <c r="QDB1" s="184"/>
      <c r="QDC1" s="184"/>
      <c r="QDD1" s="184"/>
      <c r="QDE1" s="184"/>
      <c r="QDF1" s="184"/>
      <c r="QDG1" s="184"/>
      <c r="QDH1" s="184"/>
      <c r="QDI1" s="184"/>
      <c r="QDJ1" s="184"/>
      <c r="QDK1" s="184"/>
      <c r="QDL1" s="184"/>
      <c r="QDM1" s="184"/>
      <c r="QDN1" s="184"/>
      <c r="QDO1" s="184"/>
      <c r="QDP1" s="184"/>
      <c r="QDQ1" s="184"/>
      <c r="QDR1" s="184"/>
      <c r="QDS1" s="184"/>
      <c r="QDT1" s="184"/>
      <c r="QDU1" s="184"/>
      <c r="QDV1" s="184"/>
      <c r="QDW1" s="184"/>
      <c r="QDX1" s="184"/>
      <c r="QDY1" s="184"/>
      <c r="QDZ1" s="184"/>
      <c r="QEA1" s="184"/>
      <c r="QEB1" s="184"/>
      <c r="QEC1" s="184"/>
      <c r="QED1" s="184"/>
      <c r="QEE1" s="184"/>
      <c r="QEF1" s="184"/>
      <c r="QEG1" s="184"/>
      <c r="QEH1" s="184"/>
      <c r="QEI1" s="184"/>
      <c r="QEJ1" s="184"/>
      <c r="QEK1" s="184"/>
      <c r="QEL1" s="184"/>
      <c r="QEM1" s="184"/>
      <c r="QEN1" s="184"/>
      <c r="QEO1" s="184"/>
      <c r="QEP1" s="184"/>
      <c r="QEQ1" s="184"/>
      <c r="QER1" s="184"/>
      <c r="QES1" s="184"/>
      <c r="QET1" s="184"/>
      <c r="QEU1" s="184"/>
      <c r="QEV1" s="184"/>
      <c r="QEW1" s="184"/>
      <c r="QEX1" s="184"/>
      <c r="QEY1" s="184"/>
      <c r="QEZ1" s="184"/>
      <c r="QFA1" s="184"/>
      <c r="QFB1" s="184"/>
      <c r="QFC1" s="184"/>
      <c r="QFD1" s="184"/>
      <c r="QFE1" s="184"/>
      <c r="QFF1" s="184"/>
      <c r="QFG1" s="184"/>
      <c r="QFH1" s="184"/>
      <c r="QFI1" s="184"/>
      <c r="QFJ1" s="184"/>
      <c r="QFK1" s="184"/>
      <c r="QFL1" s="184"/>
      <c r="QFM1" s="184"/>
      <c r="QFN1" s="184"/>
      <c r="QFO1" s="184"/>
      <c r="QFP1" s="184"/>
      <c r="QFQ1" s="184"/>
      <c r="QFR1" s="184"/>
      <c r="QFS1" s="184"/>
      <c r="QFT1" s="184"/>
      <c r="QFU1" s="184"/>
      <c r="QFV1" s="184"/>
      <c r="QFW1" s="184"/>
      <c r="QFX1" s="184"/>
      <c r="QFY1" s="184"/>
      <c r="QFZ1" s="184"/>
      <c r="QGA1" s="184"/>
      <c r="QGB1" s="184"/>
      <c r="QGC1" s="184"/>
      <c r="QGD1" s="184"/>
      <c r="QGE1" s="184"/>
      <c r="QGF1" s="184"/>
      <c r="QGG1" s="184"/>
      <c r="QGH1" s="184"/>
      <c r="QGI1" s="184"/>
      <c r="QGJ1" s="184"/>
      <c r="QGK1" s="184"/>
      <c r="QGL1" s="184"/>
      <c r="QGM1" s="184"/>
      <c r="QGN1" s="184"/>
      <c r="QGO1" s="184"/>
      <c r="QGP1" s="184"/>
      <c r="QGQ1" s="184"/>
      <c r="QGR1" s="184"/>
      <c r="QGS1" s="184"/>
      <c r="QGT1" s="184"/>
      <c r="QGU1" s="184"/>
      <c r="QGV1" s="184"/>
      <c r="QGW1" s="184"/>
      <c r="QGX1" s="184"/>
      <c r="QGY1" s="184"/>
      <c r="QGZ1" s="184"/>
      <c r="QHA1" s="184"/>
      <c r="QHB1" s="184"/>
      <c r="QHC1" s="184"/>
      <c r="QHD1" s="184"/>
      <c r="QHE1" s="184"/>
      <c r="QHF1" s="184"/>
      <c r="QHG1" s="184"/>
      <c r="QHH1" s="184"/>
      <c r="QHI1" s="184"/>
      <c r="QHJ1" s="184"/>
      <c r="QHK1" s="184"/>
      <c r="QHL1" s="184"/>
      <c r="QHM1" s="184"/>
      <c r="QHN1" s="184"/>
      <c r="QHO1" s="184"/>
      <c r="QHP1" s="184"/>
      <c r="QHQ1" s="184"/>
      <c r="QHR1" s="184"/>
      <c r="QHS1" s="184"/>
      <c r="QHT1" s="184"/>
      <c r="QHU1" s="184"/>
      <c r="QHV1" s="184"/>
      <c r="QHW1" s="184"/>
      <c r="QHX1" s="184"/>
      <c r="QHY1" s="184"/>
      <c r="QHZ1" s="184"/>
      <c r="QIA1" s="184"/>
      <c r="QIB1" s="184"/>
      <c r="QIC1" s="184"/>
      <c r="QID1" s="184"/>
      <c r="QIE1" s="184"/>
      <c r="QIF1" s="184"/>
      <c r="QIG1" s="184"/>
      <c r="QIH1" s="184"/>
      <c r="QII1" s="184"/>
      <c r="QIJ1" s="184"/>
      <c r="QIK1" s="184"/>
      <c r="QIL1" s="184"/>
      <c r="QIM1" s="184"/>
      <c r="QIN1" s="184"/>
      <c r="QIO1" s="184"/>
      <c r="QIP1" s="184"/>
      <c r="QIQ1" s="184"/>
      <c r="QIR1" s="184"/>
      <c r="QIS1" s="184"/>
      <c r="QIT1" s="184"/>
      <c r="QIU1" s="184"/>
      <c r="QIV1" s="184"/>
      <c r="QIW1" s="184"/>
      <c r="QIX1" s="184"/>
      <c r="QIY1" s="184"/>
      <c r="QIZ1" s="184"/>
      <c r="QJA1" s="184"/>
      <c r="QJB1" s="184"/>
      <c r="QJC1" s="184"/>
      <c r="QJD1" s="184"/>
      <c r="QJE1" s="184"/>
      <c r="QJF1" s="184"/>
      <c r="QJG1" s="184"/>
      <c r="QJH1" s="184"/>
      <c r="QJI1" s="184"/>
      <c r="QJJ1" s="184"/>
      <c r="QJK1" s="184"/>
      <c r="QJL1" s="184"/>
      <c r="QJM1" s="184"/>
      <c r="QJN1" s="184"/>
      <c r="QJO1" s="184"/>
      <c r="QJP1" s="184"/>
      <c r="QJQ1" s="184"/>
      <c r="QJR1" s="184"/>
      <c r="QJS1" s="184"/>
      <c r="QJT1" s="184"/>
      <c r="QJU1" s="184"/>
      <c r="QJV1" s="184"/>
      <c r="QJW1" s="184"/>
      <c r="QJX1" s="184"/>
      <c r="QJY1" s="184"/>
      <c r="QJZ1" s="184"/>
      <c r="QKA1" s="184"/>
      <c r="QKB1" s="184"/>
      <c r="QKC1" s="184"/>
      <c r="QKD1" s="184"/>
      <c r="QKE1" s="184"/>
      <c r="QKF1" s="184"/>
      <c r="QKG1" s="184"/>
      <c r="QKH1" s="184"/>
      <c r="QKI1" s="184"/>
      <c r="QKJ1" s="184"/>
      <c r="QKK1" s="184"/>
      <c r="QKL1" s="184"/>
      <c r="QKM1" s="184"/>
      <c r="QKN1" s="184"/>
      <c r="QKO1" s="184"/>
      <c r="QKP1" s="184"/>
      <c r="QKQ1" s="184"/>
      <c r="QKR1" s="184"/>
      <c r="QKS1" s="184"/>
      <c r="QKT1" s="184"/>
      <c r="QKU1" s="184"/>
      <c r="QKV1" s="184"/>
      <c r="QKW1" s="184"/>
      <c r="QKX1" s="184"/>
      <c r="QKY1" s="184"/>
      <c r="QKZ1" s="184"/>
      <c r="QLA1" s="184"/>
      <c r="QLB1" s="184"/>
      <c r="QLC1" s="184"/>
      <c r="QLD1" s="184"/>
      <c r="QLE1" s="184"/>
      <c r="QLF1" s="184"/>
      <c r="QLG1" s="184"/>
      <c r="QLH1" s="184"/>
      <c r="QLI1" s="184"/>
      <c r="QLJ1" s="184"/>
      <c r="QLK1" s="184"/>
      <c r="QLL1" s="184"/>
      <c r="QLM1" s="184"/>
      <c r="QLN1" s="184"/>
      <c r="QLO1" s="184"/>
      <c r="QLP1" s="184"/>
      <c r="QLQ1" s="184"/>
      <c r="QLR1" s="184"/>
      <c r="QLS1" s="184"/>
      <c r="QLT1" s="184"/>
      <c r="QLU1" s="184"/>
      <c r="QLV1" s="184"/>
      <c r="QLW1" s="184"/>
      <c r="QLX1" s="184"/>
      <c r="QLY1" s="184"/>
      <c r="QLZ1" s="184"/>
      <c r="QMA1" s="184"/>
      <c r="QMB1" s="184"/>
      <c r="QMC1" s="184"/>
      <c r="QMD1" s="184"/>
      <c r="QME1" s="184"/>
      <c r="QMF1" s="184"/>
      <c r="QMG1" s="184"/>
      <c r="QMH1" s="184"/>
      <c r="QMI1" s="184"/>
      <c r="QMJ1" s="184"/>
      <c r="QMK1" s="184"/>
      <c r="QML1" s="184"/>
      <c r="QMM1" s="184"/>
      <c r="QMN1" s="184"/>
      <c r="QMO1" s="184"/>
      <c r="QMP1" s="184"/>
      <c r="QMQ1" s="184"/>
      <c r="QMR1" s="184"/>
      <c r="QMS1" s="184"/>
      <c r="QMT1" s="184"/>
      <c r="QMU1" s="184"/>
      <c r="QMV1" s="184"/>
      <c r="QMW1" s="184"/>
      <c r="QMX1" s="184"/>
      <c r="QMY1" s="184"/>
      <c r="QMZ1" s="184"/>
      <c r="QNA1" s="184"/>
      <c r="QNB1" s="184"/>
      <c r="QNC1" s="184"/>
      <c r="QND1" s="184"/>
      <c r="QNE1" s="184"/>
      <c r="QNF1" s="184"/>
      <c r="QNG1" s="184"/>
      <c r="QNH1" s="184"/>
      <c r="QNI1" s="184"/>
      <c r="QNJ1" s="184"/>
      <c r="QNK1" s="184"/>
      <c r="QNL1" s="184"/>
      <c r="QNM1" s="184"/>
      <c r="QNN1" s="184"/>
      <c r="QNO1" s="184"/>
      <c r="QNP1" s="184"/>
      <c r="QNQ1" s="184"/>
      <c r="QNR1" s="184"/>
      <c r="QNS1" s="184"/>
      <c r="QNT1" s="184"/>
      <c r="QNU1" s="184"/>
      <c r="QNV1" s="184"/>
      <c r="QNW1" s="184"/>
      <c r="QNX1" s="184"/>
      <c r="QNY1" s="184"/>
      <c r="QNZ1" s="184"/>
      <c r="QOA1" s="184"/>
      <c r="QOB1" s="184"/>
      <c r="QOC1" s="184"/>
      <c r="QOD1" s="184"/>
      <c r="QOE1" s="184"/>
      <c r="QOF1" s="184"/>
      <c r="QOG1" s="184"/>
      <c r="QOH1" s="184"/>
      <c r="QOI1" s="184"/>
      <c r="QOJ1" s="184"/>
      <c r="QOK1" s="184"/>
      <c r="QOL1" s="184"/>
      <c r="QOM1" s="184"/>
      <c r="QON1" s="184"/>
      <c r="QOO1" s="184"/>
      <c r="QOP1" s="184"/>
      <c r="QOQ1" s="184"/>
      <c r="QOR1" s="184"/>
      <c r="QOS1" s="184"/>
      <c r="QOT1" s="184"/>
      <c r="QOU1" s="184"/>
      <c r="QOV1" s="184"/>
      <c r="QOW1" s="184"/>
      <c r="QOX1" s="184"/>
      <c r="QOY1" s="184"/>
      <c r="QOZ1" s="184"/>
      <c r="QPA1" s="184"/>
      <c r="QPB1" s="184"/>
      <c r="QPC1" s="184"/>
      <c r="QPD1" s="184"/>
      <c r="QPE1" s="184"/>
      <c r="QPF1" s="184"/>
      <c r="QPG1" s="184"/>
      <c r="QPH1" s="184"/>
      <c r="QPI1" s="184"/>
      <c r="QPJ1" s="184"/>
      <c r="QPK1" s="184"/>
      <c r="QPL1" s="184"/>
      <c r="QPM1" s="184"/>
      <c r="QPN1" s="184"/>
      <c r="QPO1" s="184"/>
      <c r="QPP1" s="184"/>
      <c r="QPQ1" s="184"/>
      <c r="QPR1" s="184"/>
      <c r="QPS1" s="184"/>
      <c r="QPT1" s="184"/>
      <c r="QPU1" s="184"/>
      <c r="QPV1" s="184"/>
      <c r="QPW1" s="184"/>
      <c r="QPX1" s="184"/>
      <c r="QPY1" s="184"/>
      <c r="QPZ1" s="184"/>
      <c r="QQA1" s="184"/>
      <c r="QQB1" s="184"/>
      <c r="QQC1" s="184"/>
      <c r="QQD1" s="184"/>
      <c r="QQE1" s="184"/>
      <c r="QQF1" s="184"/>
      <c r="QQG1" s="184"/>
      <c r="QQH1" s="184"/>
      <c r="QQI1" s="184"/>
      <c r="QQJ1" s="184"/>
      <c r="QQK1" s="184"/>
      <c r="QQL1" s="184"/>
      <c r="QQM1" s="184"/>
      <c r="QQN1" s="184"/>
      <c r="QQO1" s="184"/>
      <c r="QQP1" s="184"/>
      <c r="QQQ1" s="184"/>
      <c r="QQR1" s="184"/>
      <c r="QQS1" s="184"/>
      <c r="QQT1" s="184"/>
      <c r="QQU1" s="184"/>
      <c r="QQV1" s="184"/>
      <c r="QQW1" s="184"/>
      <c r="QQX1" s="184"/>
      <c r="QQY1" s="184"/>
      <c r="QQZ1" s="184"/>
      <c r="QRA1" s="184"/>
      <c r="QRB1" s="184"/>
      <c r="QRC1" s="184"/>
      <c r="QRD1" s="184"/>
      <c r="QRE1" s="184"/>
      <c r="QRF1" s="184"/>
      <c r="QRG1" s="184"/>
      <c r="QRH1" s="184"/>
      <c r="QRI1" s="184"/>
      <c r="QRJ1" s="184"/>
      <c r="QRK1" s="184"/>
      <c r="QRL1" s="184"/>
      <c r="QRM1" s="184"/>
      <c r="QRN1" s="184"/>
      <c r="QRO1" s="184"/>
      <c r="QRP1" s="184"/>
      <c r="QRQ1" s="184"/>
      <c r="QRR1" s="184"/>
      <c r="QRS1" s="184"/>
      <c r="QRT1" s="184"/>
      <c r="QRU1" s="184"/>
      <c r="QRV1" s="184"/>
      <c r="QRW1" s="184"/>
      <c r="QRX1" s="184"/>
      <c r="QRY1" s="184"/>
      <c r="QRZ1" s="184"/>
      <c r="QSA1" s="184"/>
      <c r="QSB1" s="184"/>
      <c r="QSC1" s="184"/>
      <c r="QSD1" s="184"/>
      <c r="QSE1" s="184"/>
      <c r="QSF1" s="184"/>
      <c r="QSG1" s="184"/>
      <c r="QSH1" s="184"/>
      <c r="QSI1" s="184"/>
      <c r="QSJ1" s="184"/>
      <c r="QSK1" s="184"/>
      <c r="QSL1" s="184"/>
      <c r="QSM1" s="184"/>
      <c r="QSN1" s="184"/>
      <c r="QSO1" s="184"/>
      <c r="QSP1" s="184"/>
      <c r="QSQ1" s="184"/>
      <c r="QSR1" s="184"/>
      <c r="QSS1" s="184"/>
      <c r="QST1" s="184"/>
      <c r="QSU1" s="184"/>
      <c r="QSV1" s="184"/>
      <c r="QSW1" s="184"/>
      <c r="QSX1" s="184"/>
      <c r="QSY1" s="184"/>
      <c r="QSZ1" s="184"/>
      <c r="QTA1" s="184"/>
      <c r="QTB1" s="184"/>
      <c r="QTC1" s="184"/>
      <c r="QTD1" s="184"/>
      <c r="QTE1" s="184"/>
      <c r="QTF1" s="184"/>
      <c r="QTG1" s="184"/>
      <c r="QTH1" s="184"/>
      <c r="QTI1" s="184"/>
      <c r="QTJ1" s="184"/>
      <c r="QTK1" s="184"/>
      <c r="QTL1" s="184"/>
      <c r="QTM1" s="184"/>
      <c r="QTN1" s="184"/>
      <c r="QTO1" s="184"/>
      <c r="QTP1" s="184"/>
      <c r="QTQ1" s="184"/>
      <c r="QTR1" s="184"/>
      <c r="QTS1" s="184"/>
      <c r="QTT1" s="184"/>
      <c r="QTU1" s="184"/>
      <c r="QTV1" s="184"/>
      <c r="QTW1" s="184"/>
      <c r="QTX1" s="184"/>
      <c r="QTY1" s="184"/>
      <c r="QTZ1" s="184"/>
      <c r="QUA1" s="184"/>
      <c r="QUB1" s="184"/>
      <c r="QUC1" s="184"/>
      <c r="QUD1" s="184"/>
      <c r="QUE1" s="184"/>
      <c r="QUF1" s="184"/>
      <c r="QUG1" s="184"/>
      <c r="QUH1" s="184"/>
      <c r="QUI1" s="184"/>
      <c r="QUJ1" s="184"/>
      <c r="QUK1" s="184"/>
      <c r="QUL1" s="184"/>
      <c r="QUM1" s="184"/>
      <c r="QUN1" s="184"/>
      <c r="QUO1" s="184"/>
      <c r="QUP1" s="184"/>
      <c r="QUQ1" s="184"/>
      <c r="QUR1" s="184"/>
      <c r="QUS1" s="184"/>
      <c r="QUT1" s="184"/>
      <c r="QUU1" s="184"/>
      <c r="QUV1" s="184"/>
      <c r="QUW1" s="184"/>
      <c r="QUX1" s="184"/>
      <c r="QUY1" s="184"/>
      <c r="QUZ1" s="184"/>
      <c r="QVA1" s="184"/>
      <c r="QVB1" s="184"/>
      <c r="QVC1" s="184"/>
      <c r="QVD1" s="184"/>
      <c r="QVE1" s="184"/>
      <c r="QVF1" s="184"/>
      <c r="QVG1" s="184"/>
      <c r="QVH1" s="184"/>
      <c r="QVI1" s="184"/>
      <c r="QVJ1" s="184"/>
      <c r="QVK1" s="184"/>
      <c r="QVL1" s="184"/>
      <c r="QVM1" s="184"/>
      <c r="QVN1" s="184"/>
      <c r="QVO1" s="184"/>
      <c r="QVP1" s="184"/>
      <c r="QVQ1" s="184"/>
      <c r="QVR1" s="184"/>
      <c r="QVS1" s="184"/>
      <c r="QVT1" s="184"/>
      <c r="QVU1" s="184"/>
      <c r="QVV1" s="184"/>
      <c r="QVW1" s="184"/>
      <c r="QVX1" s="184"/>
      <c r="QVY1" s="184"/>
      <c r="QVZ1" s="184"/>
      <c r="QWA1" s="184"/>
      <c r="QWB1" s="184"/>
      <c r="QWC1" s="184"/>
      <c r="QWD1" s="184"/>
      <c r="QWE1" s="184"/>
      <c r="QWF1" s="184"/>
      <c r="QWG1" s="184"/>
      <c r="QWH1" s="184"/>
      <c r="QWI1" s="184"/>
      <c r="QWJ1" s="184"/>
      <c r="QWK1" s="184"/>
      <c r="QWL1" s="184"/>
      <c r="QWM1" s="184"/>
      <c r="QWN1" s="184"/>
      <c r="QWO1" s="184"/>
      <c r="QWP1" s="184"/>
      <c r="QWQ1" s="184"/>
      <c r="QWR1" s="184"/>
      <c r="QWS1" s="184"/>
      <c r="QWT1" s="184"/>
      <c r="QWU1" s="184"/>
      <c r="QWV1" s="184"/>
      <c r="QWW1" s="184"/>
      <c r="QWX1" s="184"/>
      <c r="QWY1" s="184"/>
      <c r="QWZ1" s="184"/>
      <c r="QXA1" s="184"/>
      <c r="QXB1" s="184"/>
      <c r="QXC1" s="184"/>
      <c r="QXD1" s="184"/>
      <c r="QXE1" s="184"/>
      <c r="QXF1" s="184"/>
      <c r="QXG1" s="184"/>
      <c r="QXH1" s="184"/>
      <c r="QXI1" s="184"/>
      <c r="QXJ1" s="184"/>
      <c r="QXK1" s="184"/>
      <c r="QXL1" s="184"/>
      <c r="QXM1" s="184"/>
      <c r="QXN1" s="184"/>
      <c r="QXO1" s="184"/>
      <c r="QXP1" s="184"/>
      <c r="QXQ1" s="184"/>
      <c r="QXR1" s="184"/>
      <c r="QXS1" s="184"/>
      <c r="QXT1" s="184"/>
      <c r="QXU1" s="184"/>
      <c r="QXV1" s="184"/>
      <c r="QXW1" s="184"/>
      <c r="QXX1" s="184"/>
      <c r="QXY1" s="184"/>
      <c r="QXZ1" s="184"/>
      <c r="QYA1" s="184"/>
      <c r="QYB1" s="184"/>
      <c r="QYC1" s="184"/>
      <c r="QYD1" s="184"/>
      <c r="QYE1" s="184"/>
      <c r="QYF1" s="184"/>
      <c r="QYG1" s="184"/>
      <c r="QYH1" s="184"/>
      <c r="QYI1" s="184"/>
      <c r="QYJ1" s="184"/>
      <c r="QYK1" s="184"/>
      <c r="QYL1" s="184"/>
      <c r="QYM1" s="184"/>
      <c r="QYN1" s="184"/>
      <c r="QYO1" s="184"/>
      <c r="QYP1" s="184"/>
      <c r="QYQ1" s="184"/>
      <c r="QYR1" s="184"/>
      <c r="QYS1" s="184"/>
      <c r="QYT1" s="184"/>
      <c r="QYU1" s="184"/>
      <c r="QYV1" s="184"/>
      <c r="QYW1" s="184"/>
      <c r="QYX1" s="184"/>
      <c r="QYY1" s="184"/>
      <c r="QYZ1" s="184"/>
      <c r="QZA1" s="184"/>
      <c r="QZB1" s="184"/>
      <c r="QZC1" s="184"/>
      <c r="QZD1" s="184"/>
      <c r="QZE1" s="184"/>
      <c r="QZF1" s="184"/>
      <c r="QZG1" s="184"/>
      <c r="QZH1" s="184"/>
      <c r="QZI1" s="184"/>
      <c r="QZJ1" s="184"/>
      <c r="QZK1" s="184"/>
      <c r="QZL1" s="184"/>
      <c r="QZM1" s="184"/>
      <c r="QZN1" s="184"/>
      <c r="QZO1" s="184"/>
      <c r="QZP1" s="184"/>
      <c r="QZQ1" s="184"/>
      <c r="QZR1" s="184"/>
      <c r="QZS1" s="184"/>
      <c r="QZT1" s="184"/>
      <c r="QZU1" s="184"/>
      <c r="QZV1" s="184"/>
      <c r="QZW1" s="184"/>
      <c r="QZX1" s="184"/>
      <c r="QZY1" s="184"/>
      <c r="QZZ1" s="184"/>
      <c r="RAA1" s="184"/>
      <c r="RAB1" s="184"/>
      <c r="RAC1" s="184"/>
      <c r="RAD1" s="184"/>
      <c r="RAE1" s="184"/>
      <c r="RAF1" s="184"/>
      <c r="RAG1" s="184"/>
      <c r="RAH1" s="184"/>
      <c r="RAI1" s="184"/>
      <c r="RAJ1" s="184"/>
      <c r="RAK1" s="184"/>
      <c r="RAL1" s="184"/>
      <c r="RAM1" s="184"/>
      <c r="RAN1" s="184"/>
      <c r="RAO1" s="184"/>
      <c r="RAP1" s="184"/>
      <c r="RAQ1" s="184"/>
      <c r="RAR1" s="184"/>
      <c r="RAS1" s="184"/>
      <c r="RAT1" s="184"/>
      <c r="RAU1" s="184"/>
      <c r="RAV1" s="184"/>
      <c r="RAW1" s="184"/>
      <c r="RAX1" s="184"/>
      <c r="RAY1" s="184"/>
      <c r="RAZ1" s="184"/>
      <c r="RBA1" s="184"/>
      <c r="RBB1" s="184"/>
      <c r="RBC1" s="184"/>
      <c r="RBD1" s="184"/>
      <c r="RBE1" s="184"/>
      <c r="RBF1" s="184"/>
      <c r="RBG1" s="184"/>
      <c r="RBH1" s="184"/>
      <c r="RBI1" s="184"/>
      <c r="RBJ1" s="184"/>
      <c r="RBK1" s="184"/>
      <c r="RBL1" s="184"/>
      <c r="RBM1" s="184"/>
      <c r="RBN1" s="184"/>
      <c r="RBO1" s="184"/>
      <c r="RBP1" s="184"/>
      <c r="RBQ1" s="184"/>
      <c r="RBR1" s="184"/>
      <c r="RBS1" s="184"/>
      <c r="RBT1" s="184"/>
      <c r="RBU1" s="184"/>
      <c r="RBV1" s="184"/>
      <c r="RBW1" s="184"/>
      <c r="RBX1" s="184"/>
      <c r="RBY1" s="184"/>
      <c r="RBZ1" s="184"/>
      <c r="RCA1" s="184"/>
      <c r="RCB1" s="184"/>
      <c r="RCC1" s="184"/>
      <c r="RCD1" s="184"/>
      <c r="RCE1" s="184"/>
      <c r="RCF1" s="184"/>
      <c r="RCG1" s="184"/>
      <c r="RCH1" s="184"/>
      <c r="RCI1" s="184"/>
      <c r="RCJ1" s="184"/>
      <c r="RCK1" s="184"/>
      <c r="RCL1" s="184"/>
      <c r="RCM1" s="184"/>
      <c r="RCN1" s="184"/>
      <c r="RCO1" s="184"/>
      <c r="RCP1" s="184"/>
      <c r="RCQ1" s="184"/>
      <c r="RCR1" s="184"/>
      <c r="RCS1" s="184"/>
      <c r="RCT1" s="184"/>
      <c r="RCU1" s="184"/>
      <c r="RCV1" s="184"/>
      <c r="RCW1" s="184"/>
      <c r="RCX1" s="184"/>
      <c r="RCY1" s="184"/>
      <c r="RCZ1" s="184"/>
      <c r="RDA1" s="184"/>
      <c r="RDB1" s="184"/>
      <c r="RDC1" s="184"/>
      <c r="RDD1" s="184"/>
      <c r="RDE1" s="184"/>
      <c r="RDF1" s="184"/>
      <c r="RDG1" s="184"/>
      <c r="RDH1" s="184"/>
      <c r="RDI1" s="184"/>
      <c r="RDJ1" s="184"/>
      <c r="RDK1" s="184"/>
      <c r="RDL1" s="184"/>
      <c r="RDM1" s="184"/>
      <c r="RDN1" s="184"/>
      <c r="RDO1" s="184"/>
      <c r="RDP1" s="184"/>
      <c r="RDQ1" s="184"/>
      <c r="RDR1" s="184"/>
      <c r="RDS1" s="184"/>
      <c r="RDT1" s="184"/>
      <c r="RDU1" s="184"/>
      <c r="RDV1" s="184"/>
      <c r="RDW1" s="184"/>
      <c r="RDX1" s="184"/>
      <c r="RDY1" s="184"/>
      <c r="RDZ1" s="184"/>
      <c r="REA1" s="184"/>
      <c r="REB1" s="184"/>
      <c r="REC1" s="184"/>
      <c r="RED1" s="184"/>
      <c r="REE1" s="184"/>
      <c r="REF1" s="184"/>
      <c r="REG1" s="184"/>
      <c r="REH1" s="184"/>
      <c r="REI1" s="184"/>
      <c r="REJ1" s="184"/>
      <c r="REK1" s="184"/>
      <c r="REL1" s="184"/>
      <c r="REM1" s="184"/>
      <c r="REN1" s="184"/>
      <c r="REO1" s="184"/>
      <c r="REP1" s="184"/>
      <c r="REQ1" s="184"/>
      <c r="RER1" s="184"/>
      <c r="RES1" s="184"/>
      <c r="RET1" s="184"/>
      <c r="REU1" s="184"/>
      <c r="REV1" s="184"/>
      <c r="REW1" s="184"/>
      <c r="REX1" s="184"/>
      <c r="REY1" s="184"/>
      <c r="REZ1" s="184"/>
      <c r="RFA1" s="184"/>
      <c r="RFB1" s="184"/>
      <c r="RFC1" s="184"/>
      <c r="RFD1" s="184"/>
      <c r="RFE1" s="184"/>
      <c r="RFF1" s="184"/>
      <c r="RFG1" s="184"/>
      <c r="RFH1" s="184"/>
      <c r="RFI1" s="184"/>
      <c r="RFJ1" s="184"/>
      <c r="RFK1" s="184"/>
      <c r="RFL1" s="184"/>
      <c r="RFM1" s="184"/>
      <c r="RFN1" s="184"/>
      <c r="RFO1" s="184"/>
      <c r="RFP1" s="184"/>
      <c r="RFQ1" s="184"/>
      <c r="RFR1" s="184"/>
      <c r="RFS1" s="184"/>
      <c r="RFT1" s="184"/>
      <c r="RFU1" s="184"/>
      <c r="RFV1" s="184"/>
      <c r="RFW1" s="184"/>
      <c r="RFX1" s="184"/>
      <c r="RFY1" s="184"/>
      <c r="RFZ1" s="184"/>
      <c r="RGA1" s="184"/>
      <c r="RGB1" s="184"/>
      <c r="RGC1" s="184"/>
      <c r="RGD1" s="184"/>
      <c r="RGE1" s="184"/>
      <c r="RGF1" s="184"/>
      <c r="RGG1" s="184"/>
      <c r="RGH1" s="184"/>
      <c r="RGI1" s="184"/>
      <c r="RGJ1" s="184"/>
      <c r="RGK1" s="184"/>
      <c r="RGL1" s="184"/>
      <c r="RGM1" s="184"/>
      <c r="RGN1" s="184"/>
      <c r="RGO1" s="184"/>
      <c r="RGP1" s="184"/>
      <c r="RGQ1" s="184"/>
      <c r="RGR1" s="184"/>
      <c r="RGS1" s="184"/>
      <c r="RGT1" s="184"/>
      <c r="RGU1" s="184"/>
      <c r="RGV1" s="184"/>
      <c r="RGW1" s="184"/>
      <c r="RGX1" s="184"/>
      <c r="RGY1" s="184"/>
      <c r="RGZ1" s="184"/>
      <c r="RHA1" s="184"/>
      <c r="RHB1" s="184"/>
      <c r="RHC1" s="184"/>
      <c r="RHD1" s="184"/>
      <c r="RHE1" s="184"/>
      <c r="RHF1" s="184"/>
      <c r="RHG1" s="184"/>
      <c r="RHH1" s="184"/>
      <c r="RHI1" s="184"/>
      <c r="RHJ1" s="184"/>
      <c r="RHK1" s="184"/>
      <c r="RHL1" s="184"/>
      <c r="RHM1" s="184"/>
      <c r="RHN1" s="184"/>
      <c r="RHO1" s="184"/>
      <c r="RHP1" s="184"/>
      <c r="RHQ1" s="184"/>
      <c r="RHR1" s="184"/>
      <c r="RHS1" s="184"/>
      <c r="RHT1" s="184"/>
      <c r="RHU1" s="184"/>
      <c r="RHV1" s="184"/>
      <c r="RHW1" s="184"/>
      <c r="RHX1" s="184"/>
      <c r="RHY1" s="184"/>
      <c r="RHZ1" s="184"/>
      <c r="RIA1" s="184"/>
      <c r="RIB1" s="184"/>
      <c r="RIC1" s="184"/>
      <c r="RID1" s="184"/>
      <c r="RIE1" s="184"/>
      <c r="RIF1" s="184"/>
      <c r="RIG1" s="184"/>
      <c r="RIH1" s="184"/>
      <c r="RII1" s="184"/>
      <c r="RIJ1" s="184"/>
      <c r="RIK1" s="184"/>
      <c r="RIL1" s="184"/>
      <c r="RIM1" s="184"/>
      <c r="RIN1" s="184"/>
      <c r="RIO1" s="184"/>
      <c r="RIP1" s="184"/>
      <c r="RIQ1" s="184"/>
      <c r="RIR1" s="184"/>
      <c r="RIS1" s="184"/>
      <c r="RIT1" s="184"/>
      <c r="RIU1" s="184"/>
      <c r="RIV1" s="184"/>
      <c r="RIW1" s="184"/>
      <c r="RIX1" s="184"/>
      <c r="RIY1" s="184"/>
      <c r="RIZ1" s="184"/>
      <c r="RJA1" s="184"/>
      <c r="RJB1" s="184"/>
      <c r="RJC1" s="184"/>
      <c r="RJD1" s="184"/>
      <c r="RJE1" s="184"/>
      <c r="RJF1" s="184"/>
      <c r="RJG1" s="184"/>
      <c r="RJH1" s="184"/>
      <c r="RJI1" s="184"/>
      <c r="RJJ1" s="184"/>
      <c r="RJK1" s="184"/>
      <c r="RJL1" s="184"/>
      <c r="RJM1" s="184"/>
      <c r="RJN1" s="184"/>
      <c r="RJO1" s="184"/>
      <c r="RJP1" s="184"/>
      <c r="RJQ1" s="184"/>
      <c r="RJR1" s="184"/>
      <c r="RJS1" s="184"/>
      <c r="RJT1" s="184"/>
      <c r="RJU1" s="184"/>
      <c r="RJV1" s="184"/>
      <c r="RJW1" s="184"/>
      <c r="RJX1" s="184"/>
      <c r="RJY1" s="184"/>
      <c r="RJZ1" s="184"/>
      <c r="RKA1" s="184"/>
      <c r="RKB1" s="184"/>
      <c r="RKC1" s="184"/>
      <c r="RKD1" s="184"/>
      <c r="RKE1" s="184"/>
      <c r="RKF1" s="184"/>
      <c r="RKG1" s="184"/>
      <c r="RKH1" s="184"/>
      <c r="RKI1" s="184"/>
      <c r="RKJ1" s="184"/>
      <c r="RKK1" s="184"/>
      <c r="RKL1" s="184"/>
      <c r="RKM1" s="184"/>
      <c r="RKN1" s="184"/>
      <c r="RKO1" s="184"/>
      <c r="RKP1" s="184"/>
      <c r="RKQ1" s="184"/>
      <c r="RKR1" s="184"/>
      <c r="RKS1" s="184"/>
      <c r="RKT1" s="184"/>
      <c r="RKU1" s="184"/>
      <c r="RKV1" s="184"/>
      <c r="RKW1" s="184"/>
      <c r="RKX1" s="184"/>
      <c r="RKY1" s="184"/>
      <c r="RKZ1" s="184"/>
      <c r="RLA1" s="184"/>
      <c r="RLB1" s="184"/>
      <c r="RLC1" s="184"/>
      <c r="RLD1" s="184"/>
      <c r="RLE1" s="184"/>
      <c r="RLF1" s="184"/>
      <c r="RLG1" s="184"/>
      <c r="RLH1" s="184"/>
      <c r="RLI1" s="184"/>
      <c r="RLJ1" s="184"/>
      <c r="RLK1" s="184"/>
      <c r="RLL1" s="184"/>
      <c r="RLM1" s="184"/>
      <c r="RLN1" s="184"/>
      <c r="RLO1" s="184"/>
      <c r="RLP1" s="184"/>
      <c r="RLQ1" s="184"/>
      <c r="RLR1" s="184"/>
      <c r="RLS1" s="184"/>
      <c r="RLT1" s="184"/>
      <c r="RLU1" s="184"/>
      <c r="RLV1" s="184"/>
      <c r="RLW1" s="184"/>
      <c r="RLX1" s="184"/>
      <c r="RLY1" s="184"/>
      <c r="RLZ1" s="184"/>
      <c r="RMA1" s="184"/>
      <c r="RMB1" s="184"/>
      <c r="RMC1" s="184"/>
      <c r="RMD1" s="184"/>
      <c r="RME1" s="184"/>
      <c r="RMF1" s="184"/>
      <c r="RMG1" s="184"/>
      <c r="RMH1" s="184"/>
      <c r="RMI1" s="184"/>
      <c r="RMJ1" s="184"/>
      <c r="RMK1" s="184"/>
      <c r="RML1" s="184"/>
      <c r="RMM1" s="184"/>
      <c r="RMN1" s="184"/>
      <c r="RMO1" s="184"/>
      <c r="RMP1" s="184"/>
      <c r="RMQ1" s="184"/>
      <c r="RMR1" s="184"/>
      <c r="RMS1" s="184"/>
      <c r="RMT1" s="184"/>
      <c r="RMU1" s="184"/>
      <c r="RMV1" s="184"/>
      <c r="RMW1" s="184"/>
      <c r="RMX1" s="184"/>
      <c r="RMY1" s="184"/>
      <c r="RMZ1" s="184"/>
      <c r="RNA1" s="184"/>
      <c r="RNB1" s="184"/>
      <c r="RNC1" s="184"/>
      <c r="RND1" s="184"/>
      <c r="RNE1" s="184"/>
      <c r="RNF1" s="184"/>
      <c r="RNG1" s="184"/>
      <c r="RNH1" s="184"/>
      <c r="RNI1" s="184"/>
      <c r="RNJ1" s="184"/>
      <c r="RNK1" s="184"/>
      <c r="RNL1" s="184"/>
      <c r="RNM1" s="184"/>
      <c r="RNN1" s="184"/>
      <c r="RNO1" s="184"/>
      <c r="RNP1" s="184"/>
      <c r="RNQ1" s="184"/>
      <c r="RNR1" s="184"/>
      <c r="RNS1" s="184"/>
      <c r="RNT1" s="184"/>
      <c r="RNU1" s="184"/>
      <c r="RNV1" s="184"/>
      <c r="RNW1" s="184"/>
      <c r="RNX1" s="184"/>
      <c r="RNY1" s="184"/>
      <c r="RNZ1" s="184"/>
      <c r="ROA1" s="184"/>
      <c r="ROB1" s="184"/>
      <c r="ROC1" s="184"/>
      <c r="ROD1" s="184"/>
      <c r="ROE1" s="184"/>
      <c r="ROF1" s="184"/>
      <c r="ROG1" s="184"/>
      <c r="ROH1" s="184"/>
      <c r="ROI1" s="184"/>
      <c r="ROJ1" s="184"/>
      <c r="ROK1" s="184"/>
      <c r="ROL1" s="184"/>
      <c r="ROM1" s="184"/>
      <c r="RON1" s="184"/>
      <c r="ROO1" s="184"/>
      <c r="ROP1" s="184"/>
      <c r="ROQ1" s="184"/>
      <c r="ROR1" s="184"/>
      <c r="ROS1" s="184"/>
      <c r="ROT1" s="184"/>
      <c r="ROU1" s="184"/>
      <c r="ROV1" s="184"/>
      <c r="ROW1" s="184"/>
      <c r="ROX1" s="184"/>
      <c r="ROY1" s="184"/>
      <c r="ROZ1" s="184"/>
      <c r="RPA1" s="184"/>
      <c r="RPB1" s="184"/>
      <c r="RPC1" s="184"/>
      <c r="RPD1" s="184"/>
      <c r="RPE1" s="184"/>
      <c r="RPF1" s="184"/>
      <c r="RPG1" s="184"/>
      <c r="RPH1" s="184"/>
      <c r="RPI1" s="184"/>
      <c r="RPJ1" s="184"/>
      <c r="RPK1" s="184"/>
      <c r="RPL1" s="184"/>
      <c r="RPM1" s="184"/>
      <c r="RPN1" s="184"/>
      <c r="RPO1" s="184"/>
      <c r="RPP1" s="184"/>
      <c r="RPQ1" s="184"/>
      <c r="RPR1" s="184"/>
      <c r="RPS1" s="184"/>
      <c r="RPT1" s="184"/>
      <c r="RPU1" s="184"/>
      <c r="RPV1" s="184"/>
      <c r="RPW1" s="184"/>
      <c r="RPX1" s="184"/>
      <c r="RPY1" s="184"/>
      <c r="RPZ1" s="184"/>
      <c r="RQA1" s="184"/>
      <c r="RQB1" s="184"/>
      <c r="RQC1" s="184"/>
      <c r="RQD1" s="184"/>
      <c r="RQE1" s="184"/>
      <c r="RQF1" s="184"/>
      <c r="RQG1" s="184"/>
      <c r="RQH1" s="184"/>
      <c r="RQI1" s="184"/>
      <c r="RQJ1" s="184"/>
      <c r="RQK1" s="184"/>
      <c r="RQL1" s="184"/>
      <c r="RQM1" s="184"/>
      <c r="RQN1" s="184"/>
      <c r="RQO1" s="184"/>
      <c r="RQP1" s="184"/>
      <c r="RQQ1" s="184"/>
      <c r="RQR1" s="184"/>
      <c r="RQS1" s="184"/>
      <c r="RQT1" s="184"/>
      <c r="RQU1" s="184"/>
      <c r="RQV1" s="184"/>
      <c r="RQW1" s="184"/>
      <c r="RQX1" s="184"/>
      <c r="RQY1" s="184"/>
      <c r="RQZ1" s="184"/>
      <c r="RRA1" s="184"/>
      <c r="RRB1" s="184"/>
      <c r="RRC1" s="184"/>
      <c r="RRD1" s="184"/>
      <c r="RRE1" s="184"/>
      <c r="RRF1" s="184"/>
      <c r="RRG1" s="184"/>
      <c r="RRH1" s="184"/>
      <c r="RRI1" s="184"/>
      <c r="RRJ1" s="184"/>
      <c r="RRK1" s="184"/>
      <c r="RRL1" s="184"/>
      <c r="RRM1" s="184"/>
      <c r="RRN1" s="184"/>
      <c r="RRO1" s="184"/>
      <c r="RRP1" s="184"/>
      <c r="RRQ1" s="184"/>
      <c r="RRR1" s="184"/>
      <c r="RRS1" s="184"/>
      <c r="RRT1" s="184"/>
      <c r="RRU1" s="184"/>
      <c r="RRV1" s="184"/>
      <c r="RRW1" s="184"/>
      <c r="RRX1" s="184"/>
      <c r="RRY1" s="184"/>
      <c r="RRZ1" s="184"/>
      <c r="RSA1" s="184"/>
      <c r="RSB1" s="184"/>
      <c r="RSC1" s="184"/>
      <c r="RSD1" s="184"/>
      <c r="RSE1" s="184"/>
      <c r="RSF1" s="184"/>
      <c r="RSG1" s="184"/>
      <c r="RSH1" s="184"/>
      <c r="RSI1" s="184"/>
      <c r="RSJ1" s="184"/>
      <c r="RSK1" s="184"/>
      <c r="RSL1" s="184"/>
      <c r="RSM1" s="184"/>
      <c r="RSN1" s="184"/>
      <c r="RSO1" s="184"/>
      <c r="RSP1" s="184"/>
      <c r="RSQ1" s="184"/>
      <c r="RSR1" s="184"/>
      <c r="RSS1" s="184"/>
      <c r="RST1" s="184"/>
      <c r="RSU1" s="184"/>
      <c r="RSV1" s="184"/>
      <c r="RSW1" s="184"/>
      <c r="RSX1" s="184"/>
      <c r="RSY1" s="184"/>
      <c r="RSZ1" s="184"/>
      <c r="RTA1" s="184"/>
      <c r="RTB1" s="184"/>
      <c r="RTC1" s="184"/>
      <c r="RTD1" s="184"/>
      <c r="RTE1" s="184"/>
      <c r="RTF1" s="184"/>
      <c r="RTG1" s="184"/>
      <c r="RTH1" s="184"/>
      <c r="RTI1" s="184"/>
      <c r="RTJ1" s="184"/>
      <c r="RTK1" s="184"/>
      <c r="RTL1" s="184"/>
      <c r="RTM1" s="184"/>
      <c r="RTN1" s="184"/>
      <c r="RTO1" s="184"/>
      <c r="RTP1" s="184"/>
      <c r="RTQ1" s="184"/>
      <c r="RTR1" s="184"/>
      <c r="RTS1" s="184"/>
      <c r="RTT1" s="184"/>
      <c r="RTU1" s="184"/>
      <c r="RTV1" s="184"/>
      <c r="RTW1" s="184"/>
      <c r="RTX1" s="184"/>
      <c r="RTY1" s="184"/>
      <c r="RTZ1" s="184"/>
      <c r="RUA1" s="184"/>
      <c r="RUB1" s="184"/>
      <c r="RUC1" s="184"/>
      <c r="RUD1" s="184"/>
      <c r="RUE1" s="184"/>
      <c r="RUF1" s="184"/>
      <c r="RUG1" s="184"/>
      <c r="RUH1" s="184"/>
      <c r="RUI1" s="184"/>
      <c r="RUJ1" s="184"/>
      <c r="RUK1" s="184"/>
      <c r="RUL1" s="184"/>
      <c r="RUM1" s="184"/>
      <c r="RUN1" s="184"/>
      <c r="RUO1" s="184"/>
      <c r="RUP1" s="184"/>
      <c r="RUQ1" s="184"/>
      <c r="RUR1" s="184"/>
      <c r="RUS1" s="184"/>
      <c r="RUT1" s="184"/>
      <c r="RUU1" s="184"/>
      <c r="RUV1" s="184"/>
      <c r="RUW1" s="184"/>
      <c r="RUX1" s="184"/>
      <c r="RUY1" s="184"/>
      <c r="RUZ1" s="184"/>
      <c r="RVA1" s="184"/>
      <c r="RVB1" s="184"/>
      <c r="RVC1" s="184"/>
      <c r="RVD1" s="184"/>
      <c r="RVE1" s="184"/>
      <c r="RVF1" s="184"/>
      <c r="RVG1" s="184"/>
      <c r="RVH1" s="184"/>
      <c r="RVI1" s="184"/>
      <c r="RVJ1" s="184"/>
      <c r="RVK1" s="184"/>
      <c r="RVL1" s="184"/>
      <c r="RVM1" s="184"/>
      <c r="RVN1" s="184"/>
      <c r="RVO1" s="184"/>
      <c r="RVP1" s="184"/>
      <c r="RVQ1" s="184"/>
      <c r="RVR1" s="184"/>
      <c r="RVS1" s="184"/>
      <c r="RVT1" s="184"/>
      <c r="RVU1" s="184"/>
      <c r="RVV1" s="184"/>
      <c r="RVW1" s="184"/>
      <c r="RVX1" s="184"/>
      <c r="RVY1" s="184"/>
      <c r="RVZ1" s="184"/>
      <c r="RWA1" s="184"/>
      <c r="RWB1" s="184"/>
      <c r="RWC1" s="184"/>
      <c r="RWD1" s="184"/>
      <c r="RWE1" s="184"/>
      <c r="RWF1" s="184"/>
      <c r="RWG1" s="184"/>
      <c r="RWH1" s="184"/>
      <c r="RWI1" s="184"/>
      <c r="RWJ1" s="184"/>
      <c r="RWK1" s="184"/>
      <c r="RWL1" s="184"/>
      <c r="RWM1" s="184"/>
      <c r="RWN1" s="184"/>
      <c r="RWO1" s="184"/>
      <c r="RWP1" s="184"/>
      <c r="RWQ1" s="184"/>
      <c r="RWR1" s="184"/>
      <c r="RWS1" s="184"/>
      <c r="RWT1" s="184"/>
      <c r="RWU1" s="184"/>
      <c r="RWV1" s="184"/>
      <c r="RWW1" s="184"/>
      <c r="RWX1" s="184"/>
      <c r="RWY1" s="184"/>
      <c r="RWZ1" s="184"/>
      <c r="RXA1" s="184"/>
      <c r="RXB1" s="184"/>
      <c r="RXC1" s="184"/>
      <c r="RXD1" s="184"/>
      <c r="RXE1" s="184"/>
      <c r="RXF1" s="184"/>
      <c r="RXG1" s="184"/>
      <c r="RXH1" s="184"/>
      <c r="RXI1" s="184"/>
      <c r="RXJ1" s="184"/>
      <c r="RXK1" s="184"/>
      <c r="RXL1" s="184"/>
      <c r="RXM1" s="184"/>
      <c r="RXN1" s="184"/>
      <c r="RXO1" s="184"/>
      <c r="RXP1" s="184"/>
      <c r="RXQ1" s="184"/>
      <c r="RXR1" s="184"/>
      <c r="RXS1" s="184"/>
      <c r="RXT1" s="184"/>
      <c r="RXU1" s="184"/>
      <c r="RXV1" s="184"/>
      <c r="RXW1" s="184"/>
      <c r="RXX1" s="184"/>
      <c r="RXY1" s="184"/>
      <c r="RXZ1" s="184"/>
      <c r="RYA1" s="184"/>
      <c r="RYB1" s="184"/>
      <c r="RYC1" s="184"/>
      <c r="RYD1" s="184"/>
      <c r="RYE1" s="184"/>
      <c r="RYF1" s="184"/>
      <c r="RYG1" s="184"/>
      <c r="RYH1" s="184"/>
      <c r="RYI1" s="184"/>
      <c r="RYJ1" s="184"/>
      <c r="RYK1" s="184"/>
      <c r="RYL1" s="184"/>
      <c r="RYM1" s="184"/>
      <c r="RYN1" s="184"/>
      <c r="RYO1" s="184"/>
      <c r="RYP1" s="184"/>
      <c r="RYQ1" s="184"/>
      <c r="RYR1" s="184"/>
      <c r="RYS1" s="184"/>
      <c r="RYT1" s="184"/>
      <c r="RYU1" s="184"/>
      <c r="RYV1" s="184"/>
      <c r="RYW1" s="184"/>
      <c r="RYX1" s="184"/>
      <c r="RYY1" s="184"/>
      <c r="RYZ1" s="184"/>
      <c r="RZA1" s="184"/>
      <c r="RZB1" s="184"/>
      <c r="RZC1" s="184"/>
      <c r="RZD1" s="184"/>
      <c r="RZE1" s="184"/>
      <c r="RZF1" s="184"/>
      <c r="RZG1" s="184"/>
      <c r="RZH1" s="184"/>
      <c r="RZI1" s="184"/>
      <c r="RZJ1" s="184"/>
      <c r="RZK1" s="184"/>
      <c r="RZL1" s="184"/>
      <c r="RZM1" s="184"/>
      <c r="RZN1" s="184"/>
      <c r="RZO1" s="184"/>
      <c r="RZP1" s="184"/>
      <c r="RZQ1" s="184"/>
      <c r="RZR1" s="184"/>
      <c r="RZS1" s="184"/>
      <c r="RZT1" s="184"/>
      <c r="RZU1" s="184"/>
      <c r="RZV1" s="184"/>
      <c r="RZW1" s="184"/>
      <c r="RZX1" s="184"/>
      <c r="RZY1" s="184"/>
      <c r="RZZ1" s="184"/>
      <c r="SAA1" s="184"/>
      <c r="SAB1" s="184"/>
      <c r="SAC1" s="184"/>
      <c r="SAD1" s="184"/>
      <c r="SAE1" s="184"/>
      <c r="SAF1" s="184"/>
      <c r="SAG1" s="184"/>
      <c r="SAH1" s="184"/>
      <c r="SAI1" s="184"/>
      <c r="SAJ1" s="184"/>
      <c r="SAK1" s="184"/>
      <c r="SAL1" s="184"/>
      <c r="SAM1" s="184"/>
      <c r="SAN1" s="184"/>
      <c r="SAO1" s="184"/>
      <c r="SAP1" s="184"/>
      <c r="SAQ1" s="184"/>
      <c r="SAR1" s="184"/>
      <c r="SAS1" s="184"/>
      <c r="SAT1" s="184"/>
      <c r="SAU1" s="184"/>
      <c r="SAV1" s="184"/>
      <c r="SAW1" s="184"/>
      <c r="SAX1" s="184"/>
      <c r="SAY1" s="184"/>
      <c r="SAZ1" s="184"/>
      <c r="SBA1" s="184"/>
      <c r="SBB1" s="184"/>
      <c r="SBC1" s="184"/>
      <c r="SBD1" s="184"/>
      <c r="SBE1" s="184"/>
      <c r="SBF1" s="184"/>
      <c r="SBG1" s="184"/>
      <c r="SBH1" s="184"/>
      <c r="SBI1" s="184"/>
      <c r="SBJ1" s="184"/>
      <c r="SBK1" s="184"/>
      <c r="SBL1" s="184"/>
      <c r="SBM1" s="184"/>
      <c r="SBN1" s="184"/>
      <c r="SBO1" s="184"/>
      <c r="SBP1" s="184"/>
      <c r="SBQ1" s="184"/>
      <c r="SBR1" s="184"/>
      <c r="SBS1" s="184"/>
      <c r="SBT1" s="184"/>
      <c r="SBU1" s="184"/>
      <c r="SBV1" s="184"/>
      <c r="SBW1" s="184"/>
      <c r="SBX1" s="184"/>
      <c r="SBY1" s="184"/>
      <c r="SBZ1" s="184"/>
      <c r="SCA1" s="184"/>
      <c r="SCB1" s="184"/>
      <c r="SCC1" s="184"/>
      <c r="SCD1" s="184"/>
      <c r="SCE1" s="184"/>
      <c r="SCF1" s="184"/>
      <c r="SCG1" s="184"/>
      <c r="SCH1" s="184"/>
      <c r="SCI1" s="184"/>
      <c r="SCJ1" s="184"/>
      <c r="SCK1" s="184"/>
      <c r="SCL1" s="184"/>
      <c r="SCM1" s="184"/>
      <c r="SCN1" s="184"/>
      <c r="SCO1" s="184"/>
      <c r="SCP1" s="184"/>
      <c r="SCQ1" s="184"/>
      <c r="SCR1" s="184"/>
      <c r="SCS1" s="184"/>
      <c r="SCT1" s="184"/>
      <c r="SCU1" s="184"/>
      <c r="SCV1" s="184"/>
      <c r="SCW1" s="184"/>
      <c r="SCX1" s="184"/>
      <c r="SCY1" s="184"/>
      <c r="SCZ1" s="184"/>
      <c r="SDA1" s="184"/>
      <c r="SDB1" s="184"/>
      <c r="SDC1" s="184"/>
      <c r="SDD1" s="184"/>
      <c r="SDE1" s="184"/>
      <c r="SDF1" s="184"/>
      <c r="SDG1" s="184"/>
      <c r="SDH1" s="184"/>
      <c r="SDI1" s="184"/>
      <c r="SDJ1" s="184"/>
      <c r="SDK1" s="184"/>
      <c r="SDL1" s="184"/>
      <c r="SDM1" s="184"/>
      <c r="SDN1" s="184"/>
      <c r="SDO1" s="184"/>
      <c r="SDP1" s="184"/>
      <c r="SDQ1" s="184"/>
      <c r="SDR1" s="184"/>
      <c r="SDS1" s="184"/>
      <c r="SDT1" s="184"/>
      <c r="SDU1" s="184"/>
      <c r="SDV1" s="184"/>
      <c r="SDW1" s="184"/>
      <c r="SDX1" s="184"/>
      <c r="SDY1" s="184"/>
      <c r="SDZ1" s="184"/>
      <c r="SEA1" s="184"/>
      <c r="SEB1" s="184"/>
      <c r="SEC1" s="184"/>
      <c r="SED1" s="184"/>
      <c r="SEE1" s="184"/>
      <c r="SEF1" s="184"/>
      <c r="SEG1" s="184"/>
      <c r="SEH1" s="184"/>
      <c r="SEI1" s="184"/>
      <c r="SEJ1" s="184"/>
      <c r="SEK1" s="184"/>
      <c r="SEL1" s="184"/>
      <c r="SEM1" s="184"/>
      <c r="SEN1" s="184"/>
      <c r="SEO1" s="184"/>
      <c r="SEP1" s="184"/>
      <c r="SEQ1" s="184"/>
      <c r="SER1" s="184"/>
      <c r="SES1" s="184"/>
      <c r="SET1" s="184"/>
      <c r="SEU1" s="184"/>
      <c r="SEV1" s="184"/>
      <c r="SEW1" s="184"/>
      <c r="SEX1" s="184"/>
      <c r="SEY1" s="184"/>
      <c r="SEZ1" s="184"/>
      <c r="SFA1" s="184"/>
      <c r="SFB1" s="184"/>
      <c r="SFC1" s="184"/>
      <c r="SFD1" s="184"/>
      <c r="SFE1" s="184"/>
      <c r="SFF1" s="184"/>
      <c r="SFG1" s="184"/>
      <c r="SFH1" s="184"/>
      <c r="SFI1" s="184"/>
      <c r="SFJ1" s="184"/>
      <c r="SFK1" s="184"/>
      <c r="SFL1" s="184"/>
      <c r="SFM1" s="184"/>
      <c r="SFN1" s="184"/>
      <c r="SFO1" s="184"/>
      <c r="SFP1" s="184"/>
      <c r="SFQ1" s="184"/>
      <c r="SFR1" s="184"/>
      <c r="SFS1" s="184"/>
      <c r="SFT1" s="184"/>
      <c r="SFU1" s="184"/>
      <c r="SFV1" s="184"/>
      <c r="SFW1" s="184"/>
      <c r="SFX1" s="184"/>
      <c r="SFY1" s="184"/>
      <c r="SFZ1" s="184"/>
      <c r="SGA1" s="184"/>
      <c r="SGB1" s="184"/>
      <c r="SGC1" s="184"/>
      <c r="SGD1" s="184"/>
      <c r="SGE1" s="184"/>
      <c r="SGF1" s="184"/>
      <c r="SGG1" s="184"/>
      <c r="SGH1" s="184"/>
      <c r="SGI1" s="184"/>
      <c r="SGJ1" s="184"/>
      <c r="SGK1" s="184"/>
      <c r="SGL1" s="184"/>
      <c r="SGM1" s="184"/>
      <c r="SGN1" s="184"/>
      <c r="SGO1" s="184"/>
      <c r="SGP1" s="184"/>
      <c r="SGQ1" s="184"/>
      <c r="SGR1" s="184"/>
      <c r="SGS1" s="184"/>
      <c r="SGT1" s="184"/>
      <c r="SGU1" s="184"/>
      <c r="SGV1" s="184"/>
      <c r="SGW1" s="184"/>
      <c r="SGX1" s="184"/>
      <c r="SGY1" s="184"/>
      <c r="SGZ1" s="184"/>
      <c r="SHA1" s="184"/>
      <c r="SHB1" s="184"/>
      <c r="SHC1" s="184"/>
      <c r="SHD1" s="184"/>
      <c r="SHE1" s="184"/>
      <c r="SHF1" s="184"/>
      <c r="SHG1" s="184"/>
      <c r="SHH1" s="184"/>
      <c r="SHI1" s="184"/>
      <c r="SHJ1" s="184"/>
      <c r="SHK1" s="184"/>
      <c r="SHL1" s="184"/>
      <c r="SHM1" s="184"/>
      <c r="SHN1" s="184"/>
      <c r="SHO1" s="184"/>
      <c r="SHP1" s="184"/>
      <c r="SHQ1" s="184"/>
      <c r="SHR1" s="184"/>
      <c r="SHS1" s="184"/>
      <c r="SHT1" s="184"/>
      <c r="SHU1" s="184"/>
      <c r="SHV1" s="184"/>
      <c r="SHW1" s="184"/>
      <c r="SHX1" s="184"/>
      <c r="SHY1" s="184"/>
      <c r="SHZ1" s="184"/>
      <c r="SIA1" s="184"/>
      <c r="SIB1" s="184"/>
      <c r="SIC1" s="184"/>
      <c r="SID1" s="184"/>
      <c r="SIE1" s="184"/>
      <c r="SIF1" s="184"/>
      <c r="SIG1" s="184"/>
      <c r="SIH1" s="184"/>
      <c r="SII1" s="184"/>
      <c r="SIJ1" s="184"/>
      <c r="SIK1" s="184"/>
      <c r="SIL1" s="184"/>
      <c r="SIM1" s="184"/>
      <c r="SIN1" s="184"/>
      <c r="SIO1" s="184"/>
      <c r="SIP1" s="184"/>
      <c r="SIQ1" s="184"/>
      <c r="SIR1" s="184"/>
      <c r="SIS1" s="184"/>
      <c r="SIT1" s="184"/>
      <c r="SIU1" s="184"/>
      <c r="SIV1" s="184"/>
      <c r="SIW1" s="184"/>
      <c r="SIX1" s="184"/>
      <c r="SIY1" s="184"/>
      <c r="SIZ1" s="184"/>
      <c r="SJA1" s="184"/>
      <c r="SJB1" s="184"/>
      <c r="SJC1" s="184"/>
      <c r="SJD1" s="184"/>
      <c r="SJE1" s="184"/>
      <c r="SJF1" s="184"/>
      <c r="SJG1" s="184"/>
      <c r="SJH1" s="184"/>
      <c r="SJI1" s="184"/>
      <c r="SJJ1" s="184"/>
      <c r="SJK1" s="184"/>
      <c r="SJL1" s="184"/>
      <c r="SJM1" s="184"/>
      <c r="SJN1" s="184"/>
      <c r="SJO1" s="184"/>
      <c r="SJP1" s="184"/>
      <c r="SJQ1" s="184"/>
      <c r="SJR1" s="184"/>
      <c r="SJS1" s="184"/>
      <c r="SJT1" s="184"/>
      <c r="SJU1" s="184"/>
      <c r="SJV1" s="184"/>
      <c r="SJW1" s="184"/>
      <c r="SJX1" s="184"/>
      <c r="SJY1" s="184"/>
      <c r="SJZ1" s="184"/>
      <c r="SKA1" s="184"/>
      <c r="SKB1" s="184"/>
      <c r="SKC1" s="184"/>
      <c r="SKD1" s="184"/>
      <c r="SKE1" s="184"/>
      <c r="SKF1" s="184"/>
      <c r="SKG1" s="184"/>
      <c r="SKH1" s="184"/>
      <c r="SKI1" s="184"/>
      <c r="SKJ1" s="184"/>
      <c r="SKK1" s="184"/>
      <c r="SKL1" s="184"/>
      <c r="SKM1" s="184"/>
      <c r="SKN1" s="184"/>
      <c r="SKO1" s="184"/>
      <c r="SKP1" s="184"/>
      <c r="SKQ1" s="184"/>
      <c r="SKR1" s="184"/>
      <c r="SKS1" s="184"/>
      <c r="SKT1" s="184"/>
      <c r="SKU1" s="184"/>
      <c r="SKV1" s="184"/>
      <c r="SKW1" s="184"/>
      <c r="SKX1" s="184"/>
      <c r="SKY1" s="184"/>
      <c r="SKZ1" s="184"/>
      <c r="SLA1" s="184"/>
      <c r="SLB1" s="184"/>
      <c r="SLC1" s="184"/>
      <c r="SLD1" s="184"/>
      <c r="SLE1" s="184"/>
      <c r="SLF1" s="184"/>
      <c r="SLG1" s="184"/>
      <c r="SLH1" s="184"/>
      <c r="SLI1" s="184"/>
      <c r="SLJ1" s="184"/>
      <c r="SLK1" s="184"/>
      <c r="SLL1" s="184"/>
      <c r="SLM1" s="184"/>
      <c r="SLN1" s="184"/>
      <c r="SLO1" s="184"/>
      <c r="SLP1" s="184"/>
      <c r="SLQ1" s="184"/>
      <c r="SLR1" s="184"/>
      <c r="SLS1" s="184"/>
      <c r="SLT1" s="184"/>
      <c r="SLU1" s="184"/>
      <c r="SLV1" s="184"/>
      <c r="SLW1" s="184"/>
      <c r="SLX1" s="184"/>
      <c r="SLY1" s="184"/>
      <c r="SLZ1" s="184"/>
      <c r="SMA1" s="184"/>
      <c r="SMB1" s="184"/>
      <c r="SMC1" s="184"/>
      <c r="SMD1" s="184"/>
      <c r="SME1" s="184"/>
      <c r="SMF1" s="184"/>
      <c r="SMG1" s="184"/>
      <c r="SMH1" s="184"/>
      <c r="SMI1" s="184"/>
      <c r="SMJ1" s="184"/>
      <c r="SMK1" s="184"/>
      <c r="SML1" s="184"/>
      <c r="SMM1" s="184"/>
      <c r="SMN1" s="184"/>
      <c r="SMO1" s="184"/>
      <c r="SMP1" s="184"/>
      <c r="SMQ1" s="184"/>
      <c r="SMR1" s="184"/>
      <c r="SMS1" s="184"/>
      <c r="SMT1" s="184"/>
      <c r="SMU1" s="184"/>
      <c r="SMV1" s="184"/>
      <c r="SMW1" s="184"/>
      <c r="SMX1" s="184"/>
      <c r="SMY1" s="184"/>
      <c r="SMZ1" s="184"/>
      <c r="SNA1" s="184"/>
      <c r="SNB1" s="184"/>
      <c r="SNC1" s="184"/>
      <c r="SND1" s="184"/>
      <c r="SNE1" s="184"/>
      <c r="SNF1" s="184"/>
      <c r="SNG1" s="184"/>
      <c r="SNH1" s="184"/>
      <c r="SNI1" s="184"/>
      <c r="SNJ1" s="184"/>
      <c r="SNK1" s="184"/>
      <c r="SNL1" s="184"/>
      <c r="SNM1" s="184"/>
      <c r="SNN1" s="184"/>
      <c r="SNO1" s="184"/>
      <c r="SNP1" s="184"/>
      <c r="SNQ1" s="184"/>
      <c r="SNR1" s="184"/>
      <c r="SNS1" s="184"/>
      <c r="SNT1" s="184"/>
      <c r="SNU1" s="184"/>
      <c r="SNV1" s="184"/>
      <c r="SNW1" s="184"/>
      <c r="SNX1" s="184"/>
      <c r="SNY1" s="184"/>
      <c r="SNZ1" s="184"/>
      <c r="SOA1" s="184"/>
      <c r="SOB1" s="184"/>
      <c r="SOC1" s="184"/>
      <c r="SOD1" s="184"/>
      <c r="SOE1" s="184"/>
      <c r="SOF1" s="184"/>
      <c r="SOG1" s="184"/>
      <c r="SOH1" s="184"/>
      <c r="SOI1" s="184"/>
      <c r="SOJ1" s="184"/>
      <c r="SOK1" s="184"/>
      <c r="SOL1" s="184"/>
      <c r="SOM1" s="184"/>
      <c r="SON1" s="184"/>
      <c r="SOO1" s="184"/>
      <c r="SOP1" s="184"/>
      <c r="SOQ1" s="184"/>
      <c r="SOR1" s="184"/>
      <c r="SOS1" s="184"/>
      <c r="SOT1" s="184"/>
      <c r="SOU1" s="184"/>
      <c r="SOV1" s="184"/>
      <c r="SOW1" s="184"/>
      <c r="SOX1" s="184"/>
      <c r="SOY1" s="184"/>
      <c r="SOZ1" s="184"/>
      <c r="SPA1" s="184"/>
      <c r="SPB1" s="184"/>
      <c r="SPC1" s="184"/>
      <c r="SPD1" s="184"/>
      <c r="SPE1" s="184"/>
      <c r="SPF1" s="184"/>
      <c r="SPG1" s="184"/>
      <c r="SPH1" s="184"/>
      <c r="SPI1" s="184"/>
      <c r="SPJ1" s="184"/>
      <c r="SPK1" s="184"/>
      <c r="SPL1" s="184"/>
      <c r="SPM1" s="184"/>
      <c r="SPN1" s="184"/>
      <c r="SPO1" s="184"/>
      <c r="SPP1" s="184"/>
      <c r="SPQ1" s="184"/>
      <c r="SPR1" s="184"/>
      <c r="SPS1" s="184"/>
      <c r="SPT1" s="184"/>
      <c r="SPU1" s="184"/>
      <c r="SPV1" s="184"/>
      <c r="SPW1" s="184"/>
      <c r="SPX1" s="184"/>
      <c r="SPY1" s="184"/>
      <c r="SPZ1" s="184"/>
      <c r="SQA1" s="184"/>
      <c r="SQB1" s="184"/>
      <c r="SQC1" s="184"/>
      <c r="SQD1" s="184"/>
      <c r="SQE1" s="184"/>
      <c r="SQF1" s="184"/>
      <c r="SQG1" s="184"/>
      <c r="SQH1" s="184"/>
      <c r="SQI1" s="184"/>
      <c r="SQJ1" s="184"/>
      <c r="SQK1" s="184"/>
      <c r="SQL1" s="184"/>
      <c r="SQM1" s="184"/>
      <c r="SQN1" s="184"/>
      <c r="SQO1" s="184"/>
      <c r="SQP1" s="184"/>
      <c r="SQQ1" s="184"/>
      <c r="SQR1" s="184"/>
      <c r="SQS1" s="184"/>
      <c r="SQT1" s="184"/>
      <c r="SQU1" s="184"/>
      <c r="SQV1" s="184"/>
      <c r="SQW1" s="184"/>
      <c r="SQX1" s="184"/>
      <c r="SQY1" s="184"/>
      <c r="SQZ1" s="184"/>
      <c r="SRA1" s="184"/>
      <c r="SRB1" s="184"/>
      <c r="SRC1" s="184"/>
      <c r="SRD1" s="184"/>
      <c r="SRE1" s="184"/>
      <c r="SRF1" s="184"/>
      <c r="SRG1" s="184"/>
      <c r="SRH1" s="184"/>
      <c r="SRI1" s="184"/>
      <c r="SRJ1" s="184"/>
      <c r="SRK1" s="184"/>
      <c r="SRL1" s="184"/>
      <c r="SRM1" s="184"/>
      <c r="SRN1" s="184"/>
      <c r="SRO1" s="184"/>
      <c r="SRP1" s="184"/>
      <c r="SRQ1" s="184"/>
      <c r="SRR1" s="184"/>
      <c r="SRS1" s="184"/>
      <c r="SRT1" s="184"/>
      <c r="SRU1" s="184"/>
      <c r="SRV1" s="184"/>
      <c r="SRW1" s="184"/>
      <c r="SRX1" s="184"/>
      <c r="SRY1" s="184"/>
      <c r="SRZ1" s="184"/>
      <c r="SSA1" s="184"/>
      <c r="SSB1" s="184"/>
      <c r="SSC1" s="184"/>
      <c r="SSD1" s="184"/>
      <c r="SSE1" s="184"/>
      <c r="SSF1" s="184"/>
      <c r="SSG1" s="184"/>
      <c r="SSH1" s="184"/>
      <c r="SSI1" s="184"/>
      <c r="SSJ1" s="184"/>
      <c r="SSK1" s="184"/>
      <c r="SSL1" s="184"/>
      <c r="SSM1" s="184"/>
      <c r="SSN1" s="184"/>
      <c r="SSO1" s="184"/>
      <c r="SSP1" s="184"/>
      <c r="SSQ1" s="184"/>
      <c r="SSR1" s="184"/>
      <c r="SSS1" s="184"/>
      <c r="SST1" s="184"/>
      <c r="SSU1" s="184"/>
      <c r="SSV1" s="184"/>
      <c r="SSW1" s="184"/>
      <c r="SSX1" s="184"/>
      <c r="SSY1" s="184"/>
      <c r="SSZ1" s="184"/>
      <c r="STA1" s="184"/>
      <c r="STB1" s="184"/>
      <c r="STC1" s="184"/>
      <c r="STD1" s="184"/>
      <c r="STE1" s="184"/>
      <c r="STF1" s="184"/>
      <c r="STG1" s="184"/>
      <c r="STH1" s="184"/>
      <c r="STI1" s="184"/>
      <c r="STJ1" s="184"/>
      <c r="STK1" s="184"/>
      <c r="STL1" s="184"/>
      <c r="STM1" s="184"/>
      <c r="STN1" s="184"/>
      <c r="STO1" s="184"/>
      <c r="STP1" s="184"/>
      <c r="STQ1" s="184"/>
      <c r="STR1" s="184"/>
      <c r="STS1" s="184"/>
      <c r="STT1" s="184"/>
      <c r="STU1" s="184"/>
      <c r="STV1" s="184"/>
      <c r="STW1" s="184"/>
      <c r="STX1" s="184"/>
      <c r="STY1" s="184"/>
      <c r="STZ1" s="184"/>
      <c r="SUA1" s="184"/>
      <c r="SUB1" s="184"/>
      <c r="SUC1" s="184"/>
      <c r="SUD1" s="184"/>
      <c r="SUE1" s="184"/>
      <c r="SUF1" s="184"/>
      <c r="SUG1" s="184"/>
      <c r="SUH1" s="184"/>
      <c r="SUI1" s="184"/>
      <c r="SUJ1" s="184"/>
      <c r="SUK1" s="184"/>
      <c r="SUL1" s="184"/>
      <c r="SUM1" s="184"/>
      <c r="SUN1" s="184"/>
      <c r="SUO1" s="184"/>
      <c r="SUP1" s="184"/>
      <c r="SUQ1" s="184"/>
      <c r="SUR1" s="184"/>
      <c r="SUS1" s="184"/>
      <c r="SUT1" s="184"/>
      <c r="SUU1" s="184"/>
      <c r="SUV1" s="184"/>
      <c r="SUW1" s="184"/>
      <c r="SUX1" s="184"/>
      <c r="SUY1" s="184"/>
      <c r="SUZ1" s="184"/>
      <c r="SVA1" s="184"/>
      <c r="SVB1" s="184"/>
      <c r="SVC1" s="184"/>
      <c r="SVD1" s="184"/>
      <c r="SVE1" s="184"/>
      <c r="SVF1" s="184"/>
      <c r="SVG1" s="184"/>
      <c r="SVH1" s="184"/>
      <c r="SVI1" s="184"/>
      <c r="SVJ1" s="184"/>
      <c r="SVK1" s="184"/>
      <c r="SVL1" s="184"/>
      <c r="SVM1" s="184"/>
      <c r="SVN1" s="184"/>
      <c r="SVO1" s="184"/>
      <c r="SVP1" s="184"/>
      <c r="SVQ1" s="184"/>
      <c r="SVR1" s="184"/>
      <c r="SVS1" s="184"/>
      <c r="SVT1" s="184"/>
      <c r="SVU1" s="184"/>
      <c r="SVV1" s="184"/>
      <c r="SVW1" s="184"/>
      <c r="SVX1" s="184"/>
      <c r="SVY1" s="184"/>
      <c r="SVZ1" s="184"/>
      <c r="SWA1" s="184"/>
      <c r="SWB1" s="184"/>
      <c r="SWC1" s="184"/>
      <c r="SWD1" s="184"/>
      <c r="SWE1" s="184"/>
      <c r="SWF1" s="184"/>
      <c r="SWG1" s="184"/>
      <c r="SWH1" s="184"/>
      <c r="SWI1" s="184"/>
      <c r="SWJ1" s="184"/>
      <c r="SWK1" s="184"/>
      <c r="SWL1" s="184"/>
      <c r="SWM1" s="184"/>
      <c r="SWN1" s="184"/>
      <c r="SWO1" s="184"/>
      <c r="SWP1" s="184"/>
      <c r="SWQ1" s="184"/>
      <c r="SWR1" s="184"/>
      <c r="SWS1" s="184"/>
      <c r="SWT1" s="184"/>
      <c r="SWU1" s="184"/>
      <c r="SWV1" s="184"/>
      <c r="SWW1" s="184"/>
      <c r="SWX1" s="184"/>
      <c r="SWY1" s="184"/>
      <c r="SWZ1" s="184"/>
      <c r="SXA1" s="184"/>
      <c r="SXB1" s="184"/>
      <c r="SXC1" s="184"/>
      <c r="SXD1" s="184"/>
      <c r="SXE1" s="184"/>
      <c r="SXF1" s="184"/>
      <c r="SXG1" s="184"/>
      <c r="SXH1" s="184"/>
      <c r="SXI1" s="184"/>
      <c r="SXJ1" s="184"/>
      <c r="SXK1" s="184"/>
      <c r="SXL1" s="184"/>
      <c r="SXM1" s="184"/>
      <c r="SXN1" s="184"/>
      <c r="SXO1" s="184"/>
      <c r="SXP1" s="184"/>
      <c r="SXQ1" s="184"/>
      <c r="SXR1" s="184"/>
      <c r="SXS1" s="184"/>
      <c r="SXT1" s="184"/>
      <c r="SXU1" s="184"/>
      <c r="SXV1" s="184"/>
      <c r="SXW1" s="184"/>
      <c r="SXX1" s="184"/>
      <c r="SXY1" s="184"/>
      <c r="SXZ1" s="184"/>
      <c r="SYA1" s="184"/>
      <c r="SYB1" s="184"/>
      <c r="SYC1" s="184"/>
      <c r="SYD1" s="184"/>
      <c r="SYE1" s="184"/>
      <c r="SYF1" s="184"/>
      <c r="SYG1" s="184"/>
      <c r="SYH1" s="184"/>
      <c r="SYI1" s="184"/>
      <c r="SYJ1" s="184"/>
      <c r="SYK1" s="184"/>
      <c r="SYL1" s="184"/>
      <c r="SYM1" s="184"/>
      <c r="SYN1" s="184"/>
      <c r="SYO1" s="184"/>
      <c r="SYP1" s="184"/>
      <c r="SYQ1" s="184"/>
      <c r="SYR1" s="184"/>
      <c r="SYS1" s="184"/>
      <c r="SYT1" s="184"/>
      <c r="SYU1" s="184"/>
      <c r="SYV1" s="184"/>
      <c r="SYW1" s="184"/>
      <c r="SYX1" s="184"/>
      <c r="SYY1" s="184"/>
      <c r="SYZ1" s="184"/>
      <c r="SZA1" s="184"/>
      <c r="SZB1" s="184"/>
      <c r="SZC1" s="184"/>
      <c r="SZD1" s="184"/>
      <c r="SZE1" s="184"/>
      <c r="SZF1" s="184"/>
      <c r="SZG1" s="184"/>
      <c r="SZH1" s="184"/>
      <c r="SZI1" s="184"/>
      <c r="SZJ1" s="184"/>
      <c r="SZK1" s="184"/>
      <c r="SZL1" s="184"/>
      <c r="SZM1" s="184"/>
      <c r="SZN1" s="184"/>
      <c r="SZO1" s="184"/>
      <c r="SZP1" s="184"/>
      <c r="SZQ1" s="184"/>
      <c r="SZR1" s="184"/>
      <c r="SZS1" s="184"/>
      <c r="SZT1" s="184"/>
      <c r="SZU1" s="184"/>
      <c r="SZV1" s="184"/>
      <c r="SZW1" s="184"/>
      <c r="SZX1" s="184"/>
      <c r="SZY1" s="184"/>
      <c r="SZZ1" s="184"/>
      <c r="TAA1" s="184"/>
      <c r="TAB1" s="184"/>
      <c r="TAC1" s="184"/>
      <c r="TAD1" s="184"/>
      <c r="TAE1" s="184"/>
      <c r="TAF1" s="184"/>
      <c r="TAG1" s="184"/>
      <c r="TAH1" s="184"/>
      <c r="TAI1" s="184"/>
      <c r="TAJ1" s="184"/>
      <c r="TAK1" s="184"/>
      <c r="TAL1" s="184"/>
      <c r="TAM1" s="184"/>
      <c r="TAN1" s="184"/>
      <c r="TAO1" s="184"/>
      <c r="TAP1" s="184"/>
      <c r="TAQ1" s="184"/>
      <c r="TAR1" s="184"/>
      <c r="TAS1" s="184"/>
      <c r="TAT1" s="184"/>
      <c r="TAU1" s="184"/>
      <c r="TAV1" s="184"/>
      <c r="TAW1" s="184"/>
      <c r="TAX1" s="184"/>
      <c r="TAY1" s="184"/>
      <c r="TAZ1" s="184"/>
      <c r="TBA1" s="184"/>
      <c r="TBB1" s="184"/>
      <c r="TBC1" s="184"/>
      <c r="TBD1" s="184"/>
      <c r="TBE1" s="184"/>
      <c r="TBF1" s="184"/>
      <c r="TBG1" s="184"/>
      <c r="TBH1" s="184"/>
      <c r="TBI1" s="184"/>
      <c r="TBJ1" s="184"/>
      <c r="TBK1" s="184"/>
      <c r="TBL1" s="184"/>
      <c r="TBM1" s="184"/>
      <c r="TBN1" s="184"/>
      <c r="TBO1" s="184"/>
      <c r="TBP1" s="184"/>
      <c r="TBQ1" s="184"/>
      <c r="TBR1" s="184"/>
      <c r="TBS1" s="184"/>
      <c r="TBT1" s="184"/>
      <c r="TBU1" s="184"/>
      <c r="TBV1" s="184"/>
      <c r="TBW1" s="184"/>
      <c r="TBX1" s="184"/>
      <c r="TBY1" s="184"/>
      <c r="TBZ1" s="184"/>
      <c r="TCA1" s="184"/>
      <c r="TCB1" s="184"/>
      <c r="TCC1" s="184"/>
      <c r="TCD1" s="184"/>
      <c r="TCE1" s="184"/>
      <c r="TCF1" s="184"/>
      <c r="TCG1" s="184"/>
      <c r="TCH1" s="184"/>
      <c r="TCI1" s="184"/>
      <c r="TCJ1" s="184"/>
      <c r="TCK1" s="184"/>
      <c r="TCL1" s="184"/>
      <c r="TCM1" s="184"/>
      <c r="TCN1" s="184"/>
      <c r="TCO1" s="184"/>
      <c r="TCP1" s="184"/>
      <c r="TCQ1" s="184"/>
      <c r="TCR1" s="184"/>
      <c r="TCS1" s="184"/>
      <c r="TCT1" s="184"/>
      <c r="TCU1" s="184"/>
      <c r="TCV1" s="184"/>
      <c r="TCW1" s="184"/>
      <c r="TCX1" s="184"/>
      <c r="TCY1" s="184"/>
      <c r="TCZ1" s="184"/>
      <c r="TDA1" s="184"/>
      <c r="TDB1" s="184"/>
      <c r="TDC1" s="184"/>
      <c r="TDD1" s="184"/>
      <c r="TDE1" s="184"/>
      <c r="TDF1" s="184"/>
      <c r="TDG1" s="184"/>
      <c r="TDH1" s="184"/>
      <c r="TDI1" s="184"/>
      <c r="TDJ1" s="184"/>
      <c r="TDK1" s="184"/>
      <c r="TDL1" s="184"/>
      <c r="TDM1" s="184"/>
      <c r="TDN1" s="184"/>
      <c r="TDO1" s="184"/>
      <c r="TDP1" s="184"/>
      <c r="TDQ1" s="184"/>
      <c r="TDR1" s="184"/>
      <c r="TDS1" s="184"/>
      <c r="TDT1" s="184"/>
      <c r="TDU1" s="184"/>
      <c r="TDV1" s="184"/>
      <c r="TDW1" s="184"/>
      <c r="TDX1" s="184"/>
      <c r="TDY1" s="184"/>
      <c r="TDZ1" s="184"/>
      <c r="TEA1" s="184"/>
      <c r="TEB1" s="184"/>
      <c r="TEC1" s="184"/>
      <c r="TED1" s="184"/>
      <c r="TEE1" s="184"/>
      <c r="TEF1" s="184"/>
      <c r="TEG1" s="184"/>
      <c r="TEH1" s="184"/>
      <c r="TEI1" s="184"/>
      <c r="TEJ1" s="184"/>
      <c r="TEK1" s="184"/>
      <c r="TEL1" s="184"/>
      <c r="TEM1" s="184"/>
      <c r="TEN1" s="184"/>
      <c r="TEO1" s="184"/>
      <c r="TEP1" s="184"/>
      <c r="TEQ1" s="184"/>
      <c r="TER1" s="184"/>
      <c r="TES1" s="184"/>
      <c r="TET1" s="184"/>
      <c r="TEU1" s="184"/>
      <c r="TEV1" s="184"/>
      <c r="TEW1" s="184"/>
      <c r="TEX1" s="184"/>
      <c r="TEY1" s="184"/>
      <c r="TEZ1" s="184"/>
      <c r="TFA1" s="184"/>
      <c r="TFB1" s="184"/>
      <c r="TFC1" s="184"/>
      <c r="TFD1" s="184"/>
      <c r="TFE1" s="184"/>
      <c r="TFF1" s="184"/>
      <c r="TFG1" s="184"/>
      <c r="TFH1" s="184"/>
      <c r="TFI1" s="184"/>
      <c r="TFJ1" s="184"/>
      <c r="TFK1" s="184"/>
      <c r="TFL1" s="184"/>
      <c r="TFM1" s="184"/>
      <c r="TFN1" s="184"/>
      <c r="TFO1" s="184"/>
      <c r="TFP1" s="184"/>
      <c r="TFQ1" s="184"/>
      <c r="TFR1" s="184"/>
      <c r="TFS1" s="184"/>
      <c r="TFT1" s="184"/>
      <c r="TFU1" s="184"/>
      <c r="TFV1" s="184"/>
      <c r="TFW1" s="184"/>
      <c r="TFX1" s="184"/>
      <c r="TFY1" s="184"/>
      <c r="TFZ1" s="184"/>
      <c r="TGA1" s="184"/>
      <c r="TGB1" s="184"/>
      <c r="TGC1" s="184"/>
      <c r="TGD1" s="184"/>
      <c r="TGE1" s="184"/>
      <c r="TGF1" s="184"/>
      <c r="TGG1" s="184"/>
      <c r="TGH1" s="184"/>
      <c r="TGI1" s="184"/>
      <c r="TGJ1" s="184"/>
      <c r="TGK1" s="184"/>
      <c r="TGL1" s="184"/>
      <c r="TGM1" s="184"/>
      <c r="TGN1" s="184"/>
      <c r="TGO1" s="184"/>
      <c r="TGP1" s="184"/>
      <c r="TGQ1" s="184"/>
      <c r="TGR1" s="184"/>
      <c r="TGS1" s="184"/>
      <c r="TGT1" s="184"/>
      <c r="TGU1" s="184"/>
      <c r="TGV1" s="184"/>
      <c r="TGW1" s="184"/>
      <c r="TGX1" s="184"/>
      <c r="TGY1" s="184"/>
      <c r="TGZ1" s="184"/>
      <c r="THA1" s="184"/>
      <c r="THB1" s="184"/>
      <c r="THC1" s="184"/>
      <c r="THD1" s="184"/>
      <c r="THE1" s="184"/>
      <c r="THF1" s="184"/>
      <c r="THG1" s="184"/>
      <c r="THH1" s="184"/>
      <c r="THI1" s="184"/>
      <c r="THJ1" s="184"/>
      <c r="THK1" s="184"/>
      <c r="THL1" s="184"/>
      <c r="THM1" s="184"/>
      <c r="THN1" s="184"/>
      <c r="THO1" s="184"/>
      <c r="THP1" s="184"/>
      <c r="THQ1" s="184"/>
      <c r="THR1" s="184"/>
      <c r="THS1" s="184"/>
      <c r="THT1" s="184"/>
      <c r="THU1" s="184"/>
      <c r="THV1" s="184"/>
      <c r="THW1" s="184"/>
      <c r="THX1" s="184"/>
      <c r="THY1" s="184"/>
      <c r="THZ1" s="184"/>
      <c r="TIA1" s="184"/>
      <c r="TIB1" s="184"/>
      <c r="TIC1" s="184"/>
      <c r="TID1" s="184"/>
      <c r="TIE1" s="184"/>
      <c r="TIF1" s="184"/>
      <c r="TIG1" s="184"/>
      <c r="TIH1" s="184"/>
      <c r="TII1" s="184"/>
      <c r="TIJ1" s="184"/>
      <c r="TIK1" s="184"/>
      <c r="TIL1" s="184"/>
      <c r="TIM1" s="184"/>
      <c r="TIN1" s="184"/>
      <c r="TIO1" s="184"/>
      <c r="TIP1" s="184"/>
      <c r="TIQ1" s="184"/>
      <c r="TIR1" s="184"/>
      <c r="TIS1" s="184"/>
      <c r="TIT1" s="184"/>
      <c r="TIU1" s="184"/>
      <c r="TIV1" s="184"/>
      <c r="TIW1" s="184"/>
      <c r="TIX1" s="184"/>
      <c r="TIY1" s="184"/>
      <c r="TIZ1" s="184"/>
      <c r="TJA1" s="184"/>
      <c r="TJB1" s="184"/>
      <c r="TJC1" s="184"/>
      <c r="TJD1" s="184"/>
      <c r="TJE1" s="184"/>
      <c r="TJF1" s="184"/>
      <c r="TJG1" s="184"/>
      <c r="TJH1" s="184"/>
      <c r="TJI1" s="184"/>
      <c r="TJJ1" s="184"/>
      <c r="TJK1" s="184"/>
      <c r="TJL1" s="184"/>
      <c r="TJM1" s="184"/>
      <c r="TJN1" s="184"/>
      <c r="TJO1" s="184"/>
      <c r="TJP1" s="184"/>
      <c r="TJQ1" s="184"/>
      <c r="TJR1" s="184"/>
      <c r="TJS1" s="184"/>
      <c r="TJT1" s="184"/>
      <c r="TJU1" s="184"/>
      <c r="TJV1" s="184"/>
      <c r="TJW1" s="184"/>
      <c r="TJX1" s="184"/>
      <c r="TJY1" s="184"/>
      <c r="TJZ1" s="184"/>
      <c r="TKA1" s="184"/>
      <c r="TKB1" s="184"/>
      <c r="TKC1" s="184"/>
      <c r="TKD1" s="184"/>
      <c r="TKE1" s="184"/>
      <c r="TKF1" s="184"/>
      <c r="TKG1" s="184"/>
      <c r="TKH1" s="184"/>
      <c r="TKI1" s="184"/>
      <c r="TKJ1" s="184"/>
      <c r="TKK1" s="184"/>
      <c r="TKL1" s="184"/>
      <c r="TKM1" s="184"/>
      <c r="TKN1" s="184"/>
      <c r="TKO1" s="184"/>
      <c r="TKP1" s="184"/>
      <c r="TKQ1" s="184"/>
      <c r="TKR1" s="184"/>
      <c r="TKS1" s="184"/>
      <c r="TKT1" s="184"/>
      <c r="TKU1" s="184"/>
      <c r="TKV1" s="184"/>
      <c r="TKW1" s="184"/>
      <c r="TKX1" s="184"/>
      <c r="TKY1" s="184"/>
      <c r="TKZ1" s="184"/>
      <c r="TLA1" s="184"/>
      <c r="TLB1" s="184"/>
      <c r="TLC1" s="184"/>
      <c r="TLD1" s="184"/>
      <c r="TLE1" s="184"/>
      <c r="TLF1" s="184"/>
      <c r="TLG1" s="184"/>
      <c r="TLH1" s="184"/>
      <c r="TLI1" s="184"/>
      <c r="TLJ1" s="184"/>
      <c r="TLK1" s="184"/>
      <c r="TLL1" s="184"/>
      <c r="TLM1" s="184"/>
      <c r="TLN1" s="184"/>
      <c r="TLO1" s="184"/>
      <c r="TLP1" s="184"/>
      <c r="TLQ1" s="184"/>
      <c r="TLR1" s="184"/>
      <c r="TLS1" s="184"/>
      <c r="TLT1" s="184"/>
      <c r="TLU1" s="184"/>
      <c r="TLV1" s="184"/>
      <c r="TLW1" s="184"/>
      <c r="TLX1" s="184"/>
      <c r="TLY1" s="184"/>
      <c r="TLZ1" s="184"/>
      <c r="TMA1" s="184"/>
      <c r="TMB1" s="184"/>
      <c r="TMC1" s="184"/>
      <c r="TMD1" s="184"/>
      <c r="TME1" s="184"/>
      <c r="TMF1" s="184"/>
      <c r="TMG1" s="184"/>
      <c r="TMH1" s="184"/>
      <c r="TMI1" s="184"/>
      <c r="TMJ1" s="184"/>
      <c r="TMK1" s="184"/>
      <c r="TML1" s="184"/>
      <c r="TMM1" s="184"/>
      <c r="TMN1" s="184"/>
      <c r="TMO1" s="184"/>
      <c r="TMP1" s="184"/>
      <c r="TMQ1" s="184"/>
      <c r="TMR1" s="184"/>
      <c r="TMS1" s="184"/>
      <c r="TMT1" s="184"/>
      <c r="TMU1" s="184"/>
      <c r="TMV1" s="184"/>
      <c r="TMW1" s="184"/>
      <c r="TMX1" s="184"/>
      <c r="TMY1" s="184"/>
      <c r="TMZ1" s="184"/>
      <c r="TNA1" s="184"/>
      <c r="TNB1" s="184"/>
      <c r="TNC1" s="184"/>
      <c r="TND1" s="184"/>
      <c r="TNE1" s="184"/>
      <c r="TNF1" s="184"/>
      <c r="TNG1" s="184"/>
      <c r="TNH1" s="184"/>
      <c r="TNI1" s="184"/>
      <c r="TNJ1" s="184"/>
      <c r="TNK1" s="184"/>
      <c r="TNL1" s="184"/>
      <c r="TNM1" s="184"/>
      <c r="TNN1" s="184"/>
      <c r="TNO1" s="184"/>
      <c r="TNP1" s="184"/>
      <c r="TNQ1" s="184"/>
      <c r="TNR1" s="184"/>
      <c r="TNS1" s="184"/>
      <c r="TNT1" s="184"/>
      <c r="TNU1" s="184"/>
      <c r="TNV1" s="184"/>
      <c r="TNW1" s="184"/>
      <c r="TNX1" s="184"/>
      <c r="TNY1" s="184"/>
      <c r="TNZ1" s="184"/>
      <c r="TOA1" s="184"/>
      <c r="TOB1" s="184"/>
      <c r="TOC1" s="184"/>
      <c r="TOD1" s="184"/>
      <c r="TOE1" s="184"/>
      <c r="TOF1" s="184"/>
      <c r="TOG1" s="184"/>
      <c r="TOH1" s="184"/>
      <c r="TOI1" s="184"/>
      <c r="TOJ1" s="184"/>
      <c r="TOK1" s="184"/>
      <c r="TOL1" s="184"/>
      <c r="TOM1" s="184"/>
      <c r="TON1" s="184"/>
      <c r="TOO1" s="184"/>
      <c r="TOP1" s="184"/>
      <c r="TOQ1" s="184"/>
      <c r="TOR1" s="184"/>
      <c r="TOS1" s="184"/>
      <c r="TOT1" s="184"/>
      <c r="TOU1" s="184"/>
      <c r="TOV1" s="184"/>
      <c r="TOW1" s="184"/>
      <c r="TOX1" s="184"/>
      <c r="TOY1" s="184"/>
      <c r="TOZ1" s="184"/>
      <c r="TPA1" s="184"/>
      <c r="TPB1" s="184"/>
      <c r="TPC1" s="184"/>
      <c r="TPD1" s="184"/>
      <c r="TPE1" s="184"/>
      <c r="TPF1" s="184"/>
      <c r="TPG1" s="184"/>
      <c r="TPH1" s="184"/>
      <c r="TPI1" s="184"/>
      <c r="TPJ1" s="184"/>
      <c r="TPK1" s="184"/>
      <c r="TPL1" s="184"/>
      <c r="TPM1" s="184"/>
      <c r="TPN1" s="184"/>
      <c r="TPO1" s="184"/>
      <c r="TPP1" s="184"/>
      <c r="TPQ1" s="184"/>
      <c r="TPR1" s="184"/>
      <c r="TPS1" s="184"/>
      <c r="TPT1" s="184"/>
      <c r="TPU1" s="184"/>
      <c r="TPV1" s="184"/>
      <c r="TPW1" s="184"/>
      <c r="TPX1" s="184"/>
      <c r="TPY1" s="184"/>
      <c r="TPZ1" s="184"/>
      <c r="TQA1" s="184"/>
      <c r="TQB1" s="184"/>
      <c r="TQC1" s="184"/>
      <c r="TQD1" s="184"/>
      <c r="TQE1" s="184"/>
      <c r="TQF1" s="184"/>
      <c r="TQG1" s="184"/>
      <c r="TQH1" s="184"/>
      <c r="TQI1" s="184"/>
      <c r="TQJ1" s="184"/>
      <c r="TQK1" s="184"/>
      <c r="TQL1" s="184"/>
      <c r="TQM1" s="184"/>
      <c r="TQN1" s="184"/>
      <c r="TQO1" s="184"/>
      <c r="TQP1" s="184"/>
      <c r="TQQ1" s="184"/>
      <c r="TQR1" s="184"/>
      <c r="TQS1" s="184"/>
      <c r="TQT1" s="184"/>
      <c r="TQU1" s="184"/>
      <c r="TQV1" s="184"/>
      <c r="TQW1" s="184"/>
      <c r="TQX1" s="184"/>
      <c r="TQY1" s="184"/>
      <c r="TQZ1" s="184"/>
      <c r="TRA1" s="184"/>
      <c r="TRB1" s="184"/>
      <c r="TRC1" s="184"/>
      <c r="TRD1" s="184"/>
      <c r="TRE1" s="184"/>
      <c r="TRF1" s="184"/>
      <c r="TRG1" s="184"/>
      <c r="TRH1" s="184"/>
      <c r="TRI1" s="184"/>
      <c r="TRJ1" s="184"/>
      <c r="TRK1" s="184"/>
      <c r="TRL1" s="184"/>
      <c r="TRM1" s="184"/>
      <c r="TRN1" s="184"/>
      <c r="TRO1" s="184"/>
      <c r="TRP1" s="184"/>
      <c r="TRQ1" s="184"/>
      <c r="TRR1" s="184"/>
      <c r="TRS1" s="184"/>
      <c r="TRT1" s="184"/>
      <c r="TRU1" s="184"/>
      <c r="TRV1" s="184"/>
      <c r="TRW1" s="184"/>
      <c r="TRX1" s="184"/>
      <c r="TRY1" s="184"/>
      <c r="TRZ1" s="184"/>
      <c r="TSA1" s="184"/>
      <c r="TSB1" s="184"/>
      <c r="TSC1" s="184"/>
      <c r="TSD1" s="184"/>
      <c r="TSE1" s="184"/>
      <c r="TSF1" s="184"/>
      <c r="TSG1" s="184"/>
      <c r="TSH1" s="184"/>
      <c r="TSI1" s="184"/>
      <c r="TSJ1" s="184"/>
      <c r="TSK1" s="184"/>
      <c r="TSL1" s="184"/>
      <c r="TSM1" s="184"/>
      <c r="TSN1" s="184"/>
      <c r="TSO1" s="184"/>
      <c r="TSP1" s="184"/>
      <c r="TSQ1" s="184"/>
      <c r="TSR1" s="184"/>
      <c r="TSS1" s="184"/>
      <c r="TST1" s="184"/>
      <c r="TSU1" s="184"/>
      <c r="TSV1" s="184"/>
      <c r="TSW1" s="184"/>
      <c r="TSX1" s="184"/>
      <c r="TSY1" s="184"/>
      <c r="TSZ1" s="184"/>
      <c r="TTA1" s="184"/>
      <c r="TTB1" s="184"/>
      <c r="TTC1" s="184"/>
      <c r="TTD1" s="184"/>
      <c r="TTE1" s="184"/>
      <c r="TTF1" s="184"/>
      <c r="TTG1" s="184"/>
      <c r="TTH1" s="184"/>
      <c r="TTI1" s="184"/>
      <c r="TTJ1" s="184"/>
      <c r="TTK1" s="184"/>
      <c r="TTL1" s="184"/>
      <c r="TTM1" s="184"/>
      <c r="TTN1" s="184"/>
      <c r="TTO1" s="184"/>
      <c r="TTP1" s="184"/>
      <c r="TTQ1" s="184"/>
      <c r="TTR1" s="184"/>
      <c r="TTS1" s="184"/>
      <c r="TTT1" s="184"/>
      <c r="TTU1" s="184"/>
      <c r="TTV1" s="184"/>
      <c r="TTW1" s="184"/>
      <c r="TTX1" s="184"/>
      <c r="TTY1" s="184"/>
      <c r="TTZ1" s="184"/>
      <c r="TUA1" s="184"/>
      <c r="TUB1" s="184"/>
      <c r="TUC1" s="184"/>
      <c r="TUD1" s="184"/>
      <c r="TUE1" s="184"/>
      <c r="TUF1" s="184"/>
      <c r="TUG1" s="184"/>
      <c r="TUH1" s="184"/>
      <c r="TUI1" s="184"/>
      <c r="TUJ1" s="184"/>
      <c r="TUK1" s="184"/>
      <c r="TUL1" s="184"/>
      <c r="TUM1" s="184"/>
      <c r="TUN1" s="184"/>
      <c r="TUO1" s="184"/>
      <c r="TUP1" s="184"/>
      <c r="TUQ1" s="184"/>
      <c r="TUR1" s="184"/>
      <c r="TUS1" s="184"/>
      <c r="TUT1" s="184"/>
      <c r="TUU1" s="184"/>
      <c r="TUV1" s="184"/>
      <c r="TUW1" s="184"/>
      <c r="TUX1" s="184"/>
      <c r="TUY1" s="184"/>
      <c r="TUZ1" s="184"/>
      <c r="TVA1" s="184"/>
      <c r="TVB1" s="184"/>
      <c r="TVC1" s="184"/>
      <c r="TVD1" s="184"/>
      <c r="TVE1" s="184"/>
      <c r="TVF1" s="184"/>
      <c r="TVG1" s="184"/>
      <c r="TVH1" s="184"/>
      <c r="TVI1" s="184"/>
      <c r="TVJ1" s="184"/>
      <c r="TVK1" s="184"/>
      <c r="TVL1" s="184"/>
      <c r="TVM1" s="184"/>
      <c r="TVN1" s="184"/>
      <c r="TVO1" s="184"/>
      <c r="TVP1" s="184"/>
      <c r="TVQ1" s="184"/>
      <c r="TVR1" s="184"/>
      <c r="TVS1" s="184"/>
      <c r="TVT1" s="184"/>
      <c r="TVU1" s="184"/>
      <c r="TVV1" s="184"/>
      <c r="TVW1" s="184"/>
      <c r="TVX1" s="184"/>
      <c r="TVY1" s="184"/>
      <c r="TVZ1" s="184"/>
      <c r="TWA1" s="184"/>
      <c r="TWB1" s="184"/>
      <c r="TWC1" s="184"/>
      <c r="TWD1" s="184"/>
      <c r="TWE1" s="184"/>
      <c r="TWF1" s="184"/>
      <c r="TWG1" s="184"/>
      <c r="TWH1" s="184"/>
      <c r="TWI1" s="184"/>
      <c r="TWJ1" s="184"/>
      <c r="TWK1" s="184"/>
      <c r="TWL1" s="184"/>
      <c r="TWM1" s="184"/>
      <c r="TWN1" s="184"/>
      <c r="TWO1" s="184"/>
      <c r="TWP1" s="184"/>
      <c r="TWQ1" s="184"/>
      <c r="TWR1" s="184"/>
      <c r="TWS1" s="184"/>
      <c r="TWT1" s="184"/>
      <c r="TWU1" s="184"/>
      <c r="TWV1" s="184"/>
      <c r="TWW1" s="184"/>
      <c r="TWX1" s="184"/>
      <c r="TWY1" s="184"/>
      <c r="TWZ1" s="184"/>
      <c r="TXA1" s="184"/>
      <c r="TXB1" s="184"/>
      <c r="TXC1" s="184"/>
      <c r="TXD1" s="184"/>
      <c r="TXE1" s="184"/>
      <c r="TXF1" s="184"/>
      <c r="TXG1" s="184"/>
      <c r="TXH1" s="184"/>
      <c r="TXI1" s="184"/>
      <c r="TXJ1" s="184"/>
      <c r="TXK1" s="184"/>
      <c r="TXL1" s="184"/>
      <c r="TXM1" s="184"/>
      <c r="TXN1" s="184"/>
      <c r="TXO1" s="184"/>
      <c r="TXP1" s="184"/>
      <c r="TXQ1" s="184"/>
      <c r="TXR1" s="184"/>
      <c r="TXS1" s="184"/>
      <c r="TXT1" s="184"/>
      <c r="TXU1" s="184"/>
      <c r="TXV1" s="184"/>
      <c r="TXW1" s="184"/>
      <c r="TXX1" s="184"/>
      <c r="TXY1" s="184"/>
      <c r="TXZ1" s="184"/>
      <c r="TYA1" s="184"/>
      <c r="TYB1" s="184"/>
      <c r="TYC1" s="184"/>
      <c r="TYD1" s="184"/>
      <c r="TYE1" s="184"/>
      <c r="TYF1" s="184"/>
      <c r="TYG1" s="184"/>
      <c r="TYH1" s="184"/>
      <c r="TYI1" s="184"/>
      <c r="TYJ1" s="184"/>
      <c r="TYK1" s="184"/>
      <c r="TYL1" s="184"/>
      <c r="TYM1" s="184"/>
      <c r="TYN1" s="184"/>
      <c r="TYO1" s="184"/>
      <c r="TYP1" s="184"/>
      <c r="TYQ1" s="184"/>
      <c r="TYR1" s="184"/>
      <c r="TYS1" s="184"/>
      <c r="TYT1" s="184"/>
      <c r="TYU1" s="184"/>
      <c r="TYV1" s="184"/>
      <c r="TYW1" s="184"/>
      <c r="TYX1" s="184"/>
      <c r="TYY1" s="184"/>
      <c r="TYZ1" s="184"/>
      <c r="TZA1" s="184"/>
      <c r="TZB1" s="184"/>
      <c r="TZC1" s="184"/>
      <c r="TZD1" s="184"/>
      <c r="TZE1" s="184"/>
      <c r="TZF1" s="184"/>
      <c r="TZG1" s="184"/>
      <c r="TZH1" s="184"/>
      <c r="TZI1" s="184"/>
      <c r="TZJ1" s="184"/>
      <c r="TZK1" s="184"/>
      <c r="TZL1" s="184"/>
      <c r="TZM1" s="184"/>
      <c r="TZN1" s="184"/>
      <c r="TZO1" s="184"/>
      <c r="TZP1" s="184"/>
      <c r="TZQ1" s="184"/>
      <c r="TZR1" s="184"/>
      <c r="TZS1" s="184"/>
      <c r="TZT1" s="184"/>
      <c r="TZU1" s="184"/>
      <c r="TZV1" s="184"/>
      <c r="TZW1" s="184"/>
      <c r="TZX1" s="184"/>
      <c r="TZY1" s="184"/>
      <c r="TZZ1" s="184"/>
      <c r="UAA1" s="184"/>
      <c r="UAB1" s="184"/>
      <c r="UAC1" s="184"/>
      <c r="UAD1" s="184"/>
      <c r="UAE1" s="184"/>
      <c r="UAF1" s="184"/>
      <c r="UAG1" s="184"/>
      <c r="UAH1" s="184"/>
      <c r="UAI1" s="184"/>
      <c r="UAJ1" s="184"/>
      <c r="UAK1" s="184"/>
      <c r="UAL1" s="184"/>
      <c r="UAM1" s="184"/>
      <c r="UAN1" s="184"/>
      <c r="UAO1" s="184"/>
      <c r="UAP1" s="184"/>
      <c r="UAQ1" s="184"/>
      <c r="UAR1" s="184"/>
      <c r="UAS1" s="184"/>
      <c r="UAT1" s="184"/>
      <c r="UAU1" s="184"/>
      <c r="UAV1" s="184"/>
      <c r="UAW1" s="184"/>
      <c r="UAX1" s="184"/>
      <c r="UAY1" s="184"/>
      <c r="UAZ1" s="184"/>
      <c r="UBA1" s="184"/>
      <c r="UBB1" s="184"/>
      <c r="UBC1" s="184"/>
      <c r="UBD1" s="184"/>
      <c r="UBE1" s="184"/>
      <c r="UBF1" s="184"/>
      <c r="UBG1" s="184"/>
      <c r="UBH1" s="184"/>
      <c r="UBI1" s="184"/>
      <c r="UBJ1" s="184"/>
      <c r="UBK1" s="184"/>
      <c r="UBL1" s="184"/>
      <c r="UBM1" s="184"/>
      <c r="UBN1" s="184"/>
      <c r="UBO1" s="184"/>
      <c r="UBP1" s="184"/>
      <c r="UBQ1" s="184"/>
      <c r="UBR1" s="184"/>
      <c r="UBS1" s="184"/>
      <c r="UBT1" s="184"/>
      <c r="UBU1" s="184"/>
      <c r="UBV1" s="184"/>
      <c r="UBW1" s="184"/>
      <c r="UBX1" s="184"/>
      <c r="UBY1" s="184"/>
      <c r="UBZ1" s="184"/>
      <c r="UCA1" s="184"/>
      <c r="UCB1" s="184"/>
      <c r="UCC1" s="184"/>
      <c r="UCD1" s="184"/>
      <c r="UCE1" s="184"/>
      <c r="UCF1" s="184"/>
      <c r="UCG1" s="184"/>
      <c r="UCH1" s="184"/>
      <c r="UCI1" s="184"/>
      <c r="UCJ1" s="184"/>
      <c r="UCK1" s="184"/>
      <c r="UCL1" s="184"/>
      <c r="UCM1" s="184"/>
      <c r="UCN1" s="184"/>
      <c r="UCO1" s="184"/>
      <c r="UCP1" s="184"/>
      <c r="UCQ1" s="184"/>
      <c r="UCR1" s="184"/>
      <c r="UCS1" s="184"/>
      <c r="UCT1" s="184"/>
      <c r="UCU1" s="184"/>
      <c r="UCV1" s="184"/>
      <c r="UCW1" s="184"/>
      <c r="UCX1" s="184"/>
      <c r="UCY1" s="184"/>
      <c r="UCZ1" s="184"/>
      <c r="UDA1" s="184"/>
      <c r="UDB1" s="184"/>
      <c r="UDC1" s="184"/>
      <c r="UDD1" s="184"/>
      <c r="UDE1" s="184"/>
      <c r="UDF1" s="184"/>
      <c r="UDG1" s="184"/>
      <c r="UDH1" s="184"/>
      <c r="UDI1" s="184"/>
      <c r="UDJ1" s="184"/>
      <c r="UDK1" s="184"/>
      <c r="UDL1" s="184"/>
      <c r="UDM1" s="184"/>
      <c r="UDN1" s="184"/>
      <c r="UDO1" s="184"/>
      <c r="UDP1" s="184"/>
      <c r="UDQ1" s="184"/>
      <c r="UDR1" s="184"/>
      <c r="UDS1" s="184"/>
      <c r="UDT1" s="184"/>
      <c r="UDU1" s="184"/>
      <c r="UDV1" s="184"/>
      <c r="UDW1" s="184"/>
      <c r="UDX1" s="184"/>
      <c r="UDY1" s="184"/>
      <c r="UDZ1" s="184"/>
      <c r="UEA1" s="184"/>
      <c r="UEB1" s="184"/>
      <c r="UEC1" s="184"/>
      <c r="UED1" s="184"/>
      <c r="UEE1" s="184"/>
      <c r="UEF1" s="184"/>
      <c r="UEG1" s="184"/>
      <c r="UEH1" s="184"/>
      <c r="UEI1" s="184"/>
      <c r="UEJ1" s="184"/>
      <c r="UEK1" s="184"/>
      <c r="UEL1" s="184"/>
      <c r="UEM1" s="184"/>
      <c r="UEN1" s="184"/>
      <c r="UEO1" s="184"/>
      <c r="UEP1" s="184"/>
      <c r="UEQ1" s="184"/>
      <c r="UER1" s="184"/>
      <c r="UES1" s="184"/>
      <c r="UET1" s="184"/>
      <c r="UEU1" s="184"/>
      <c r="UEV1" s="184"/>
      <c r="UEW1" s="184"/>
      <c r="UEX1" s="184"/>
      <c r="UEY1" s="184"/>
      <c r="UEZ1" s="184"/>
      <c r="UFA1" s="184"/>
      <c r="UFB1" s="184"/>
      <c r="UFC1" s="184"/>
      <c r="UFD1" s="184"/>
      <c r="UFE1" s="184"/>
      <c r="UFF1" s="184"/>
      <c r="UFG1" s="184"/>
      <c r="UFH1" s="184"/>
      <c r="UFI1" s="184"/>
      <c r="UFJ1" s="184"/>
      <c r="UFK1" s="184"/>
      <c r="UFL1" s="184"/>
      <c r="UFM1" s="184"/>
      <c r="UFN1" s="184"/>
      <c r="UFO1" s="184"/>
      <c r="UFP1" s="184"/>
      <c r="UFQ1" s="184"/>
      <c r="UFR1" s="184"/>
      <c r="UFS1" s="184"/>
      <c r="UFT1" s="184"/>
      <c r="UFU1" s="184"/>
      <c r="UFV1" s="184"/>
      <c r="UFW1" s="184"/>
      <c r="UFX1" s="184"/>
      <c r="UFY1" s="184"/>
      <c r="UFZ1" s="184"/>
      <c r="UGA1" s="184"/>
      <c r="UGB1" s="184"/>
      <c r="UGC1" s="184"/>
      <c r="UGD1" s="184"/>
      <c r="UGE1" s="184"/>
      <c r="UGF1" s="184"/>
      <c r="UGG1" s="184"/>
      <c r="UGH1" s="184"/>
      <c r="UGI1" s="184"/>
      <c r="UGJ1" s="184"/>
      <c r="UGK1" s="184"/>
      <c r="UGL1" s="184"/>
      <c r="UGM1" s="184"/>
      <c r="UGN1" s="184"/>
      <c r="UGO1" s="184"/>
      <c r="UGP1" s="184"/>
      <c r="UGQ1" s="184"/>
      <c r="UGR1" s="184"/>
      <c r="UGS1" s="184"/>
      <c r="UGT1" s="184"/>
      <c r="UGU1" s="184"/>
      <c r="UGV1" s="184"/>
      <c r="UGW1" s="184"/>
      <c r="UGX1" s="184"/>
      <c r="UGY1" s="184"/>
      <c r="UGZ1" s="184"/>
      <c r="UHA1" s="184"/>
      <c r="UHB1" s="184"/>
      <c r="UHC1" s="184"/>
      <c r="UHD1" s="184"/>
      <c r="UHE1" s="184"/>
      <c r="UHF1" s="184"/>
      <c r="UHG1" s="184"/>
      <c r="UHH1" s="184"/>
      <c r="UHI1" s="184"/>
      <c r="UHJ1" s="184"/>
      <c r="UHK1" s="184"/>
      <c r="UHL1" s="184"/>
      <c r="UHM1" s="184"/>
      <c r="UHN1" s="184"/>
      <c r="UHO1" s="184"/>
      <c r="UHP1" s="184"/>
      <c r="UHQ1" s="184"/>
      <c r="UHR1" s="184"/>
      <c r="UHS1" s="184"/>
      <c r="UHT1" s="184"/>
      <c r="UHU1" s="184"/>
      <c r="UHV1" s="184"/>
      <c r="UHW1" s="184"/>
      <c r="UHX1" s="184"/>
      <c r="UHY1" s="184"/>
      <c r="UHZ1" s="184"/>
      <c r="UIA1" s="184"/>
      <c r="UIB1" s="184"/>
      <c r="UIC1" s="184"/>
      <c r="UID1" s="184"/>
      <c r="UIE1" s="184"/>
      <c r="UIF1" s="184"/>
      <c r="UIG1" s="184"/>
      <c r="UIH1" s="184"/>
      <c r="UII1" s="184"/>
      <c r="UIJ1" s="184"/>
      <c r="UIK1" s="184"/>
      <c r="UIL1" s="184"/>
      <c r="UIM1" s="184"/>
      <c r="UIN1" s="184"/>
      <c r="UIO1" s="184"/>
      <c r="UIP1" s="184"/>
      <c r="UIQ1" s="184"/>
      <c r="UIR1" s="184"/>
      <c r="UIS1" s="184"/>
      <c r="UIT1" s="184"/>
      <c r="UIU1" s="184"/>
      <c r="UIV1" s="184"/>
      <c r="UIW1" s="184"/>
      <c r="UIX1" s="184"/>
      <c r="UIY1" s="184"/>
      <c r="UIZ1" s="184"/>
      <c r="UJA1" s="184"/>
      <c r="UJB1" s="184"/>
      <c r="UJC1" s="184"/>
      <c r="UJD1" s="184"/>
      <c r="UJE1" s="184"/>
      <c r="UJF1" s="184"/>
      <c r="UJG1" s="184"/>
      <c r="UJH1" s="184"/>
      <c r="UJI1" s="184"/>
      <c r="UJJ1" s="184"/>
      <c r="UJK1" s="184"/>
      <c r="UJL1" s="184"/>
      <c r="UJM1" s="184"/>
      <c r="UJN1" s="184"/>
      <c r="UJO1" s="184"/>
      <c r="UJP1" s="184"/>
      <c r="UJQ1" s="184"/>
      <c r="UJR1" s="184"/>
      <c r="UJS1" s="184"/>
      <c r="UJT1" s="184"/>
      <c r="UJU1" s="184"/>
      <c r="UJV1" s="184"/>
      <c r="UJW1" s="184"/>
      <c r="UJX1" s="184"/>
      <c r="UJY1" s="184"/>
      <c r="UJZ1" s="184"/>
      <c r="UKA1" s="184"/>
      <c r="UKB1" s="184"/>
      <c r="UKC1" s="184"/>
      <c r="UKD1" s="184"/>
      <c r="UKE1" s="184"/>
      <c r="UKF1" s="184"/>
      <c r="UKG1" s="184"/>
      <c r="UKH1" s="184"/>
      <c r="UKI1" s="184"/>
      <c r="UKJ1" s="184"/>
      <c r="UKK1" s="184"/>
      <c r="UKL1" s="184"/>
      <c r="UKM1" s="184"/>
      <c r="UKN1" s="184"/>
      <c r="UKO1" s="184"/>
      <c r="UKP1" s="184"/>
      <c r="UKQ1" s="184"/>
      <c r="UKR1" s="184"/>
      <c r="UKS1" s="184"/>
      <c r="UKT1" s="184"/>
      <c r="UKU1" s="184"/>
      <c r="UKV1" s="184"/>
      <c r="UKW1" s="184"/>
      <c r="UKX1" s="184"/>
      <c r="UKY1" s="184"/>
      <c r="UKZ1" s="184"/>
      <c r="ULA1" s="184"/>
      <c r="ULB1" s="184"/>
      <c r="ULC1" s="184"/>
      <c r="ULD1" s="184"/>
      <c r="ULE1" s="184"/>
      <c r="ULF1" s="184"/>
      <c r="ULG1" s="184"/>
      <c r="ULH1" s="184"/>
      <c r="ULI1" s="184"/>
      <c r="ULJ1" s="184"/>
      <c r="ULK1" s="184"/>
      <c r="ULL1" s="184"/>
      <c r="ULM1" s="184"/>
      <c r="ULN1" s="184"/>
      <c r="ULO1" s="184"/>
      <c r="ULP1" s="184"/>
      <c r="ULQ1" s="184"/>
      <c r="ULR1" s="184"/>
      <c r="ULS1" s="184"/>
      <c r="ULT1" s="184"/>
      <c r="ULU1" s="184"/>
      <c r="ULV1" s="184"/>
      <c r="ULW1" s="184"/>
      <c r="ULX1" s="184"/>
      <c r="ULY1" s="184"/>
      <c r="ULZ1" s="184"/>
      <c r="UMA1" s="184"/>
      <c r="UMB1" s="184"/>
      <c r="UMC1" s="184"/>
      <c r="UMD1" s="184"/>
      <c r="UME1" s="184"/>
      <c r="UMF1" s="184"/>
      <c r="UMG1" s="184"/>
      <c r="UMH1" s="184"/>
      <c r="UMI1" s="184"/>
      <c r="UMJ1" s="184"/>
      <c r="UMK1" s="184"/>
      <c r="UML1" s="184"/>
      <c r="UMM1" s="184"/>
      <c r="UMN1" s="184"/>
      <c r="UMO1" s="184"/>
      <c r="UMP1" s="184"/>
      <c r="UMQ1" s="184"/>
      <c r="UMR1" s="184"/>
      <c r="UMS1" s="184"/>
      <c r="UMT1" s="184"/>
      <c r="UMU1" s="184"/>
      <c r="UMV1" s="184"/>
      <c r="UMW1" s="184"/>
      <c r="UMX1" s="184"/>
      <c r="UMY1" s="184"/>
      <c r="UMZ1" s="184"/>
      <c r="UNA1" s="184"/>
      <c r="UNB1" s="184"/>
      <c r="UNC1" s="184"/>
      <c r="UND1" s="184"/>
      <c r="UNE1" s="184"/>
      <c r="UNF1" s="184"/>
      <c r="UNG1" s="184"/>
      <c r="UNH1" s="184"/>
      <c r="UNI1" s="184"/>
      <c r="UNJ1" s="184"/>
      <c r="UNK1" s="184"/>
      <c r="UNL1" s="184"/>
      <c r="UNM1" s="184"/>
      <c r="UNN1" s="184"/>
      <c r="UNO1" s="184"/>
      <c r="UNP1" s="184"/>
      <c r="UNQ1" s="184"/>
      <c r="UNR1" s="184"/>
      <c r="UNS1" s="184"/>
      <c r="UNT1" s="184"/>
      <c r="UNU1" s="184"/>
      <c r="UNV1" s="184"/>
      <c r="UNW1" s="184"/>
      <c r="UNX1" s="184"/>
      <c r="UNY1" s="184"/>
      <c r="UNZ1" s="184"/>
      <c r="UOA1" s="184"/>
      <c r="UOB1" s="184"/>
      <c r="UOC1" s="184"/>
      <c r="UOD1" s="184"/>
      <c r="UOE1" s="184"/>
      <c r="UOF1" s="184"/>
      <c r="UOG1" s="184"/>
      <c r="UOH1" s="184"/>
      <c r="UOI1" s="184"/>
      <c r="UOJ1" s="184"/>
      <c r="UOK1" s="184"/>
      <c r="UOL1" s="184"/>
      <c r="UOM1" s="184"/>
      <c r="UON1" s="184"/>
      <c r="UOO1" s="184"/>
      <c r="UOP1" s="184"/>
      <c r="UOQ1" s="184"/>
      <c r="UOR1" s="184"/>
      <c r="UOS1" s="184"/>
      <c r="UOT1" s="184"/>
      <c r="UOU1" s="184"/>
      <c r="UOV1" s="184"/>
      <c r="UOW1" s="184"/>
      <c r="UOX1" s="184"/>
      <c r="UOY1" s="184"/>
      <c r="UOZ1" s="184"/>
      <c r="UPA1" s="184"/>
      <c r="UPB1" s="184"/>
      <c r="UPC1" s="184"/>
      <c r="UPD1" s="184"/>
      <c r="UPE1" s="184"/>
      <c r="UPF1" s="184"/>
      <c r="UPG1" s="184"/>
      <c r="UPH1" s="184"/>
      <c r="UPI1" s="184"/>
      <c r="UPJ1" s="184"/>
      <c r="UPK1" s="184"/>
      <c r="UPL1" s="184"/>
      <c r="UPM1" s="184"/>
      <c r="UPN1" s="184"/>
      <c r="UPO1" s="184"/>
      <c r="UPP1" s="184"/>
      <c r="UPQ1" s="184"/>
      <c r="UPR1" s="184"/>
      <c r="UPS1" s="184"/>
      <c r="UPT1" s="184"/>
      <c r="UPU1" s="184"/>
      <c r="UPV1" s="184"/>
      <c r="UPW1" s="184"/>
      <c r="UPX1" s="184"/>
      <c r="UPY1" s="184"/>
      <c r="UPZ1" s="184"/>
      <c r="UQA1" s="184"/>
      <c r="UQB1" s="184"/>
      <c r="UQC1" s="184"/>
      <c r="UQD1" s="184"/>
      <c r="UQE1" s="184"/>
      <c r="UQF1" s="184"/>
      <c r="UQG1" s="184"/>
      <c r="UQH1" s="184"/>
      <c r="UQI1" s="184"/>
      <c r="UQJ1" s="184"/>
      <c r="UQK1" s="184"/>
      <c r="UQL1" s="184"/>
      <c r="UQM1" s="184"/>
      <c r="UQN1" s="184"/>
      <c r="UQO1" s="184"/>
      <c r="UQP1" s="184"/>
      <c r="UQQ1" s="184"/>
      <c r="UQR1" s="184"/>
      <c r="UQS1" s="184"/>
      <c r="UQT1" s="184"/>
      <c r="UQU1" s="184"/>
      <c r="UQV1" s="184"/>
      <c r="UQW1" s="184"/>
      <c r="UQX1" s="184"/>
      <c r="UQY1" s="184"/>
      <c r="UQZ1" s="184"/>
      <c r="URA1" s="184"/>
      <c r="URB1" s="184"/>
      <c r="URC1" s="184"/>
      <c r="URD1" s="184"/>
      <c r="URE1" s="184"/>
      <c r="URF1" s="184"/>
      <c r="URG1" s="184"/>
      <c r="URH1" s="184"/>
      <c r="URI1" s="184"/>
      <c r="URJ1" s="184"/>
      <c r="URK1" s="184"/>
      <c r="URL1" s="184"/>
      <c r="URM1" s="184"/>
      <c r="URN1" s="184"/>
      <c r="URO1" s="184"/>
      <c r="URP1" s="184"/>
      <c r="URQ1" s="184"/>
      <c r="URR1" s="184"/>
      <c r="URS1" s="184"/>
      <c r="URT1" s="184"/>
      <c r="URU1" s="184"/>
      <c r="URV1" s="184"/>
      <c r="URW1" s="184"/>
      <c r="URX1" s="184"/>
      <c r="URY1" s="184"/>
      <c r="URZ1" s="184"/>
      <c r="USA1" s="184"/>
      <c r="USB1" s="184"/>
      <c r="USC1" s="184"/>
      <c r="USD1" s="184"/>
      <c r="USE1" s="184"/>
      <c r="USF1" s="184"/>
      <c r="USG1" s="184"/>
      <c r="USH1" s="184"/>
      <c r="USI1" s="184"/>
      <c r="USJ1" s="184"/>
      <c r="USK1" s="184"/>
      <c r="USL1" s="184"/>
      <c r="USM1" s="184"/>
      <c r="USN1" s="184"/>
      <c r="USO1" s="184"/>
      <c r="USP1" s="184"/>
      <c r="USQ1" s="184"/>
      <c r="USR1" s="184"/>
      <c r="USS1" s="184"/>
      <c r="UST1" s="184"/>
      <c r="USU1" s="184"/>
      <c r="USV1" s="184"/>
      <c r="USW1" s="184"/>
      <c r="USX1" s="184"/>
      <c r="USY1" s="184"/>
      <c r="USZ1" s="184"/>
      <c r="UTA1" s="184"/>
      <c r="UTB1" s="184"/>
      <c r="UTC1" s="184"/>
      <c r="UTD1" s="184"/>
      <c r="UTE1" s="184"/>
      <c r="UTF1" s="184"/>
      <c r="UTG1" s="184"/>
      <c r="UTH1" s="184"/>
      <c r="UTI1" s="184"/>
      <c r="UTJ1" s="184"/>
      <c r="UTK1" s="184"/>
      <c r="UTL1" s="184"/>
      <c r="UTM1" s="184"/>
      <c r="UTN1" s="184"/>
      <c r="UTO1" s="184"/>
      <c r="UTP1" s="184"/>
      <c r="UTQ1" s="184"/>
      <c r="UTR1" s="184"/>
      <c r="UTS1" s="184"/>
      <c r="UTT1" s="184"/>
      <c r="UTU1" s="184"/>
      <c r="UTV1" s="184"/>
      <c r="UTW1" s="184"/>
      <c r="UTX1" s="184"/>
      <c r="UTY1" s="184"/>
      <c r="UTZ1" s="184"/>
      <c r="UUA1" s="184"/>
      <c r="UUB1" s="184"/>
      <c r="UUC1" s="184"/>
      <c r="UUD1" s="184"/>
      <c r="UUE1" s="184"/>
      <c r="UUF1" s="184"/>
      <c r="UUG1" s="184"/>
      <c r="UUH1" s="184"/>
      <c r="UUI1" s="184"/>
      <c r="UUJ1" s="184"/>
      <c r="UUK1" s="184"/>
      <c r="UUL1" s="184"/>
      <c r="UUM1" s="184"/>
      <c r="UUN1" s="184"/>
      <c r="UUO1" s="184"/>
      <c r="UUP1" s="184"/>
      <c r="UUQ1" s="184"/>
      <c r="UUR1" s="184"/>
      <c r="UUS1" s="184"/>
      <c r="UUT1" s="184"/>
      <c r="UUU1" s="184"/>
      <c r="UUV1" s="184"/>
      <c r="UUW1" s="184"/>
      <c r="UUX1" s="184"/>
      <c r="UUY1" s="184"/>
      <c r="UUZ1" s="184"/>
      <c r="UVA1" s="184"/>
      <c r="UVB1" s="184"/>
      <c r="UVC1" s="184"/>
      <c r="UVD1" s="184"/>
      <c r="UVE1" s="184"/>
      <c r="UVF1" s="184"/>
      <c r="UVG1" s="184"/>
      <c r="UVH1" s="184"/>
      <c r="UVI1" s="184"/>
      <c r="UVJ1" s="184"/>
      <c r="UVK1" s="184"/>
      <c r="UVL1" s="184"/>
      <c r="UVM1" s="184"/>
      <c r="UVN1" s="184"/>
      <c r="UVO1" s="184"/>
      <c r="UVP1" s="184"/>
      <c r="UVQ1" s="184"/>
      <c r="UVR1" s="184"/>
      <c r="UVS1" s="184"/>
      <c r="UVT1" s="184"/>
      <c r="UVU1" s="184"/>
      <c r="UVV1" s="184"/>
      <c r="UVW1" s="184"/>
      <c r="UVX1" s="184"/>
      <c r="UVY1" s="184"/>
      <c r="UVZ1" s="184"/>
      <c r="UWA1" s="184"/>
      <c r="UWB1" s="184"/>
      <c r="UWC1" s="184"/>
      <c r="UWD1" s="184"/>
      <c r="UWE1" s="184"/>
      <c r="UWF1" s="184"/>
      <c r="UWG1" s="184"/>
      <c r="UWH1" s="184"/>
      <c r="UWI1" s="184"/>
      <c r="UWJ1" s="184"/>
      <c r="UWK1" s="184"/>
      <c r="UWL1" s="184"/>
      <c r="UWM1" s="184"/>
      <c r="UWN1" s="184"/>
      <c r="UWO1" s="184"/>
      <c r="UWP1" s="184"/>
      <c r="UWQ1" s="184"/>
      <c r="UWR1" s="184"/>
      <c r="UWS1" s="184"/>
      <c r="UWT1" s="184"/>
      <c r="UWU1" s="184"/>
      <c r="UWV1" s="184"/>
      <c r="UWW1" s="184"/>
      <c r="UWX1" s="184"/>
      <c r="UWY1" s="184"/>
      <c r="UWZ1" s="184"/>
      <c r="UXA1" s="184"/>
      <c r="UXB1" s="184"/>
      <c r="UXC1" s="184"/>
      <c r="UXD1" s="184"/>
      <c r="UXE1" s="184"/>
      <c r="UXF1" s="184"/>
      <c r="UXG1" s="184"/>
      <c r="UXH1" s="184"/>
      <c r="UXI1" s="184"/>
      <c r="UXJ1" s="184"/>
      <c r="UXK1" s="184"/>
      <c r="UXL1" s="184"/>
      <c r="UXM1" s="184"/>
      <c r="UXN1" s="184"/>
      <c r="UXO1" s="184"/>
      <c r="UXP1" s="184"/>
      <c r="UXQ1" s="184"/>
      <c r="UXR1" s="184"/>
      <c r="UXS1" s="184"/>
      <c r="UXT1" s="184"/>
      <c r="UXU1" s="184"/>
      <c r="UXV1" s="184"/>
      <c r="UXW1" s="184"/>
      <c r="UXX1" s="184"/>
      <c r="UXY1" s="184"/>
      <c r="UXZ1" s="184"/>
      <c r="UYA1" s="184"/>
      <c r="UYB1" s="184"/>
      <c r="UYC1" s="184"/>
      <c r="UYD1" s="184"/>
      <c r="UYE1" s="184"/>
      <c r="UYF1" s="184"/>
      <c r="UYG1" s="184"/>
      <c r="UYH1" s="184"/>
      <c r="UYI1" s="184"/>
      <c r="UYJ1" s="184"/>
      <c r="UYK1" s="184"/>
      <c r="UYL1" s="184"/>
      <c r="UYM1" s="184"/>
      <c r="UYN1" s="184"/>
      <c r="UYO1" s="184"/>
      <c r="UYP1" s="184"/>
      <c r="UYQ1" s="184"/>
      <c r="UYR1" s="184"/>
      <c r="UYS1" s="184"/>
      <c r="UYT1" s="184"/>
      <c r="UYU1" s="184"/>
      <c r="UYV1" s="184"/>
      <c r="UYW1" s="184"/>
      <c r="UYX1" s="184"/>
      <c r="UYY1" s="184"/>
      <c r="UYZ1" s="184"/>
      <c r="UZA1" s="184"/>
      <c r="UZB1" s="184"/>
      <c r="UZC1" s="184"/>
      <c r="UZD1" s="184"/>
      <c r="UZE1" s="184"/>
      <c r="UZF1" s="184"/>
      <c r="UZG1" s="184"/>
      <c r="UZH1" s="184"/>
      <c r="UZI1" s="184"/>
      <c r="UZJ1" s="184"/>
      <c r="UZK1" s="184"/>
      <c r="UZL1" s="184"/>
      <c r="UZM1" s="184"/>
      <c r="UZN1" s="184"/>
      <c r="UZO1" s="184"/>
      <c r="UZP1" s="184"/>
      <c r="UZQ1" s="184"/>
      <c r="UZR1" s="184"/>
      <c r="UZS1" s="184"/>
      <c r="UZT1" s="184"/>
      <c r="UZU1" s="184"/>
      <c r="UZV1" s="184"/>
      <c r="UZW1" s="184"/>
      <c r="UZX1" s="184"/>
      <c r="UZY1" s="184"/>
      <c r="UZZ1" s="184"/>
      <c r="VAA1" s="184"/>
      <c r="VAB1" s="184"/>
      <c r="VAC1" s="184"/>
      <c r="VAD1" s="184"/>
      <c r="VAE1" s="184"/>
      <c r="VAF1" s="184"/>
      <c r="VAG1" s="184"/>
      <c r="VAH1" s="184"/>
      <c r="VAI1" s="184"/>
      <c r="VAJ1" s="184"/>
      <c r="VAK1" s="184"/>
      <c r="VAL1" s="184"/>
      <c r="VAM1" s="184"/>
      <c r="VAN1" s="184"/>
      <c r="VAO1" s="184"/>
      <c r="VAP1" s="184"/>
      <c r="VAQ1" s="184"/>
      <c r="VAR1" s="184"/>
      <c r="VAS1" s="184"/>
      <c r="VAT1" s="184"/>
      <c r="VAU1" s="184"/>
      <c r="VAV1" s="184"/>
      <c r="VAW1" s="184"/>
      <c r="VAX1" s="184"/>
      <c r="VAY1" s="184"/>
      <c r="VAZ1" s="184"/>
      <c r="VBA1" s="184"/>
      <c r="VBB1" s="184"/>
      <c r="VBC1" s="184"/>
      <c r="VBD1" s="184"/>
      <c r="VBE1" s="184"/>
      <c r="VBF1" s="184"/>
      <c r="VBG1" s="184"/>
      <c r="VBH1" s="184"/>
      <c r="VBI1" s="184"/>
      <c r="VBJ1" s="184"/>
      <c r="VBK1" s="184"/>
      <c r="VBL1" s="184"/>
      <c r="VBM1" s="184"/>
      <c r="VBN1" s="184"/>
      <c r="VBO1" s="184"/>
      <c r="VBP1" s="184"/>
      <c r="VBQ1" s="184"/>
      <c r="VBR1" s="184"/>
      <c r="VBS1" s="184"/>
      <c r="VBT1" s="184"/>
      <c r="VBU1" s="184"/>
      <c r="VBV1" s="184"/>
      <c r="VBW1" s="184"/>
      <c r="VBX1" s="184"/>
      <c r="VBY1" s="184"/>
      <c r="VBZ1" s="184"/>
      <c r="VCA1" s="184"/>
      <c r="VCB1" s="184"/>
      <c r="VCC1" s="184"/>
      <c r="VCD1" s="184"/>
      <c r="VCE1" s="184"/>
      <c r="VCF1" s="184"/>
      <c r="VCG1" s="184"/>
      <c r="VCH1" s="184"/>
      <c r="VCI1" s="184"/>
      <c r="VCJ1" s="184"/>
      <c r="VCK1" s="184"/>
      <c r="VCL1" s="184"/>
      <c r="VCM1" s="184"/>
      <c r="VCN1" s="184"/>
      <c r="VCO1" s="184"/>
      <c r="VCP1" s="184"/>
      <c r="VCQ1" s="184"/>
      <c r="VCR1" s="184"/>
      <c r="VCS1" s="184"/>
      <c r="VCT1" s="184"/>
      <c r="VCU1" s="184"/>
      <c r="VCV1" s="184"/>
      <c r="VCW1" s="184"/>
      <c r="VCX1" s="184"/>
      <c r="VCY1" s="184"/>
      <c r="VCZ1" s="184"/>
      <c r="VDA1" s="184"/>
      <c r="VDB1" s="184"/>
      <c r="VDC1" s="184"/>
      <c r="VDD1" s="184"/>
      <c r="VDE1" s="184"/>
      <c r="VDF1" s="184"/>
      <c r="VDG1" s="184"/>
      <c r="VDH1" s="184"/>
      <c r="VDI1" s="184"/>
      <c r="VDJ1" s="184"/>
      <c r="VDK1" s="184"/>
      <c r="VDL1" s="184"/>
      <c r="VDM1" s="184"/>
      <c r="VDN1" s="184"/>
      <c r="VDO1" s="184"/>
      <c r="VDP1" s="184"/>
      <c r="VDQ1" s="184"/>
      <c r="VDR1" s="184"/>
      <c r="VDS1" s="184"/>
      <c r="VDT1" s="184"/>
      <c r="VDU1" s="184"/>
      <c r="VDV1" s="184"/>
      <c r="VDW1" s="184"/>
      <c r="VDX1" s="184"/>
      <c r="VDY1" s="184"/>
      <c r="VDZ1" s="184"/>
      <c r="VEA1" s="184"/>
      <c r="VEB1" s="184"/>
      <c r="VEC1" s="184"/>
      <c r="VED1" s="184"/>
      <c r="VEE1" s="184"/>
      <c r="VEF1" s="184"/>
      <c r="VEG1" s="184"/>
      <c r="VEH1" s="184"/>
      <c r="VEI1" s="184"/>
      <c r="VEJ1" s="184"/>
      <c r="VEK1" s="184"/>
      <c r="VEL1" s="184"/>
      <c r="VEM1" s="184"/>
      <c r="VEN1" s="184"/>
      <c r="VEO1" s="184"/>
      <c r="VEP1" s="184"/>
      <c r="VEQ1" s="184"/>
      <c r="VER1" s="184"/>
      <c r="VES1" s="184"/>
      <c r="VET1" s="184"/>
      <c r="VEU1" s="184"/>
      <c r="VEV1" s="184"/>
      <c r="VEW1" s="184"/>
      <c r="VEX1" s="184"/>
      <c r="VEY1" s="184"/>
      <c r="VEZ1" s="184"/>
      <c r="VFA1" s="184"/>
      <c r="VFB1" s="184"/>
      <c r="VFC1" s="184"/>
      <c r="VFD1" s="184"/>
      <c r="VFE1" s="184"/>
      <c r="VFF1" s="184"/>
      <c r="VFG1" s="184"/>
      <c r="VFH1" s="184"/>
      <c r="VFI1" s="184"/>
      <c r="VFJ1" s="184"/>
      <c r="VFK1" s="184"/>
      <c r="VFL1" s="184"/>
      <c r="VFM1" s="184"/>
      <c r="VFN1" s="184"/>
      <c r="VFO1" s="184"/>
      <c r="VFP1" s="184"/>
      <c r="VFQ1" s="184"/>
      <c r="VFR1" s="184"/>
      <c r="VFS1" s="184"/>
      <c r="VFT1" s="184"/>
      <c r="VFU1" s="184"/>
      <c r="VFV1" s="184"/>
      <c r="VFW1" s="184"/>
      <c r="VFX1" s="184"/>
      <c r="VFY1" s="184"/>
      <c r="VFZ1" s="184"/>
      <c r="VGA1" s="184"/>
      <c r="VGB1" s="184"/>
      <c r="VGC1" s="184"/>
      <c r="VGD1" s="184"/>
      <c r="VGE1" s="184"/>
      <c r="VGF1" s="184"/>
      <c r="VGG1" s="184"/>
      <c r="VGH1" s="184"/>
      <c r="VGI1" s="184"/>
      <c r="VGJ1" s="184"/>
      <c r="VGK1" s="184"/>
      <c r="VGL1" s="184"/>
      <c r="VGM1" s="184"/>
      <c r="VGN1" s="184"/>
      <c r="VGO1" s="184"/>
      <c r="VGP1" s="184"/>
      <c r="VGQ1" s="184"/>
      <c r="VGR1" s="184"/>
      <c r="VGS1" s="184"/>
      <c r="VGT1" s="184"/>
      <c r="VGU1" s="184"/>
      <c r="VGV1" s="184"/>
      <c r="VGW1" s="184"/>
      <c r="VGX1" s="184"/>
      <c r="VGY1" s="184"/>
      <c r="VGZ1" s="184"/>
      <c r="VHA1" s="184"/>
      <c r="VHB1" s="184"/>
      <c r="VHC1" s="184"/>
      <c r="VHD1" s="184"/>
      <c r="VHE1" s="184"/>
      <c r="VHF1" s="184"/>
      <c r="VHG1" s="184"/>
      <c r="VHH1" s="184"/>
      <c r="VHI1" s="184"/>
      <c r="VHJ1" s="184"/>
      <c r="VHK1" s="184"/>
      <c r="VHL1" s="184"/>
      <c r="VHM1" s="184"/>
      <c r="VHN1" s="184"/>
      <c r="VHO1" s="184"/>
      <c r="VHP1" s="184"/>
      <c r="VHQ1" s="184"/>
      <c r="VHR1" s="184"/>
      <c r="VHS1" s="184"/>
      <c r="VHT1" s="184"/>
      <c r="VHU1" s="184"/>
      <c r="VHV1" s="184"/>
      <c r="VHW1" s="184"/>
      <c r="VHX1" s="184"/>
      <c r="VHY1" s="184"/>
      <c r="VHZ1" s="184"/>
      <c r="VIA1" s="184"/>
      <c r="VIB1" s="184"/>
      <c r="VIC1" s="184"/>
      <c r="VID1" s="184"/>
      <c r="VIE1" s="184"/>
      <c r="VIF1" s="184"/>
      <c r="VIG1" s="184"/>
      <c r="VIH1" s="184"/>
      <c r="VII1" s="184"/>
      <c r="VIJ1" s="184"/>
      <c r="VIK1" s="184"/>
      <c r="VIL1" s="184"/>
      <c r="VIM1" s="184"/>
      <c r="VIN1" s="184"/>
      <c r="VIO1" s="184"/>
      <c r="VIP1" s="184"/>
      <c r="VIQ1" s="184"/>
      <c r="VIR1" s="184"/>
      <c r="VIS1" s="184"/>
      <c r="VIT1" s="184"/>
      <c r="VIU1" s="184"/>
      <c r="VIV1" s="184"/>
      <c r="VIW1" s="184"/>
      <c r="VIX1" s="184"/>
      <c r="VIY1" s="184"/>
      <c r="VIZ1" s="184"/>
      <c r="VJA1" s="184"/>
      <c r="VJB1" s="184"/>
      <c r="VJC1" s="184"/>
      <c r="VJD1" s="184"/>
      <c r="VJE1" s="184"/>
      <c r="VJF1" s="184"/>
      <c r="VJG1" s="184"/>
      <c r="VJH1" s="184"/>
      <c r="VJI1" s="184"/>
      <c r="VJJ1" s="184"/>
      <c r="VJK1" s="184"/>
      <c r="VJL1" s="184"/>
      <c r="VJM1" s="184"/>
      <c r="VJN1" s="184"/>
      <c r="VJO1" s="184"/>
      <c r="VJP1" s="184"/>
      <c r="VJQ1" s="184"/>
      <c r="VJR1" s="184"/>
      <c r="VJS1" s="184"/>
      <c r="VJT1" s="184"/>
      <c r="VJU1" s="184"/>
      <c r="VJV1" s="184"/>
      <c r="VJW1" s="184"/>
      <c r="VJX1" s="184"/>
      <c r="VJY1" s="184"/>
      <c r="VJZ1" s="184"/>
      <c r="VKA1" s="184"/>
      <c r="VKB1" s="184"/>
      <c r="VKC1" s="184"/>
      <c r="VKD1" s="184"/>
      <c r="VKE1" s="184"/>
      <c r="VKF1" s="184"/>
      <c r="VKG1" s="184"/>
      <c r="VKH1" s="184"/>
      <c r="VKI1" s="184"/>
      <c r="VKJ1" s="184"/>
      <c r="VKK1" s="184"/>
      <c r="VKL1" s="184"/>
      <c r="VKM1" s="184"/>
      <c r="VKN1" s="184"/>
      <c r="VKO1" s="184"/>
      <c r="VKP1" s="184"/>
      <c r="VKQ1" s="184"/>
      <c r="VKR1" s="184"/>
      <c r="VKS1" s="184"/>
      <c r="VKT1" s="184"/>
      <c r="VKU1" s="184"/>
      <c r="VKV1" s="184"/>
      <c r="VKW1" s="184"/>
      <c r="VKX1" s="184"/>
      <c r="VKY1" s="184"/>
      <c r="VKZ1" s="184"/>
      <c r="VLA1" s="184"/>
      <c r="VLB1" s="184"/>
      <c r="VLC1" s="184"/>
      <c r="VLD1" s="184"/>
      <c r="VLE1" s="184"/>
      <c r="VLF1" s="184"/>
      <c r="VLG1" s="184"/>
      <c r="VLH1" s="184"/>
      <c r="VLI1" s="184"/>
      <c r="VLJ1" s="184"/>
      <c r="VLK1" s="184"/>
      <c r="VLL1" s="184"/>
      <c r="VLM1" s="184"/>
      <c r="VLN1" s="184"/>
      <c r="VLO1" s="184"/>
      <c r="VLP1" s="184"/>
      <c r="VLQ1" s="184"/>
      <c r="VLR1" s="184"/>
      <c r="VLS1" s="184"/>
      <c r="VLT1" s="184"/>
      <c r="VLU1" s="184"/>
      <c r="VLV1" s="184"/>
      <c r="VLW1" s="184"/>
      <c r="VLX1" s="184"/>
      <c r="VLY1" s="184"/>
      <c r="VLZ1" s="184"/>
      <c r="VMA1" s="184"/>
      <c r="VMB1" s="184"/>
      <c r="VMC1" s="184"/>
      <c r="VMD1" s="184"/>
      <c r="VME1" s="184"/>
      <c r="VMF1" s="184"/>
      <c r="VMG1" s="184"/>
      <c r="VMH1" s="184"/>
      <c r="VMI1" s="184"/>
      <c r="VMJ1" s="184"/>
      <c r="VMK1" s="184"/>
      <c r="VML1" s="184"/>
      <c r="VMM1" s="184"/>
      <c r="VMN1" s="184"/>
      <c r="VMO1" s="184"/>
      <c r="VMP1" s="184"/>
      <c r="VMQ1" s="184"/>
      <c r="VMR1" s="184"/>
      <c r="VMS1" s="184"/>
      <c r="VMT1" s="184"/>
      <c r="VMU1" s="184"/>
      <c r="VMV1" s="184"/>
      <c r="VMW1" s="184"/>
      <c r="VMX1" s="184"/>
      <c r="VMY1" s="184"/>
      <c r="VMZ1" s="184"/>
      <c r="VNA1" s="184"/>
      <c r="VNB1" s="184"/>
      <c r="VNC1" s="184"/>
      <c r="VND1" s="184"/>
      <c r="VNE1" s="184"/>
      <c r="VNF1" s="184"/>
      <c r="VNG1" s="184"/>
      <c r="VNH1" s="184"/>
      <c r="VNI1" s="184"/>
      <c r="VNJ1" s="184"/>
      <c r="VNK1" s="184"/>
      <c r="VNL1" s="184"/>
      <c r="VNM1" s="184"/>
      <c r="VNN1" s="184"/>
      <c r="VNO1" s="184"/>
      <c r="VNP1" s="184"/>
      <c r="VNQ1" s="184"/>
      <c r="VNR1" s="184"/>
      <c r="VNS1" s="184"/>
      <c r="VNT1" s="184"/>
      <c r="VNU1" s="184"/>
      <c r="VNV1" s="184"/>
      <c r="VNW1" s="184"/>
      <c r="VNX1" s="184"/>
      <c r="VNY1" s="184"/>
      <c r="VNZ1" s="184"/>
      <c r="VOA1" s="184"/>
      <c r="VOB1" s="184"/>
      <c r="VOC1" s="184"/>
      <c r="VOD1" s="184"/>
      <c r="VOE1" s="184"/>
      <c r="VOF1" s="184"/>
      <c r="VOG1" s="184"/>
      <c r="VOH1" s="184"/>
      <c r="VOI1" s="184"/>
      <c r="VOJ1" s="184"/>
      <c r="VOK1" s="184"/>
      <c r="VOL1" s="184"/>
      <c r="VOM1" s="184"/>
      <c r="VON1" s="184"/>
      <c r="VOO1" s="184"/>
      <c r="VOP1" s="184"/>
      <c r="VOQ1" s="184"/>
      <c r="VOR1" s="184"/>
      <c r="VOS1" s="184"/>
      <c r="VOT1" s="184"/>
      <c r="VOU1" s="184"/>
      <c r="VOV1" s="184"/>
      <c r="VOW1" s="184"/>
      <c r="VOX1" s="184"/>
      <c r="VOY1" s="184"/>
      <c r="VOZ1" s="184"/>
      <c r="VPA1" s="184"/>
      <c r="VPB1" s="184"/>
      <c r="VPC1" s="184"/>
      <c r="VPD1" s="184"/>
      <c r="VPE1" s="184"/>
      <c r="VPF1" s="184"/>
      <c r="VPG1" s="184"/>
      <c r="VPH1" s="184"/>
      <c r="VPI1" s="184"/>
      <c r="VPJ1" s="184"/>
      <c r="VPK1" s="184"/>
      <c r="VPL1" s="184"/>
      <c r="VPM1" s="184"/>
      <c r="VPN1" s="184"/>
      <c r="VPO1" s="184"/>
      <c r="VPP1" s="184"/>
      <c r="VPQ1" s="184"/>
      <c r="VPR1" s="184"/>
      <c r="VPS1" s="184"/>
      <c r="VPT1" s="184"/>
      <c r="VPU1" s="184"/>
      <c r="VPV1" s="184"/>
      <c r="VPW1" s="184"/>
      <c r="VPX1" s="184"/>
      <c r="VPY1" s="184"/>
      <c r="VPZ1" s="184"/>
      <c r="VQA1" s="184"/>
      <c r="VQB1" s="184"/>
      <c r="VQC1" s="184"/>
      <c r="VQD1" s="184"/>
      <c r="VQE1" s="184"/>
      <c r="VQF1" s="184"/>
      <c r="VQG1" s="184"/>
      <c r="VQH1" s="184"/>
      <c r="VQI1" s="184"/>
      <c r="VQJ1" s="184"/>
      <c r="VQK1" s="184"/>
      <c r="VQL1" s="184"/>
      <c r="VQM1" s="184"/>
      <c r="VQN1" s="184"/>
      <c r="VQO1" s="184"/>
      <c r="VQP1" s="184"/>
      <c r="VQQ1" s="184"/>
      <c r="VQR1" s="184"/>
      <c r="VQS1" s="184"/>
      <c r="VQT1" s="184"/>
      <c r="VQU1" s="184"/>
      <c r="VQV1" s="184"/>
      <c r="VQW1" s="184"/>
      <c r="VQX1" s="184"/>
      <c r="VQY1" s="184"/>
      <c r="VQZ1" s="184"/>
      <c r="VRA1" s="184"/>
      <c r="VRB1" s="184"/>
      <c r="VRC1" s="184"/>
      <c r="VRD1" s="184"/>
      <c r="VRE1" s="184"/>
      <c r="VRF1" s="184"/>
      <c r="VRG1" s="184"/>
      <c r="VRH1" s="184"/>
      <c r="VRI1" s="184"/>
      <c r="VRJ1" s="184"/>
      <c r="VRK1" s="184"/>
      <c r="VRL1" s="184"/>
      <c r="VRM1" s="184"/>
      <c r="VRN1" s="184"/>
      <c r="VRO1" s="184"/>
      <c r="VRP1" s="184"/>
      <c r="VRQ1" s="184"/>
      <c r="VRR1" s="184"/>
      <c r="VRS1" s="184"/>
      <c r="VRT1" s="184"/>
      <c r="VRU1" s="184"/>
      <c r="VRV1" s="184"/>
      <c r="VRW1" s="184"/>
      <c r="VRX1" s="184"/>
      <c r="VRY1" s="184"/>
      <c r="VRZ1" s="184"/>
      <c r="VSA1" s="184"/>
      <c r="VSB1" s="184"/>
      <c r="VSC1" s="184"/>
      <c r="VSD1" s="184"/>
      <c r="VSE1" s="184"/>
      <c r="VSF1" s="184"/>
      <c r="VSG1" s="184"/>
      <c r="VSH1" s="184"/>
      <c r="VSI1" s="184"/>
      <c r="VSJ1" s="184"/>
      <c r="VSK1" s="184"/>
      <c r="VSL1" s="184"/>
      <c r="VSM1" s="184"/>
      <c r="VSN1" s="184"/>
      <c r="VSO1" s="184"/>
      <c r="VSP1" s="184"/>
      <c r="VSQ1" s="184"/>
      <c r="VSR1" s="184"/>
      <c r="VSS1" s="184"/>
      <c r="VST1" s="184"/>
      <c r="VSU1" s="184"/>
      <c r="VSV1" s="184"/>
      <c r="VSW1" s="184"/>
      <c r="VSX1" s="184"/>
      <c r="VSY1" s="184"/>
      <c r="VSZ1" s="184"/>
      <c r="VTA1" s="184"/>
      <c r="VTB1" s="184"/>
      <c r="VTC1" s="184"/>
      <c r="VTD1" s="184"/>
      <c r="VTE1" s="184"/>
      <c r="VTF1" s="184"/>
      <c r="VTG1" s="184"/>
      <c r="VTH1" s="184"/>
      <c r="VTI1" s="184"/>
      <c r="VTJ1" s="184"/>
      <c r="VTK1" s="184"/>
      <c r="VTL1" s="184"/>
      <c r="VTM1" s="184"/>
      <c r="VTN1" s="184"/>
      <c r="VTO1" s="184"/>
      <c r="VTP1" s="184"/>
      <c r="VTQ1" s="184"/>
      <c r="VTR1" s="184"/>
      <c r="VTS1" s="184"/>
      <c r="VTT1" s="184"/>
      <c r="VTU1" s="184"/>
      <c r="VTV1" s="184"/>
      <c r="VTW1" s="184"/>
      <c r="VTX1" s="184"/>
      <c r="VTY1" s="184"/>
      <c r="VTZ1" s="184"/>
      <c r="VUA1" s="184"/>
      <c r="VUB1" s="184"/>
      <c r="VUC1" s="184"/>
      <c r="VUD1" s="184"/>
      <c r="VUE1" s="184"/>
      <c r="VUF1" s="184"/>
      <c r="VUG1" s="184"/>
      <c r="VUH1" s="184"/>
      <c r="VUI1" s="184"/>
      <c r="VUJ1" s="184"/>
      <c r="VUK1" s="184"/>
      <c r="VUL1" s="184"/>
      <c r="VUM1" s="184"/>
      <c r="VUN1" s="184"/>
      <c r="VUO1" s="184"/>
      <c r="VUP1" s="184"/>
      <c r="VUQ1" s="184"/>
      <c r="VUR1" s="184"/>
      <c r="VUS1" s="184"/>
      <c r="VUT1" s="184"/>
      <c r="VUU1" s="184"/>
      <c r="VUV1" s="184"/>
      <c r="VUW1" s="184"/>
      <c r="VUX1" s="184"/>
      <c r="VUY1" s="184"/>
      <c r="VUZ1" s="184"/>
      <c r="VVA1" s="184"/>
      <c r="VVB1" s="184"/>
      <c r="VVC1" s="184"/>
      <c r="VVD1" s="184"/>
      <c r="VVE1" s="184"/>
      <c r="VVF1" s="184"/>
      <c r="VVG1" s="184"/>
      <c r="VVH1" s="184"/>
      <c r="VVI1" s="184"/>
      <c r="VVJ1" s="184"/>
      <c r="VVK1" s="184"/>
      <c r="VVL1" s="184"/>
      <c r="VVM1" s="184"/>
      <c r="VVN1" s="184"/>
      <c r="VVO1" s="184"/>
      <c r="VVP1" s="184"/>
      <c r="VVQ1" s="184"/>
      <c r="VVR1" s="184"/>
      <c r="VVS1" s="184"/>
      <c r="VVT1" s="184"/>
      <c r="VVU1" s="184"/>
      <c r="VVV1" s="184"/>
      <c r="VVW1" s="184"/>
      <c r="VVX1" s="184"/>
      <c r="VVY1" s="184"/>
      <c r="VVZ1" s="184"/>
      <c r="VWA1" s="184"/>
      <c r="VWB1" s="184"/>
      <c r="VWC1" s="184"/>
      <c r="VWD1" s="184"/>
      <c r="VWE1" s="184"/>
      <c r="VWF1" s="184"/>
      <c r="VWG1" s="184"/>
      <c r="VWH1" s="184"/>
      <c r="VWI1" s="184"/>
      <c r="VWJ1" s="184"/>
      <c r="VWK1" s="184"/>
      <c r="VWL1" s="184"/>
      <c r="VWM1" s="184"/>
      <c r="VWN1" s="184"/>
      <c r="VWO1" s="184"/>
      <c r="VWP1" s="184"/>
      <c r="VWQ1" s="184"/>
      <c r="VWR1" s="184"/>
      <c r="VWS1" s="184"/>
      <c r="VWT1" s="184"/>
      <c r="VWU1" s="184"/>
      <c r="VWV1" s="184"/>
      <c r="VWW1" s="184"/>
      <c r="VWX1" s="184"/>
      <c r="VWY1" s="184"/>
      <c r="VWZ1" s="184"/>
      <c r="VXA1" s="184"/>
      <c r="VXB1" s="184"/>
      <c r="VXC1" s="184"/>
      <c r="VXD1" s="184"/>
      <c r="VXE1" s="184"/>
      <c r="VXF1" s="184"/>
      <c r="VXG1" s="184"/>
      <c r="VXH1" s="184"/>
      <c r="VXI1" s="184"/>
      <c r="VXJ1" s="184"/>
      <c r="VXK1" s="184"/>
      <c r="VXL1" s="184"/>
      <c r="VXM1" s="184"/>
      <c r="VXN1" s="184"/>
      <c r="VXO1" s="184"/>
      <c r="VXP1" s="184"/>
      <c r="VXQ1" s="184"/>
      <c r="VXR1" s="184"/>
      <c r="VXS1" s="184"/>
      <c r="VXT1" s="184"/>
      <c r="VXU1" s="184"/>
      <c r="VXV1" s="184"/>
      <c r="VXW1" s="184"/>
      <c r="VXX1" s="184"/>
      <c r="VXY1" s="184"/>
      <c r="VXZ1" s="184"/>
      <c r="VYA1" s="184"/>
      <c r="VYB1" s="184"/>
      <c r="VYC1" s="184"/>
      <c r="VYD1" s="184"/>
      <c r="VYE1" s="184"/>
      <c r="VYF1" s="184"/>
      <c r="VYG1" s="184"/>
      <c r="VYH1" s="184"/>
      <c r="VYI1" s="184"/>
      <c r="VYJ1" s="184"/>
      <c r="VYK1" s="184"/>
      <c r="VYL1" s="184"/>
      <c r="VYM1" s="184"/>
      <c r="VYN1" s="184"/>
      <c r="VYO1" s="184"/>
      <c r="VYP1" s="184"/>
      <c r="VYQ1" s="184"/>
      <c r="VYR1" s="184"/>
      <c r="VYS1" s="184"/>
      <c r="VYT1" s="184"/>
      <c r="VYU1" s="184"/>
      <c r="VYV1" s="184"/>
      <c r="VYW1" s="184"/>
      <c r="VYX1" s="184"/>
      <c r="VYY1" s="184"/>
      <c r="VYZ1" s="184"/>
      <c r="VZA1" s="184"/>
      <c r="VZB1" s="184"/>
      <c r="VZC1" s="184"/>
      <c r="VZD1" s="184"/>
      <c r="VZE1" s="184"/>
      <c r="VZF1" s="184"/>
      <c r="VZG1" s="184"/>
      <c r="VZH1" s="184"/>
      <c r="VZI1" s="184"/>
      <c r="VZJ1" s="184"/>
      <c r="VZK1" s="184"/>
      <c r="VZL1" s="184"/>
      <c r="VZM1" s="184"/>
      <c r="VZN1" s="184"/>
      <c r="VZO1" s="184"/>
      <c r="VZP1" s="184"/>
      <c r="VZQ1" s="184"/>
      <c r="VZR1" s="184"/>
      <c r="VZS1" s="184"/>
      <c r="VZT1" s="184"/>
      <c r="VZU1" s="184"/>
      <c r="VZV1" s="184"/>
      <c r="VZW1" s="184"/>
      <c r="VZX1" s="184"/>
      <c r="VZY1" s="184"/>
      <c r="VZZ1" s="184"/>
      <c r="WAA1" s="184"/>
      <c r="WAB1" s="184"/>
      <c r="WAC1" s="184"/>
      <c r="WAD1" s="184"/>
      <c r="WAE1" s="184"/>
      <c r="WAF1" s="184"/>
      <c r="WAG1" s="184"/>
      <c r="WAH1" s="184"/>
      <c r="WAI1" s="184"/>
      <c r="WAJ1" s="184"/>
      <c r="WAK1" s="184"/>
      <c r="WAL1" s="184"/>
      <c r="WAM1" s="184"/>
      <c r="WAN1" s="184"/>
      <c r="WAO1" s="184"/>
      <c r="WAP1" s="184"/>
      <c r="WAQ1" s="184"/>
      <c r="WAR1" s="184"/>
      <c r="WAS1" s="184"/>
      <c r="WAT1" s="184"/>
      <c r="WAU1" s="184"/>
      <c r="WAV1" s="184"/>
      <c r="WAW1" s="184"/>
      <c r="WAX1" s="184"/>
      <c r="WAY1" s="184"/>
      <c r="WAZ1" s="184"/>
      <c r="WBA1" s="184"/>
      <c r="WBB1" s="184"/>
      <c r="WBC1" s="184"/>
      <c r="WBD1" s="184"/>
      <c r="WBE1" s="184"/>
      <c r="WBF1" s="184"/>
      <c r="WBG1" s="184"/>
      <c r="WBH1" s="184"/>
      <c r="WBI1" s="184"/>
      <c r="WBJ1" s="184"/>
      <c r="WBK1" s="184"/>
      <c r="WBL1" s="184"/>
      <c r="WBM1" s="184"/>
      <c r="WBN1" s="184"/>
      <c r="WBO1" s="184"/>
      <c r="WBP1" s="184"/>
      <c r="WBQ1" s="184"/>
      <c r="WBR1" s="184"/>
      <c r="WBS1" s="184"/>
      <c r="WBT1" s="184"/>
      <c r="WBU1" s="184"/>
      <c r="WBV1" s="184"/>
      <c r="WBW1" s="184"/>
      <c r="WBX1" s="184"/>
      <c r="WBY1" s="184"/>
      <c r="WBZ1" s="184"/>
      <c r="WCA1" s="184"/>
      <c r="WCB1" s="184"/>
      <c r="WCC1" s="184"/>
      <c r="WCD1" s="184"/>
      <c r="WCE1" s="184"/>
      <c r="WCF1" s="184"/>
      <c r="WCG1" s="184"/>
      <c r="WCH1" s="184"/>
      <c r="WCI1" s="184"/>
      <c r="WCJ1" s="184"/>
      <c r="WCK1" s="184"/>
      <c r="WCL1" s="184"/>
      <c r="WCM1" s="184"/>
      <c r="WCN1" s="184"/>
      <c r="WCO1" s="184"/>
      <c r="WCP1" s="184"/>
      <c r="WCQ1" s="184"/>
      <c r="WCR1" s="184"/>
      <c r="WCS1" s="184"/>
      <c r="WCT1" s="184"/>
      <c r="WCU1" s="184"/>
      <c r="WCV1" s="184"/>
      <c r="WCW1" s="184"/>
      <c r="WCX1" s="184"/>
      <c r="WCY1" s="184"/>
      <c r="WCZ1" s="184"/>
      <c r="WDA1" s="184"/>
      <c r="WDB1" s="184"/>
      <c r="WDC1" s="184"/>
      <c r="WDD1" s="184"/>
      <c r="WDE1" s="184"/>
      <c r="WDF1" s="184"/>
      <c r="WDG1" s="184"/>
      <c r="WDH1" s="184"/>
      <c r="WDI1" s="184"/>
      <c r="WDJ1" s="184"/>
      <c r="WDK1" s="184"/>
      <c r="WDL1" s="184"/>
      <c r="WDM1" s="184"/>
      <c r="WDN1" s="184"/>
      <c r="WDO1" s="184"/>
      <c r="WDP1" s="184"/>
      <c r="WDQ1" s="184"/>
      <c r="WDR1" s="184"/>
      <c r="WDS1" s="184"/>
      <c r="WDT1" s="184"/>
      <c r="WDU1" s="184"/>
      <c r="WDV1" s="184"/>
      <c r="WDW1" s="184"/>
      <c r="WDX1" s="184"/>
      <c r="WDY1" s="184"/>
      <c r="WDZ1" s="184"/>
      <c r="WEA1" s="184"/>
      <c r="WEB1" s="184"/>
      <c r="WEC1" s="184"/>
      <c r="WED1" s="184"/>
      <c r="WEE1" s="184"/>
      <c r="WEF1" s="184"/>
      <c r="WEG1" s="184"/>
      <c r="WEH1" s="184"/>
      <c r="WEI1" s="184"/>
      <c r="WEJ1" s="184"/>
      <c r="WEK1" s="184"/>
      <c r="WEL1" s="184"/>
      <c r="WEM1" s="184"/>
      <c r="WEN1" s="184"/>
      <c r="WEO1" s="184"/>
      <c r="WEP1" s="184"/>
      <c r="WEQ1" s="184"/>
      <c r="WER1" s="184"/>
      <c r="WES1" s="184"/>
      <c r="WET1" s="184"/>
      <c r="WEU1" s="184"/>
      <c r="WEV1" s="184"/>
      <c r="WEW1" s="184"/>
      <c r="WEX1" s="184"/>
      <c r="WEY1" s="184"/>
      <c r="WEZ1" s="184"/>
      <c r="WFA1" s="184"/>
      <c r="WFB1" s="184"/>
      <c r="WFC1" s="184"/>
      <c r="WFD1" s="184"/>
      <c r="WFE1" s="184"/>
      <c r="WFF1" s="184"/>
      <c r="WFG1" s="184"/>
      <c r="WFH1" s="184"/>
      <c r="WFI1" s="184"/>
      <c r="WFJ1" s="184"/>
      <c r="WFK1" s="184"/>
      <c r="WFL1" s="184"/>
      <c r="WFM1" s="184"/>
      <c r="WFN1" s="184"/>
      <c r="WFO1" s="184"/>
      <c r="WFP1" s="184"/>
      <c r="WFQ1" s="184"/>
      <c r="WFR1" s="184"/>
      <c r="WFS1" s="184"/>
      <c r="WFT1" s="184"/>
      <c r="WFU1" s="184"/>
      <c r="WFV1" s="184"/>
      <c r="WFW1" s="184"/>
      <c r="WFX1" s="184"/>
      <c r="WFY1" s="184"/>
      <c r="WFZ1" s="184"/>
      <c r="WGA1" s="184"/>
      <c r="WGB1" s="184"/>
      <c r="WGC1" s="184"/>
      <c r="WGD1" s="184"/>
      <c r="WGE1" s="184"/>
      <c r="WGF1" s="184"/>
      <c r="WGG1" s="184"/>
      <c r="WGH1" s="184"/>
      <c r="WGI1" s="184"/>
      <c r="WGJ1" s="184"/>
      <c r="WGK1" s="184"/>
      <c r="WGL1" s="184"/>
      <c r="WGM1" s="184"/>
      <c r="WGN1" s="184"/>
      <c r="WGO1" s="184"/>
      <c r="WGP1" s="184"/>
      <c r="WGQ1" s="184"/>
      <c r="WGR1" s="184"/>
      <c r="WGS1" s="184"/>
      <c r="WGT1" s="184"/>
      <c r="WGU1" s="184"/>
      <c r="WGV1" s="184"/>
      <c r="WGW1" s="184"/>
      <c r="WGX1" s="184"/>
      <c r="WGY1" s="184"/>
      <c r="WGZ1" s="184"/>
      <c r="WHA1" s="184"/>
      <c r="WHB1" s="184"/>
      <c r="WHC1" s="184"/>
      <c r="WHD1" s="184"/>
      <c r="WHE1" s="184"/>
      <c r="WHF1" s="184"/>
      <c r="WHG1" s="184"/>
      <c r="WHH1" s="184"/>
      <c r="WHI1" s="184"/>
      <c r="WHJ1" s="184"/>
      <c r="WHK1" s="184"/>
      <c r="WHL1" s="184"/>
      <c r="WHM1" s="184"/>
      <c r="WHN1" s="184"/>
      <c r="WHO1" s="184"/>
      <c r="WHP1" s="184"/>
      <c r="WHQ1" s="184"/>
      <c r="WHR1" s="184"/>
      <c r="WHS1" s="184"/>
      <c r="WHT1" s="184"/>
      <c r="WHU1" s="184"/>
      <c r="WHV1" s="184"/>
      <c r="WHW1" s="184"/>
      <c r="WHX1" s="184"/>
      <c r="WHY1" s="184"/>
      <c r="WHZ1" s="184"/>
      <c r="WIA1" s="184"/>
      <c r="WIB1" s="184"/>
      <c r="WIC1" s="184"/>
      <c r="WID1" s="184"/>
      <c r="WIE1" s="184"/>
      <c r="WIF1" s="184"/>
      <c r="WIG1" s="184"/>
      <c r="WIH1" s="184"/>
      <c r="WII1" s="184"/>
      <c r="WIJ1" s="184"/>
      <c r="WIK1" s="184"/>
      <c r="WIL1" s="184"/>
      <c r="WIM1" s="184"/>
      <c r="WIN1" s="184"/>
      <c r="WIO1" s="184"/>
      <c r="WIP1" s="184"/>
      <c r="WIQ1" s="184"/>
      <c r="WIR1" s="184"/>
      <c r="WIS1" s="184"/>
      <c r="WIT1" s="184"/>
      <c r="WIU1" s="184"/>
      <c r="WIV1" s="184"/>
      <c r="WIW1" s="184"/>
      <c r="WIX1" s="184"/>
      <c r="WIY1" s="184"/>
      <c r="WIZ1" s="184"/>
      <c r="WJA1" s="184"/>
      <c r="WJB1" s="184"/>
      <c r="WJC1" s="184"/>
      <c r="WJD1" s="184"/>
      <c r="WJE1" s="184"/>
      <c r="WJF1" s="184"/>
      <c r="WJG1" s="184"/>
      <c r="WJH1" s="184"/>
      <c r="WJI1" s="184"/>
      <c r="WJJ1" s="184"/>
      <c r="WJK1" s="184"/>
      <c r="WJL1" s="184"/>
      <c r="WJM1" s="184"/>
      <c r="WJN1" s="184"/>
      <c r="WJO1" s="184"/>
      <c r="WJP1" s="184"/>
      <c r="WJQ1" s="184"/>
      <c r="WJR1" s="184"/>
      <c r="WJS1" s="184"/>
      <c r="WJT1" s="184"/>
      <c r="WJU1" s="184"/>
      <c r="WJV1" s="184"/>
      <c r="WJW1" s="184"/>
      <c r="WJX1" s="184"/>
      <c r="WJY1" s="184"/>
      <c r="WJZ1" s="184"/>
      <c r="WKA1" s="184"/>
      <c r="WKB1" s="184"/>
      <c r="WKC1" s="184"/>
      <c r="WKD1" s="184"/>
      <c r="WKE1" s="184"/>
      <c r="WKF1" s="184"/>
      <c r="WKG1" s="184"/>
      <c r="WKH1" s="184"/>
      <c r="WKI1" s="184"/>
      <c r="WKJ1" s="184"/>
      <c r="WKK1" s="184"/>
      <c r="WKL1" s="184"/>
      <c r="WKM1" s="184"/>
      <c r="WKN1" s="184"/>
      <c r="WKO1" s="184"/>
      <c r="WKP1" s="184"/>
      <c r="WKQ1" s="184"/>
      <c r="WKR1" s="184"/>
      <c r="WKS1" s="184"/>
      <c r="WKT1" s="184"/>
      <c r="WKU1" s="184"/>
      <c r="WKV1" s="184"/>
      <c r="WKW1" s="184"/>
      <c r="WKX1" s="184"/>
      <c r="WKY1" s="184"/>
      <c r="WKZ1" s="184"/>
      <c r="WLA1" s="184"/>
      <c r="WLB1" s="184"/>
      <c r="WLC1" s="184"/>
      <c r="WLD1" s="184"/>
      <c r="WLE1" s="184"/>
      <c r="WLF1" s="184"/>
      <c r="WLG1" s="184"/>
      <c r="WLH1" s="184"/>
      <c r="WLI1" s="184"/>
      <c r="WLJ1" s="184"/>
      <c r="WLK1" s="184"/>
      <c r="WLL1" s="184"/>
      <c r="WLM1" s="184"/>
      <c r="WLN1" s="184"/>
      <c r="WLO1" s="184"/>
      <c r="WLP1" s="184"/>
      <c r="WLQ1" s="184"/>
      <c r="WLR1" s="184"/>
      <c r="WLS1" s="184"/>
      <c r="WLT1" s="184"/>
      <c r="WLU1" s="184"/>
      <c r="WLV1" s="184"/>
      <c r="WLW1" s="184"/>
      <c r="WLX1" s="184"/>
      <c r="WLY1" s="184"/>
      <c r="WLZ1" s="184"/>
      <c r="WMA1" s="184"/>
      <c r="WMB1" s="184"/>
      <c r="WMC1" s="184"/>
      <c r="WMD1" s="184"/>
      <c r="WME1" s="184"/>
      <c r="WMF1" s="184"/>
      <c r="WMG1" s="184"/>
      <c r="WMH1" s="184"/>
      <c r="WMI1" s="184"/>
      <c r="WMJ1" s="184"/>
      <c r="WMK1" s="184"/>
      <c r="WML1" s="184"/>
      <c r="WMM1" s="184"/>
      <c r="WMN1" s="184"/>
      <c r="WMO1" s="184"/>
      <c r="WMP1" s="184"/>
      <c r="WMQ1" s="184"/>
      <c r="WMR1" s="184"/>
      <c r="WMS1" s="184"/>
      <c r="WMT1" s="184"/>
      <c r="WMU1" s="184"/>
      <c r="WMV1" s="184"/>
      <c r="WMW1" s="184"/>
      <c r="WMX1" s="184"/>
      <c r="WMY1" s="184"/>
      <c r="WMZ1" s="184"/>
      <c r="WNA1" s="184"/>
      <c r="WNB1" s="184"/>
      <c r="WNC1" s="184"/>
      <c r="WND1" s="184"/>
      <c r="WNE1" s="184"/>
      <c r="WNF1" s="184"/>
      <c r="WNG1" s="184"/>
      <c r="WNH1" s="184"/>
      <c r="WNI1" s="184"/>
      <c r="WNJ1" s="184"/>
      <c r="WNK1" s="184"/>
      <c r="WNL1" s="184"/>
      <c r="WNM1" s="184"/>
      <c r="WNN1" s="184"/>
      <c r="WNO1" s="184"/>
      <c r="WNP1" s="184"/>
      <c r="WNQ1" s="184"/>
      <c r="WNR1" s="184"/>
      <c r="WNS1" s="184"/>
      <c r="WNT1" s="184"/>
      <c r="WNU1" s="184"/>
      <c r="WNV1" s="184"/>
      <c r="WNW1" s="184"/>
      <c r="WNX1" s="184"/>
      <c r="WNY1" s="184"/>
      <c r="WNZ1" s="184"/>
      <c r="WOA1" s="184"/>
      <c r="WOB1" s="184"/>
      <c r="WOC1" s="184"/>
      <c r="WOD1" s="184"/>
      <c r="WOE1" s="184"/>
      <c r="WOF1" s="184"/>
      <c r="WOG1" s="184"/>
      <c r="WOH1" s="184"/>
      <c r="WOI1" s="184"/>
      <c r="WOJ1" s="184"/>
      <c r="WOK1" s="184"/>
      <c r="WOL1" s="184"/>
      <c r="WOM1" s="184"/>
      <c r="WON1" s="184"/>
      <c r="WOO1" s="184"/>
      <c r="WOP1" s="184"/>
      <c r="WOQ1" s="184"/>
      <c r="WOR1" s="184"/>
      <c r="WOS1" s="184"/>
      <c r="WOT1" s="184"/>
      <c r="WOU1" s="184"/>
      <c r="WOV1" s="184"/>
      <c r="WOW1" s="184"/>
      <c r="WOX1" s="184"/>
      <c r="WOY1" s="184"/>
      <c r="WOZ1" s="184"/>
      <c r="WPA1" s="184"/>
      <c r="WPB1" s="184"/>
      <c r="WPC1" s="184"/>
      <c r="WPD1" s="184"/>
      <c r="WPE1" s="184"/>
      <c r="WPF1" s="184"/>
      <c r="WPG1" s="184"/>
      <c r="WPH1" s="184"/>
      <c r="WPI1" s="184"/>
      <c r="WPJ1" s="184"/>
      <c r="WPK1" s="184"/>
      <c r="WPL1" s="184"/>
      <c r="WPM1" s="184"/>
      <c r="WPN1" s="184"/>
      <c r="WPO1" s="184"/>
      <c r="WPP1" s="184"/>
      <c r="WPQ1" s="184"/>
      <c r="WPR1" s="184"/>
      <c r="WPS1" s="184"/>
      <c r="WPT1" s="184"/>
      <c r="WPU1" s="184"/>
      <c r="WPV1" s="184"/>
      <c r="WPW1" s="184"/>
      <c r="WPX1" s="184"/>
      <c r="WPY1" s="184"/>
      <c r="WPZ1" s="184"/>
      <c r="WQA1" s="184"/>
      <c r="WQB1" s="184"/>
      <c r="WQC1" s="184"/>
      <c r="WQD1" s="184"/>
      <c r="WQE1" s="184"/>
      <c r="WQF1" s="184"/>
      <c r="WQG1" s="184"/>
      <c r="WQH1" s="184"/>
      <c r="WQI1" s="184"/>
      <c r="WQJ1" s="184"/>
      <c r="WQK1" s="184"/>
      <c r="WQL1" s="184"/>
      <c r="WQM1" s="184"/>
      <c r="WQN1" s="184"/>
      <c r="WQO1" s="184"/>
      <c r="WQP1" s="184"/>
      <c r="WQQ1" s="184"/>
      <c r="WQR1" s="184"/>
      <c r="WQS1" s="184"/>
      <c r="WQT1" s="184"/>
      <c r="WQU1" s="184"/>
      <c r="WQV1" s="184"/>
      <c r="WQW1" s="184"/>
      <c r="WQX1" s="184"/>
      <c r="WQY1" s="184"/>
      <c r="WQZ1" s="184"/>
      <c r="WRA1" s="184"/>
      <c r="WRB1" s="184"/>
      <c r="WRC1" s="184"/>
      <c r="WRD1" s="184"/>
      <c r="WRE1" s="184"/>
      <c r="WRF1" s="184"/>
      <c r="WRG1" s="184"/>
      <c r="WRH1" s="184"/>
      <c r="WRI1" s="184"/>
      <c r="WRJ1" s="184"/>
      <c r="WRK1" s="184"/>
      <c r="WRL1" s="184"/>
      <c r="WRM1" s="184"/>
      <c r="WRN1" s="184"/>
      <c r="WRO1" s="184"/>
      <c r="WRP1" s="184"/>
      <c r="WRQ1" s="184"/>
      <c r="WRR1" s="184"/>
      <c r="WRS1" s="184"/>
      <c r="WRT1" s="184"/>
      <c r="WRU1" s="184"/>
      <c r="WRV1" s="184"/>
      <c r="WRW1" s="184"/>
      <c r="WRX1" s="184"/>
      <c r="WRY1" s="184"/>
      <c r="WRZ1" s="184"/>
      <c r="WSA1" s="184"/>
      <c r="WSB1" s="184"/>
      <c r="WSC1" s="184"/>
      <c r="WSD1" s="184"/>
      <c r="WSE1" s="184"/>
      <c r="WSF1" s="184"/>
      <c r="WSG1" s="184"/>
      <c r="WSH1" s="184"/>
      <c r="WSI1" s="184"/>
      <c r="WSJ1" s="184"/>
      <c r="WSK1" s="184"/>
      <c r="WSL1" s="184"/>
      <c r="WSM1" s="184"/>
      <c r="WSN1" s="184"/>
      <c r="WSO1" s="184"/>
      <c r="WSP1" s="184"/>
      <c r="WSQ1" s="184"/>
      <c r="WSR1" s="184"/>
      <c r="WSS1" s="184"/>
      <c r="WST1" s="184"/>
      <c r="WSU1" s="184"/>
      <c r="WSV1" s="184"/>
      <c r="WSW1" s="184"/>
      <c r="WSX1" s="184"/>
      <c r="WSY1" s="184"/>
      <c r="WSZ1" s="184"/>
      <c r="WTA1" s="184"/>
      <c r="WTB1" s="184"/>
      <c r="WTC1" s="184"/>
      <c r="WTD1" s="184"/>
      <c r="WTE1" s="184"/>
      <c r="WTF1" s="184"/>
      <c r="WTG1" s="184"/>
      <c r="WTH1" s="184"/>
      <c r="WTI1" s="184"/>
      <c r="WTJ1" s="184"/>
      <c r="WTK1" s="184"/>
      <c r="WTL1" s="184"/>
      <c r="WTM1" s="184"/>
      <c r="WTN1" s="184"/>
      <c r="WTO1" s="184"/>
      <c r="WTP1" s="184"/>
      <c r="WTQ1" s="184"/>
      <c r="WTR1" s="184"/>
      <c r="WTS1" s="184"/>
      <c r="WTT1" s="184"/>
      <c r="WTU1" s="184"/>
      <c r="WTV1" s="184"/>
      <c r="WTW1" s="184"/>
      <c r="WTX1" s="184"/>
      <c r="WTY1" s="184"/>
      <c r="WTZ1" s="184"/>
      <c r="WUA1" s="184"/>
      <c r="WUB1" s="184"/>
      <c r="WUC1" s="184"/>
      <c r="WUD1" s="184"/>
      <c r="WUE1" s="184"/>
      <c r="WUF1" s="184"/>
      <c r="WUG1" s="184"/>
      <c r="WUH1" s="184"/>
      <c r="WUI1" s="184"/>
      <c r="WUJ1" s="184"/>
      <c r="WUK1" s="184"/>
      <c r="WUL1" s="184"/>
      <c r="WUM1" s="184"/>
      <c r="WUN1" s="184"/>
      <c r="WUO1" s="184"/>
      <c r="WUP1" s="184"/>
      <c r="WUQ1" s="184"/>
      <c r="WUR1" s="184"/>
      <c r="WUS1" s="184"/>
      <c r="WUT1" s="184"/>
      <c r="WUU1" s="184"/>
      <c r="WUV1" s="184"/>
      <c r="WUW1" s="184"/>
      <c r="WUX1" s="184"/>
      <c r="WUY1" s="184"/>
      <c r="WUZ1" s="184"/>
      <c r="WVA1" s="184"/>
      <c r="WVB1" s="184"/>
      <c r="WVC1" s="184"/>
      <c r="WVD1" s="184"/>
      <c r="WVE1" s="184"/>
      <c r="WVF1" s="184"/>
      <c r="WVG1" s="184"/>
      <c r="WVH1" s="184"/>
      <c r="WVI1" s="184"/>
      <c r="WVJ1" s="184"/>
      <c r="WVK1" s="184"/>
      <c r="WVL1" s="184"/>
      <c r="WVM1" s="184"/>
      <c r="WVN1" s="184"/>
      <c r="WVO1" s="184"/>
      <c r="WVP1" s="184"/>
      <c r="WVQ1" s="184"/>
      <c r="WVR1" s="184"/>
      <c r="WVS1" s="184"/>
      <c r="WVT1" s="184"/>
      <c r="WVU1" s="184"/>
      <c r="WVV1" s="184"/>
      <c r="WVW1" s="184"/>
      <c r="WVX1" s="184"/>
      <c r="WVY1" s="184"/>
      <c r="WVZ1" s="184"/>
      <c r="WWA1" s="184"/>
      <c r="WWB1" s="184"/>
      <c r="WWC1" s="184"/>
      <c r="WWD1" s="184"/>
      <c r="WWE1" s="184"/>
      <c r="WWF1" s="184"/>
      <c r="WWG1" s="184"/>
      <c r="WWH1" s="184"/>
      <c r="WWI1" s="184"/>
      <c r="WWJ1" s="184"/>
      <c r="WWK1" s="184"/>
      <c r="WWL1" s="184"/>
      <c r="WWM1" s="184"/>
      <c r="WWN1" s="184"/>
      <c r="WWO1" s="184"/>
      <c r="WWP1" s="184"/>
      <c r="WWQ1" s="184"/>
      <c r="WWR1" s="184"/>
      <c r="WWS1" s="184"/>
      <c r="WWT1" s="184"/>
      <c r="WWU1" s="184"/>
      <c r="WWV1" s="184"/>
      <c r="WWW1" s="184"/>
      <c r="WWX1" s="184"/>
      <c r="WWY1" s="184"/>
      <c r="WWZ1" s="184"/>
      <c r="WXA1" s="184"/>
      <c r="WXB1" s="184"/>
      <c r="WXC1" s="184"/>
      <c r="WXD1" s="184"/>
      <c r="WXE1" s="184"/>
      <c r="WXF1" s="184"/>
      <c r="WXG1" s="184"/>
      <c r="WXH1" s="184"/>
      <c r="WXI1" s="184"/>
      <c r="WXJ1" s="184"/>
      <c r="WXK1" s="184"/>
      <c r="WXL1" s="184"/>
      <c r="WXM1" s="184"/>
      <c r="WXN1" s="184"/>
      <c r="WXO1" s="184"/>
      <c r="WXP1" s="184"/>
      <c r="WXQ1" s="184"/>
      <c r="WXR1" s="184"/>
      <c r="WXS1" s="184"/>
      <c r="WXT1" s="184"/>
      <c r="WXU1" s="184"/>
      <c r="WXV1" s="184"/>
      <c r="WXW1" s="184"/>
      <c r="WXX1" s="184"/>
      <c r="WXY1" s="184"/>
      <c r="WXZ1" s="184"/>
      <c r="WYA1" s="184"/>
      <c r="WYB1" s="184"/>
      <c r="WYC1" s="184"/>
      <c r="WYD1" s="184"/>
      <c r="WYE1" s="184"/>
      <c r="WYF1" s="184"/>
      <c r="WYG1" s="184"/>
      <c r="WYH1" s="184"/>
      <c r="WYI1" s="184"/>
      <c r="WYJ1" s="184"/>
      <c r="WYK1" s="184"/>
      <c r="WYL1" s="184"/>
      <c r="WYM1" s="184"/>
      <c r="WYN1" s="184"/>
      <c r="WYO1" s="184"/>
      <c r="WYP1" s="184"/>
      <c r="WYQ1" s="184"/>
      <c r="WYR1" s="184"/>
      <c r="WYS1" s="184"/>
      <c r="WYT1" s="184"/>
      <c r="WYU1" s="184"/>
      <c r="WYV1" s="184"/>
      <c r="WYW1" s="184"/>
      <c r="WYX1" s="184"/>
      <c r="WYY1" s="184"/>
      <c r="WYZ1" s="184"/>
      <c r="WZA1" s="184"/>
      <c r="WZB1" s="184"/>
      <c r="WZC1" s="184"/>
      <c r="WZD1" s="184"/>
      <c r="WZE1" s="184"/>
      <c r="WZF1" s="184"/>
      <c r="WZG1" s="184"/>
      <c r="WZH1" s="184"/>
      <c r="WZI1" s="184"/>
      <c r="WZJ1" s="184"/>
      <c r="WZK1" s="184"/>
      <c r="WZL1" s="184"/>
      <c r="WZM1" s="184"/>
      <c r="WZN1" s="184"/>
      <c r="WZO1" s="184"/>
      <c r="WZP1" s="184"/>
      <c r="WZQ1" s="184"/>
      <c r="WZR1" s="184"/>
      <c r="WZS1" s="184"/>
      <c r="WZT1" s="184"/>
      <c r="WZU1" s="184"/>
      <c r="WZV1" s="184"/>
      <c r="WZW1" s="184"/>
      <c r="WZX1" s="184"/>
      <c r="WZY1" s="184"/>
      <c r="WZZ1" s="184"/>
      <c r="XAA1" s="184"/>
      <c r="XAB1" s="184"/>
      <c r="XAC1" s="184"/>
      <c r="XAD1" s="184"/>
      <c r="XAE1" s="184"/>
      <c r="XAF1" s="184"/>
      <c r="XAG1" s="184"/>
      <c r="XAH1" s="184"/>
      <c r="XAI1" s="184"/>
      <c r="XAJ1" s="184"/>
      <c r="XAK1" s="184"/>
      <c r="XAL1" s="184"/>
      <c r="XAM1" s="184"/>
      <c r="XAN1" s="184"/>
      <c r="XAO1" s="184"/>
      <c r="XAP1" s="184"/>
      <c r="XAQ1" s="184"/>
      <c r="XAR1" s="184"/>
      <c r="XAS1" s="184"/>
      <c r="XAT1" s="184"/>
      <c r="XAU1" s="184"/>
      <c r="XAV1" s="184"/>
      <c r="XAW1" s="184"/>
      <c r="XAX1" s="184"/>
      <c r="XAY1" s="184"/>
      <c r="XAZ1" s="184"/>
      <c r="XBA1" s="184"/>
      <c r="XBB1" s="184"/>
      <c r="XBC1" s="184"/>
      <c r="XBD1" s="184"/>
      <c r="XBE1" s="184"/>
      <c r="XBF1" s="184"/>
      <c r="XBG1" s="184"/>
      <c r="XBH1" s="184"/>
      <c r="XBI1" s="184"/>
      <c r="XBJ1" s="184"/>
      <c r="XBK1" s="184"/>
      <c r="XBL1" s="184"/>
      <c r="XBM1" s="184"/>
      <c r="XBN1" s="184"/>
      <c r="XBO1" s="184"/>
      <c r="XBP1" s="184"/>
      <c r="XBQ1" s="184"/>
      <c r="XBR1" s="184"/>
      <c r="XBS1" s="184"/>
      <c r="XBT1" s="184"/>
      <c r="XBU1" s="184"/>
      <c r="XBV1" s="184"/>
      <c r="XBW1" s="184"/>
      <c r="XBX1" s="184"/>
      <c r="XBY1" s="184"/>
      <c r="XBZ1" s="184"/>
      <c r="XCA1" s="184"/>
      <c r="XCB1" s="184"/>
      <c r="XCC1" s="184"/>
      <c r="XCD1" s="184"/>
      <c r="XCE1" s="184"/>
      <c r="XCF1" s="184"/>
      <c r="XCG1" s="184"/>
      <c r="XCH1" s="184"/>
      <c r="XCI1" s="184"/>
      <c r="XCJ1" s="184"/>
      <c r="XCK1" s="184"/>
      <c r="XCL1" s="184"/>
      <c r="XCM1" s="184"/>
      <c r="XCN1" s="184"/>
      <c r="XCO1" s="184"/>
      <c r="XCP1" s="184"/>
      <c r="XCQ1" s="184"/>
      <c r="XCR1" s="184"/>
      <c r="XCS1" s="184"/>
      <c r="XCT1" s="184"/>
      <c r="XCU1" s="184"/>
      <c r="XCV1" s="184"/>
      <c r="XCW1" s="184"/>
      <c r="XCX1" s="184"/>
      <c r="XCY1" s="184"/>
      <c r="XCZ1" s="184"/>
      <c r="XDA1" s="184"/>
      <c r="XDB1" s="184"/>
      <c r="XDC1" s="184"/>
      <c r="XDD1" s="184"/>
      <c r="XDE1" s="184"/>
      <c r="XDF1" s="184"/>
      <c r="XDG1" s="184"/>
      <c r="XDH1" s="184"/>
      <c r="XDI1" s="184"/>
      <c r="XDJ1" s="184"/>
      <c r="XDK1" s="184"/>
      <c r="XDL1" s="184"/>
      <c r="XDM1" s="184"/>
      <c r="XDN1" s="184"/>
      <c r="XDO1" s="184"/>
      <c r="XDP1" s="184"/>
      <c r="XDQ1" s="184"/>
      <c r="XDR1" s="184"/>
      <c r="XDS1" s="184"/>
      <c r="XDT1" s="184"/>
      <c r="XDU1" s="184"/>
      <c r="XDV1" s="184"/>
      <c r="XDW1" s="184"/>
      <c r="XDX1" s="184"/>
      <c r="XDY1" s="184"/>
      <c r="XDZ1" s="184"/>
      <c r="XEA1" s="184"/>
      <c r="XEB1" s="184"/>
      <c r="XEC1" s="184"/>
      <c r="XED1" s="184"/>
      <c r="XEE1" s="184"/>
      <c r="XEF1" s="184"/>
      <c r="XEG1" s="184"/>
      <c r="XEH1" s="184"/>
      <c r="XEI1" s="184"/>
      <c r="XEJ1" s="184"/>
      <c r="XEK1" s="184"/>
      <c r="XEL1" s="184"/>
      <c r="XEM1" s="184"/>
      <c r="XEN1" s="184"/>
      <c r="XEO1" s="184"/>
      <c r="XEP1" s="184"/>
      <c r="XEQ1" s="184"/>
      <c r="XER1" s="184"/>
      <c r="XES1" s="184"/>
      <c r="XET1" s="184"/>
      <c r="XEU1" s="184"/>
      <c r="XEV1" s="184"/>
      <c r="XEW1" s="184"/>
      <c r="XEX1" s="184"/>
      <c r="XEY1" s="184"/>
      <c r="XEZ1" s="184"/>
      <c r="XFA1" s="184"/>
      <c r="XFB1" s="184"/>
      <c r="XFC1" s="184"/>
      <c r="XFD1" s="184"/>
    </row>
    <row r="2" spans="1:16384" s="53" customFormat="1" x14ac:dyDescent="0.2">
      <c r="A2" s="83" t="s">
        <v>353</v>
      </c>
      <c r="B2" s="114" t="s">
        <v>352</v>
      </c>
      <c r="C2" s="114" t="s">
        <v>196</v>
      </c>
      <c r="D2" s="114" t="s">
        <v>350</v>
      </c>
      <c r="E2" s="115"/>
      <c r="F2" s="267" t="s">
        <v>283</v>
      </c>
      <c r="G2" s="268"/>
      <c r="H2" s="268"/>
      <c r="I2" s="269"/>
    </row>
    <row r="3" spans="1:16384" s="53" customFormat="1" x14ac:dyDescent="0.2">
      <c r="A3" s="109" t="s">
        <v>389</v>
      </c>
      <c r="B3" s="114" t="s">
        <v>349</v>
      </c>
      <c r="C3" s="114" t="s">
        <v>284</v>
      </c>
      <c r="D3" s="114" t="s">
        <v>351</v>
      </c>
      <c r="E3" s="115"/>
      <c r="F3" s="85" t="s">
        <v>284</v>
      </c>
      <c r="G3" s="116"/>
      <c r="H3" s="116"/>
      <c r="I3" s="116"/>
    </row>
    <row r="4" spans="1:16384" s="51" customFormat="1" ht="30" x14ac:dyDescent="0.2">
      <c r="A4" s="77" t="s">
        <v>5</v>
      </c>
      <c r="B4" s="79" t="s">
        <v>285</v>
      </c>
      <c r="C4" s="79" t="s">
        <v>43</v>
      </c>
      <c r="D4" s="77" t="s">
        <v>973</v>
      </c>
      <c r="E4" s="78" t="s">
        <v>974</v>
      </c>
      <c r="F4" s="87" t="s">
        <v>282</v>
      </c>
      <c r="G4" s="116"/>
      <c r="H4" s="116"/>
      <c r="I4" s="116"/>
      <c r="J4" s="52"/>
    </row>
    <row r="5" spans="1:16384" ht="17.25" x14ac:dyDescent="0.25">
      <c r="A5" s="28">
        <v>0</v>
      </c>
      <c r="D5" s="28" t="s">
        <v>146</v>
      </c>
      <c r="E5" s="28" t="s">
        <v>397</v>
      </c>
      <c r="G5" s="116"/>
      <c r="H5" s="116"/>
      <c r="I5" s="116"/>
      <c r="XET5" s="184"/>
    </row>
    <row r="6" spans="1:16384" ht="17.25" x14ac:dyDescent="0.25">
      <c r="A6" s="28">
        <v>1</v>
      </c>
      <c r="D6" s="28" t="s">
        <v>147</v>
      </c>
      <c r="E6" s="28" t="s">
        <v>398</v>
      </c>
      <c r="G6" s="116"/>
      <c r="H6" s="116"/>
      <c r="I6" s="116"/>
    </row>
    <row r="7" spans="1:16384" x14ac:dyDescent="0.25">
      <c r="A7" s="28">
        <v>2</v>
      </c>
      <c r="D7" s="28" t="s">
        <v>148</v>
      </c>
      <c r="E7" s="28" t="s">
        <v>364</v>
      </c>
      <c r="G7" s="116"/>
      <c r="H7" s="116"/>
      <c r="I7" s="116"/>
    </row>
    <row r="8" spans="1:16384" x14ac:dyDescent="0.25">
      <c r="A8" s="28">
        <v>3</v>
      </c>
      <c r="D8" s="28" t="s">
        <v>149</v>
      </c>
      <c r="E8" s="28" t="s">
        <v>365</v>
      </c>
      <c r="G8" s="116"/>
      <c r="H8" s="116"/>
      <c r="I8" s="116"/>
    </row>
    <row r="9" spans="1:16384" ht="17.25" x14ac:dyDescent="0.25">
      <c r="A9" s="28">
        <v>4</v>
      </c>
      <c r="D9" s="28" t="s">
        <v>150</v>
      </c>
      <c r="E9" s="28" t="s">
        <v>399</v>
      </c>
      <c r="G9" s="116"/>
      <c r="H9" s="116"/>
      <c r="I9" s="116"/>
    </row>
    <row r="10" spans="1:16384" ht="17.25" x14ac:dyDescent="0.25">
      <c r="A10" s="28">
        <v>5</v>
      </c>
      <c r="D10" s="28" t="s">
        <v>151</v>
      </c>
      <c r="E10" s="28" t="s">
        <v>400</v>
      </c>
      <c r="G10" s="116"/>
      <c r="H10" s="116"/>
      <c r="I10" s="116"/>
    </row>
    <row r="11" spans="1:16384" ht="17.25" x14ac:dyDescent="0.25">
      <c r="A11" s="28">
        <v>6</v>
      </c>
      <c r="D11" s="28" t="s">
        <v>152</v>
      </c>
      <c r="E11" s="28" t="s">
        <v>401</v>
      </c>
      <c r="G11" s="116"/>
      <c r="H11" s="116"/>
      <c r="I11" s="116"/>
    </row>
    <row r="12" spans="1:16384" ht="17.25" x14ac:dyDescent="0.25">
      <c r="A12" s="28">
        <v>7</v>
      </c>
      <c r="D12" s="28" t="s">
        <v>366</v>
      </c>
      <c r="E12" s="28" t="s">
        <v>402</v>
      </c>
      <c r="G12" s="116"/>
      <c r="H12" s="116"/>
      <c r="I12" s="116"/>
    </row>
    <row r="13" spans="1:16384" ht="17.25" x14ac:dyDescent="0.25">
      <c r="A13" s="28">
        <v>8</v>
      </c>
      <c r="D13" s="28" t="s">
        <v>367</v>
      </c>
      <c r="E13" s="28" t="s">
        <v>403</v>
      </c>
      <c r="G13" s="116"/>
      <c r="H13" s="116"/>
      <c r="I13" s="116"/>
    </row>
    <row r="14" spans="1:16384" ht="17.25" x14ac:dyDescent="0.25">
      <c r="A14" s="28">
        <v>9</v>
      </c>
      <c r="D14" s="28" t="s">
        <v>153</v>
      </c>
      <c r="E14" s="28" t="s">
        <v>404</v>
      </c>
      <c r="G14" s="116"/>
      <c r="H14" s="116"/>
      <c r="I14" s="116"/>
    </row>
    <row r="15" spans="1:16384" ht="17.25" x14ac:dyDescent="0.25">
      <c r="A15" s="28">
        <v>10</v>
      </c>
      <c r="D15" s="28" t="s">
        <v>368</v>
      </c>
      <c r="E15" s="28" t="s">
        <v>405</v>
      </c>
      <c r="G15" s="116"/>
      <c r="H15" s="116"/>
      <c r="I15" s="116"/>
    </row>
    <row r="16" spans="1:16384" ht="17.25" x14ac:dyDescent="0.25">
      <c r="A16" s="28">
        <v>11</v>
      </c>
      <c r="D16" s="28" t="s">
        <v>369</v>
      </c>
      <c r="E16" s="28" t="s">
        <v>406</v>
      </c>
      <c r="G16" s="116"/>
      <c r="H16" s="116"/>
      <c r="I16" s="116"/>
    </row>
    <row r="17" spans="1:9" ht="17.25" x14ac:dyDescent="0.25">
      <c r="A17" s="28">
        <v>12</v>
      </c>
      <c r="D17" s="28" t="s">
        <v>370</v>
      </c>
      <c r="E17" s="28" t="s">
        <v>407</v>
      </c>
      <c r="G17" s="116"/>
      <c r="H17" s="116"/>
      <c r="I17" s="116"/>
    </row>
    <row r="18" spans="1:9" ht="17.25" x14ac:dyDescent="0.25">
      <c r="A18" s="28">
        <v>13</v>
      </c>
      <c r="D18" s="28" t="s">
        <v>371</v>
      </c>
      <c r="E18" s="28" t="s">
        <v>408</v>
      </c>
      <c r="G18" s="116"/>
      <c r="H18" s="116"/>
      <c r="I18" s="116"/>
    </row>
    <row r="19" spans="1:9" ht="17.25" x14ac:dyDescent="0.25">
      <c r="A19" s="28">
        <v>14</v>
      </c>
      <c r="D19" s="28" t="s">
        <v>372</v>
      </c>
      <c r="E19" s="28" t="s">
        <v>409</v>
      </c>
      <c r="G19" s="116"/>
      <c r="H19" s="116"/>
      <c r="I19" s="116"/>
    </row>
    <row r="20" spans="1:9" ht="17.25" x14ac:dyDescent="0.25">
      <c r="A20" s="28">
        <v>15</v>
      </c>
      <c r="D20" s="28" t="s">
        <v>373</v>
      </c>
      <c r="E20" s="28" t="s">
        <v>410</v>
      </c>
      <c r="G20" s="116"/>
      <c r="H20" s="116"/>
      <c r="I20" s="116"/>
    </row>
    <row r="21" spans="1:9" ht="17.25" x14ac:dyDescent="0.25">
      <c r="A21" s="28">
        <v>-1</v>
      </c>
      <c r="D21" s="28" t="s">
        <v>374</v>
      </c>
      <c r="E21" s="28" t="s">
        <v>411</v>
      </c>
      <c r="G21" s="116"/>
      <c r="H21" s="116"/>
      <c r="I21" s="116"/>
    </row>
    <row r="22" spans="1:9" ht="17.25" x14ac:dyDescent="0.25">
      <c r="A22" s="28">
        <v>-2</v>
      </c>
      <c r="D22" s="28" t="s">
        <v>375</v>
      </c>
      <c r="E22" s="28" t="s">
        <v>412</v>
      </c>
      <c r="G22" s="116"/>
      <c r="H22" s="116"/>
      <c r="I22" s="116"/>
    </row>
    <row r="23" spans="1:9" ht="17.25" x14ac:dyDescent="0.25">
      <c r="A23" s="28">
        <v>-3</v>
      </c>
      <c r="D23" s="28" t="s">
        <v>362</v>
      </c>
      <c r="E23" s="28" t="s">
        <v>413</v>
      </c>
      <c r="G23" s="116"/>
      <c r="H23" s="116"/>
      <c r="I23" s="116"/>
    </row>
    <row r="24" spans="1:9" ht="17.25" x14ac:dyDescent="0.25">
      <c r="A24" s="28">
        <v>-4</v>
      </c>
      <c r="D24" s="28" t="s">
        <v>376</v>
      </c>
      <c r="E24" s="28" t="s">
        <v>414</v>
      </c>
      <c r="G24" s="116"/>
      <c r="H24" s="116"/>
      <c r="I24" s="116"/>
    </row>
    <row r="25" spans="1:9" ht="17.25" x14ac:dyDescent="0.25">
      <c r="A25" s="28">
        <v>-5</v>
      </c>
      <c r="D25" s="28" t="s">
        <v>377</v>
      </c>
      <c r="E25" s="28" t="s">
        <v>415</v>
      </c>
      <c r="G25" s="116"/>
      <c r="H25" s="116"/>
      <c r="I25" s="116"/>
    </row>
    <row r="26" spans="1:9" ht="17.25" x14ac:dyDescent="0.25">
      <c r="A26" s="28">
        <v>-6</v>
      </c>
      <c r="D26" s="28" t="s">
        <v>378</v>
      </c>
      <c r="E26" s="28" t="s">
        <v>416</v>
      </c>
      <c r="G26" s="116"/>
      <c r="H26" s="116"/>
      <c r="I26" s="116"/>
    </row>
    <row r="27" spans="1:9" ht="17.25" x14ac:dyDescent="0.25">
      <c r="A27" s="28">
        <v>-7</v>
      </c>
      <c r="D27" s="28" t="s">
        <v>379</v>
      </c>
      <c r="E27" s="28" t="s">
        <v>417</v>
      </c>
      <c r="G27" s="116"/>
      <c r="H27" s="116"/>
      <c r="I27" s="116"/>
    </row>
    <row r="28" spans="1:9" ht="17.25" x14ac:dyDescent="0.25">
      <c r="A28" s="28">
        <v>-8</v>
      </c>
      <c r="D28" s="28" t="s">
        <v>380</v>
      </c>
      <c r="E28" s="28" t="s">
        <v>418</v>
      </c>
      <c r="G28" s="116"/>
      <c r="H28" s="116"/>
      <c r="I28" s="116"/>
    </row>
    <row r="29" spans="1:9" ht="17.25" x14ac:dyDescent="0.25">
      <c r="A29" s="28">
        <v>-9</v>
      </c>
      <c r="D29" s="28" t="s">
        <v>381</v>
      </c>
      <c r="E29" s="28" t="s">
        <v>419</v>
      </c>
      <c r="G29" s="116"/>
      <c r="H29" s="116"/>
      <c r="I29" s="116"/>
    </row>
    <row r="30" spans="1:9" ht="17.25" x14ac:dyDescent="0.25">
      <c r="A30" s="28">
        <v>-10</v>
      </c>
      <c r="D30" s="28" t="s">
        <v>382</v>
      </c>
      <c r="E30" s="28" t="s">
        <v>420</v>
      </c>
      <c r="G30" s="116"/>
      <c r="H30" s="116"/>
      <c r="I30" s="116"/>
    </row>
    <row r="31" spans="1:9" ht="17.25" x14ac:dyDescent="0.25">
      <c r="A31" s="28">
        <v>-11</v>
      </c>
      <c r="D31" s="28" t="s">
        <v>383</v>
      </c>
      <c r="E31" s="28" t="s">
        <v>421</v>
      </c>
      <c r="G31" s="116"/>
      <c r="H31" s="116"/>
      <c r="I31" s="116"/>
    </row>
    <row r="32" spans="1:9" ht="17.25" x14ac:dyDescent="0.25">
      <c r="A32" s="28">
        <v>-12</v>
      </c>
      <c r="D32" s="28" t="s">
        <v>384</v>
      </c>
      <c r="E32" s="28" t="s">
        <v>422</v>
      </c>
      <c r="G32" s="116"/>
      <c r="H32" s="116"/>
      <c r="I32" s="116"/>
    </row>
    <row r="33" spans="1:9" ht="17.25" x14ac:dyDescent="0.25">
      <c r="A33" s="28">
        <v>-13</v>
      </c>
      <c r="D33" s="28" t="s">
        <v>385</v>
      </c>
      <c r="E33" s="28" t="s">
        <v>423</v>
      </c>
      <c r="G33" s="116"/>
      <c r="H33" s="116"/>
      <c r="I33" s="116"/>
    </row>
    <row r="34" spans="1:9" ht="17.25" x14ac:dyDescent="0.25">
      <c r="A34" s="28">
        <v>-14</v>
      </c>
      <c r="D34" s="28" t="s">
        <v>386</v>
      </c>
      <c r="E34" s="28" t="s">
        <v>424</v>
      </c>
      <c r="G34" s="116"/>
      <c r="H34" s="116"/>
      <c r="I34" s="116"/>
    </row>
    <row r="35" spans="1:9" ht="17.25" x14ac:dyDescent="0.25">
      <c r="A35" s="28">
        <v>-15</v>
      </c>
      <c r="D35" s="28" t="s">
        <v>387</v>
      </c>
      <c r="E35" s="28" t="s">
        <v>425</v>
      </c>
      <c r="G35" s="116"/>
      <c r="H35" s="116"/>
      <c r="I35" s="116"/>
    </row>
  </sheetData>
  <mergeCells count="1">
    <mergeCell ref="F2:I2"/>
  </mergeCells>
  <conditionalFormatting sqref="A5:A5000">
    <cfRule type="duplicateValues" dxfId="1"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9" tint="0.39997558519241921"/>
  </sheetPr>
  <dimension ref="A1:XFD54"/>
  <sheetViews>
    <sheetView zoomScaleNormal="100" workbookViewId="0">
      <pane xSplit="6" ySplit="4" topLeftCell="G5" activePane="bottomRight" state="frozen"/>
      <selection pane="topRight" activeCell="G1" sqref="G1"/>
      <selection pane="bottomLeft" activeCell="A5" sqref="A5"/>
      <selection pane="bottomRight" activeCell="F9" sqref="F9"/>
    </sheetView>
  </sheetViews>
  <sheetFormatPr defaultRowHeight="12.75" x14ac:dyDescent="0.2"/>
  <cols>
    <col min="1" max="1" width="15" style="98" bestFit="1" customWidth="1"/>
    <col min="2" max="2" width="17.1640625" style="98" bestFit="1" customWidth="1"/>
    <col min="3" max="3" width="13.6640625" style="98" customWidth="1"/>
    <col min="4" max="4" width="21.6640625" style="98" bestFit="1" customWidth="1"/>
    <col min="5" max="5" width="16.33203125" style="98" customWidth="1"/>
    <col min="6" max="6" width="13.83203125" style="98" customWidth="1"/>
    <col min="7" max="7" width="16.5" style="98" bestFit="1" customWidth="1"/>
    <col min="8" max="8" width="24" style="98" customWidth="1"/>
    <col min="9" max="9" width="9.33203125" style="98"/>
  </cols>
  <sheetData>
    <row r="1" spans="1:16384" s="68" customFormat="1" ht="15" x14ac:dyDescent="0.25">
      <c r="A1" s="185" t="s">
        <v>41</v>
      </c>
      <c r="B1" s="28"/>
      <c r="C1" s="69" t="s">
        <v>42</v>
      </c>
      <c r="D1" s="143"/>
      <c r="E1" s="185" t="s">
        <v>257</v>
      </c>
      <c r="F1" s="192"/>
      <c r="G1" s="185" t="s">
        <v>973</v>
      </c>
      <c r="H1" s="192"/>
      <c r="I1" s="185" t="s">
        <v>974</v>
      </c>
      <c r="J1" s="143"/>
      <c r="K1" s="184"/>
      <c r="L1" s="184"/>
      <c r="M1" s="184"/>
      <c r="N1" s="184"/>
      <c r="O1" s="184"/>
      <c r="P1" s="184"/>
      <c r="Q1" s="184"/>
      <c r="R1" s="184"/>
      <c r="S1" s="184"/>
      <c r="T1" s="184"/>
      <c r="U1" s="184"/>
      <c r="V1" s="184"/>
      <c r="W1" s="184"/>
      <c r="X1" s="184"/>
      <c r="Y1" s="184"/>
      <c r="Z1" s="184"/>
      <c r="AA1" s="184"/>
      <c r="AB1" s="184"/>
      <c r="AC1" s="184"/>
      <c r="AD1" s="184"/>
      <c r="AE1" s="184"/>
      <c r="AF1" s="184"/>
      <c r="AG1" s="184"/>
      <c r="AH1" s="184"/>
      <c r="AI1" s="184"/>
      <c r="AJ1" s="184"/>
      <c r="AK1" s="184"/>
      <c r="AL1" s="184"/>
      <c r="AM1" s="184"/>
      <c r="AN1" s="184"/>
      <c r="AO1" s="184"/>
      <c r="AP1" s="184"/>
      <c r="AQ1" s="184"/>
      <c r="AR1" s="184"/>
      <c r="AS1" s="184"/>
      <c r="AT1" s="184"/>
      <c r="AU1" s="184"/>
      <c r="AV1" s="184"/>
      <c r="AW1" s="184"/>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c r="DR1" s="184"/>
      <c r="DS1" s="184"/>
      <c r="DT1" s="184"/>
      <c r="DU1" s="184"/>
      <c r="DV1" s="184"/>
      <c r="DW1" s="184"/>
      <c r="DX1" s="184"/>
      <c r="DY1" s="184"/>
      <c r="DZ1" s="184"/>
      <c r="EA1" s="184"/>
      <c r="EB1" s="184"/>
      <c r="EC1" s="184"/>
      <c r="ED1" s="184"/>
      <c r="EE1" s="184"/>
      <c r="EF1" s="184"/>
      <c r="EG1" s="184"/>
      <c r="EH1" s="184"/>
      <c r="EI1" s="184"/>
      <c r="EJ1" s="184"/>
      <c r="EK1" s="184"/>
      <c r="EL1" s="184"/>
      <c r="EM1" s="184"/>
      <c r="EN1" s="184"/>
      <c r="EO1" s="184"/>
      <c r="EP1" s="184"/>
      <c r="EQ1" s="184"/>
      <c r="ER1" s="184"/>
      <c r="ES1" s="184"/>
      <c r="ET1" s="184"/>
      <c r="EU1" s="184"/>
      <c r="EV1" s="184"/>
      <c r="EW1" s="184"/>
      <c r="EX1" s="184"/>
      <c r="EY1" s="184"/>
      <c r="EZ1" s="184"/>
      <c r="FA1" s="184"/>
      <c r="FB1" s="184"/>
      <c r="FC1" s="184"/>
      <c r="FD1" s="184"/>
      <c r="FE1" s="184"/>
      <c r="FF1" s="184"/>
      <c r="FG1" s="184"/>
      <c r="FH1" s="184"/>
      <c r="FI1" s="184"/>
      <c r="FJ1" s="184"/>
      <c r="FK1" s="184"/>
      <c r="FL1" s="184"/>
      <c r="FM1" s="184"/>
      <c r="FN1" s="184"/>
      <c r="FO1" s="184"/>
      <c r="FP1" s="184"/>
      <c r="FQ1" s="184"/>
      <c r="FR1" s="184"/>
      <c r="FS1" s="184"/>
      <c r="FT1" s="184"/>
      <c r="FU1" s="184"/>
      <c r="FV1" s="184"/>
      <c r="FW1" s="184"/>
      <c r="FX1" s="184"/>
      <c r="FY1" s="184"/>
      <c r="FZ1" s="184"/>
      <c r="GA1" s="184"/>
      <c r="GB1" s="184"/>
      <c r="GC1" s="184"/>
      <c r="GD1" s="184"/>
      <c r="GE1" s="184"/>
      <c r="GF1" s="184"/>
      <c r="GG1" s="184"/>
      <c r="GH1" s="184"/>
      <c r="GI1" s="184"/>
      <c r="GJ1" s="184"/>
      <c r="GK1" s="184"/>
      <c r="GL1" s="184"/>
      <c r="GM1" s="184"/>
      <c r="GN1" s="184"/>
      <c r="GO1" s="184"/>
      <c r="GP1" s="184"/>
      <c r="GQ1" s="184"/>
      <c r="GR1" s="184"/>
      <c r="GS1" s="184"/>
      <c r="GT1" s="184"/>
      <c r="GU1" s="184"/>
      <c r="GV1" s="184"/>
      <c r="GW1" s="184"/>
      <c r="GX1" s="184"/>
      <c r="GY1" s="184"/>
      <c r="GZ1" s="184"/>
      <c r="HA1" s="184"/>
      <c r="HB1" s="184"/>
      <c r="HC1" s="184"/>
      <c r="HD1" s="184"/>
      <c r="HE1" s="184"/>
      <c r="HF1" s="184"/>
      <c r="HG1" s="184"/>
      <c r="HH1" s="184"/>
      <c r="HI1" s="184"/>
      <c r="HJ1" s="184"/>
      <c r="HK1" s="184"/>
      <c r="HL1" s="184"/>
      <c r="HM1" s="184"/>
      <c r="HN1" s="184"/>
      <c r="HO1" s="184"/>
      <c r="HP1" s="184"/>
      <c r="HQ1" s="184"/>
      <c r="HR1" s="184"/>
      <c r="HS1" s="184"/>
      <c r="HT1" s="184"/>
      <c r="HU1" s="184"/>
      <c r="HV1" s="184"/>
      <c r="HW1" s="184"/>
      <c r="HX1" s="184"/>
      <c r="HY1" s="184"/>
      <c r="HZ1" s="184"/>
      <c r="IA1" s="184"/>
      <c r="IB1" s="184"/>
      <c r="IC1" s="184"/>
      <c r="ID1" s="184"/>
      <c r="IE1" s="184"/>
      <c r="IF1" s="184"/>
      <c r="IG1" s="184"/>
      <c r="IH1" s="184"/>
      <c r="II1" s="184"/>
      <c r="IJ1" s="184"/>
      <c r="IK1" s="184"/>
      <c r="IL1" s="184"/>
      <c r="IM1" s="184"/>
      <c r="IN1" s="184"/>
      <c r="IO1" s="184"/>
      <c r="IP1" s="184"/>
      <c r="IQ1" s="184"/>
      <c r="IR1" s="184"/>
      <c r="IS1" s="184"/>
      <c r="IT1" s="184"/>
      <c r="IU1" s="184"/>
      <c r="IV1" s="184"/>
      <c r="IW1" s="184"/>
      <c r="IX1" s="184"/>
      <c r="IY1" s="184"/>
      <c r="IZ1" s="184"/>
      <c r="JA1" s="184"/>
      <c r="JB1" s="184"/>
      <c r="JC1" s="184"/>
      <c r="JD1" s="184"/>
      <c r="JE1" s="184"/>
      <c r="JF1" s="184"/>
      <c r="JG1" s="184"/>
      <c r="JH1" s="184"/>
      <c r="JI1" s="184"/>
      <c r="JJ1" s="184"/>
      <c r="JK1" s="184"/>
      <c r="JL1" s="184"/>
      <c r="JM1" s="184"/>
      <c r="JN1" s="184"/>
      <c r="JO1" s="184"/>
      <c r="JP1" s="184"/>
      <c r="JQ1" s="184"/>
      <c r="JR1" s="184"/>
      <c r="JS1" s="184"/>
      <c r="JT1" s="184"/>
      <c r="JU1" s="184"/>
      <c r="JV1" s="184"/>
      <c r="JW1" s="184"/>
      <c r="JX1" s="184"/>
      <c r="JY1" s="184"/>
      <c r="JZ1" s="184"/>
      <c r="KA1" s="184"/>
      <c r="KB1" s="184"/>
      <c r="KC1" s="184"/>
      <c r="KD1" s="184"/>
      <c r="KE1" s="184"/>
      <c r="KF1" s="184"/>
      <c r="KG1" s="184"/>
      <c r="KH1" s="184"/>
      <c r="KI1" s="184"/>
      <c r="KJ1" s="184"/>
      <c r="KK1" s="184"/>
      <c r="KL1" s="184"/>
      <c r="KM1" s="184"/>
      <c r="KN1" s="184"/>
      <c r="KO1" s="184"/>
      <c r="KP1" s="184"/>
      <c r="KQ1" s="184"/>
      <c r="KR1" s="184"/>
      <c r="KS1" s="184"/>
      <c r="KT1" s="184"/>
      <c r="KU1" s="184"/>
      <c r="KV1" s="184"/>
      <c r="KW1" s="184"/>
      <c r="KX1" s="184"/>
      <c r="KY1" s="184"/>
      <c r="KZ1" s="184"/>
      <c r="LA1" s="184"/>
      <c r="LB1" s="184"/>
      <c r="LC1" s="184"/>
      <c r="LD1" s="184"/>
      <c r="LE1" s="184"/>
      <c r="LF1" s="184"/>
      <c r="LG1" s="184"/>
      <c r="LH1" s="184"/>
      <c r="LI1" s="184"/>
      <c r="LJ1" s="184"/>
      <c r="LK1" s="184"/>
      <c r="LL1" s="184"/>
      <c r="LM1" s="184"/>
      <c r="LN1" s="184"/>
      <c r="LO1" s="184"/>
      <c r="LP1" s="184"/>
      <c r="LQ1" s="184"/>
      <c r="LR1" s="184"/>
      <c r="LS1" s="184"/>
      <c r="LT1" s="184"/>
      <c r="LU1" s="184"/>
      <c r="LV1" s="184"/>
      <c r="LW1" s="184"/>
      <c r="LX1" s="184"/>
      <c r="LY1" s="184"/>
      <c r="LZ1" s="184"/>
      <c r="MA1" s="184"/>
      <c r="MB1" s="184"/>
      <c r="MC1" s="184"/>
      <c r="MD1" s="184"/>
      <c r="ME1" s="184"/>
      <c r="MF1" s="184"/>
      <c r="MG1" s="184"/>
      <c r="MH1" s="184"/>
      <c r="MI1" s="184"/>
      <c r="MJ1" s="184"/>
      <c r="MK1" s="184"/>
      <c r="ML1" s="184"/>
      <c r="MM1" s="184"/>
      <c r="MN1" s="184"/>
      <c r="MO1" s="184"/>
      <c r="MP1" s="184"/>
      <c r="MQ1" s="184"/>
      <c r="MR1" s="184"/>
      <c r="MS1" s="184"/>
      <c r="MT1" s="184"/>
      <c r="MU1" s="184"/>
      <c r="MV1" s="184"/>
      <c r="MW1" s="184"/>
      <c r="MX1" s="184"/>
      <c r="MY1" s="184"/>
      <c r="MZ1" s="184"/>
      <c r="NA1" s="184"/>
      <c r="NB1" s="184"/>
      <c r="NC1" s="184"/>
      <c r="ND1" s="184"/>
      <c r="NE1" s="184"/>
      <c r="NF1" s="184"/>
      <c r="NG1" s="184"/>
      <c r="NH1" s="184"/>
      <c r="NI1" s="184"/>
      <c r="NJ1" s="184"/>
      <c r="NK1" s="184"/>
      <c r="NL1" s="184"/>
      <c r="NM1" s="184"/>
      <c r="NN1" s="184"/>
      <c r="NO1" s="184"/>
      <c r="NP1" s="184"/>
      <c r="NQ1" s="184"/>
      <c r="NR1" s="184"/>
      <c r="NS1" s="184"/>
      <c r="NT1" s="184"/>
      <c r="NU1" s="184"/>
      <c r="NV1" s="184"/>
      <c r="NW1" s="184"/>
      <c r="NX1" s="184"/>
      <c r="NY1" s="184"/>
      <c r="NZ1" s="184"/>
      <c r="OA1" s="184"/>
      <c r="OB1" s="184"/>
      <c r="OC1" s="184"/>
      <c r="OD1" s="184"/>
      <c r="OE1" s="184"/>
      <c r="OF1" s="184"/>
      <c r="OG1" s="184"/>
      <c r="OH1" s="184"/>
      <c r="OI1" s="184"/>
      <c r="OJ1" s="184"/>
      <c r="OK1" s="184"/>
      <c r="OL1" s="184"/>
      <c r="OM1" s="184"/>
      <c r="ON1" s="184"/>
      <c r="OO1" s="184"/>
      <c r="OP1" s="184"/>
      <c r="OQ1" s="184"/>
      <c r="OR1" s="184"/>
      <c r="OS1" s="184"/>
      <c r="OT1" s="184"/>
      <c r="OU1" s="184"/>
      <c r="OV1" s="184"/>
      <c r="OW1" s="184"/>
      <c r="OX1" s="184"/>
      <c r="OY1" s="184"/>
      <c r="OZ1" s="184"/>
      <c r="PA1" s="184"/>
      <c r="PB1" s="184"/>
      <c r="PC1" s="184"/>
      <c r="PD1" s="184"/>
      <c r="PE1" s="184"/>
      <c r="PF1" s="184"/>
      <c r="PG1" s="184"/>
      <c r="PH1" s="184"/>
      <c r="PI1" s="184"/>
      <c r="PJ1" s="184"/>
      <c r="PK1" s="184"/>
      <c r="PL1" s="184"/>
      <c r="PM1" s="184"/>
      <c r="PN1" s="184"/>
      <c r="PO1" s="184"/>
      <c r="PP1" s="184"/>
      <c r="PQ1" s="184"/>
      <c r="PR1" s="184"/>
      <c r="PS1" s="184"/>
      <c r="PT1" s="184"/>
      <c r="PU1" s="184"/>
      <c r="PV1" s="184"/>
      <c r="PW1" s="184"/>
      <c r="PX1" s="184"/>
      <c r="PY1" s="184"/>
      <c r="PZ1" s="184"/>
      <c r="QA1" s="184"/>
      <c r="QB1" s="184"/>
      <c r="QC1" s="184"/>
      <c r="QD1" s="184"/>
      <c r="QE1" s="184"/>
      <c r="QF1" s="184"/>
      <c r="QG1" s="184"/>
      <c r="QH1" s="184"/>
      <c r="QI1" s="184"/>
      <c r="QJ1" s="184"/>
      <c r="QK1" s="184"/>
      <c r="QL1" s="184"/>
      <c r="QM1" s="184"/>
      <c r="QN1" s="184"/>
      <c r="QO1" s="184"/>
      <c r="QP1" s="184"/>
      <c r="QQ1" s="184"/>
      <c r="QR1" s="184"/>
      <c r="QS1" s="184"/>
      <c r="QT1" s="184"/>
      <c r="QU1" s="184"/>
      <c r="QV1" s="184"/>
      <c r="QW1" s="184"/>
      <c r="QX1" s="184"/>
      <c r="QY1" s="184"/>
      <c r="QZ1" s="184"/>
      <c r="RA1" s="184"/>
      <c r="RB1" s="184"/>
      <c r="RC1" s="184"/>
      <c r="RD1" s="184"/>
      <c r="RE1" s="184"/>
      <c r="RF1" s="184"/>
      <c r="RG1" s="184"/>
      <c r="RH1" s="184"/>
      <c r="RI1" s="184"/>
      <c r="RJ1" s="184"/>
      <c r="RK1" s="184"/>
      <c r="RL1" s="184"/>
      <c r="RM1" s="184"/>
      <c r="RN1" s="184"/>
      <c r="RO1" s="184"/>
      <c r="RP1" s="184"/>
      <c r="RQ1" s="184"/>
      <c r="RR1" s="184"/>
      <c r="RS1" s="184"/>
      <c r="RT1" s="184"/>
      <c r="RU1" s="184"/>
      <c r="RV1" s="184"/>
      <c r="RW1" s="184"/>
      <c r="RX1" s="184"/>
      <c r="RY1" s="184"/>
      <c r="RZ1" s="184"/>
      <c r="SA1" s="184"/>
      <c r="SB1" s="184"/>
      <c r="SC1" s="184"/>
      <c r="SD1" s="184"/>
      <c r="SE1" s="184"/>
      <c r="SF1" s="184"/>
      <c r="SG1" s="184"/>
      <c r="SH1" s="184"/>
      <c r="SI1" s="184"/>
      <c r="SJ1" s="184"/>
      <c r="SK1" s="184"/>
      <c r="SL1" s="184"/>
      <c r="SM1" s="184"/>
      <c r="SN1" s="184"/>
      <c r="SO1" s="184"/>
      <c r="SP1" s="184"/>
      <c r="SQ1" s="184"/>
      <c r="SR1" s="184"/>
      <c r="SS1" s="184"/>
      <c r="ST1" s="184"/>
      <c r="SU1" s="184"/>
      <c r="SV1" s="184"/>
      <c r="SW1" s="184"/>
      <c r="SX1" s="184"/>
      <c r="SY1" s="184"/>
      <c r="SZ1" s="184"/>
      <c r="TA1" s="184"/>
      <c r="TB1" s="184"/>
      <c r="TC1" s="184"/>
      <c r="TD1" s="184"/>
      <c r="TE1" s="184"/>
      <c r="TF1" s="184"/>
      <c r="TG1" s="184"/>
      <c r="TH1" s="184"/>
      <c r="TI1" s="184"/>
      <c r="TJ1" s="184"/>
      <c r="TK1" s="184"/>
      <c r="TL1" s="184"/>
      <c r="TM1" s="184"/>
      <c r="TN1" s="184"/>
      <c r="TO1" s="184"/>
      <c r="TP1" s="184"/>
      <c r="TQ1" s="184"/>
      <c r="TR1" s="184"/>
      <c r="TS1" s="184"/>
      <c r="TT1" s="184"/>
      <c r="TU1" s="184"/>
      <c r="TV1" s="184"/>
      <c r="TW1" s="184"/>
      <c r="TX1" s="184"/>
      <c r="TY1" s="184"/>
      <c r="TZ1" s="184"/>
      <c r="UA1" s="184"/>
      <c r="UB1" s="184"/>
      <c r="UC1" s="184"/>
      <c r="UD1" s="184"/>
      <c r="UE1" s="184"/>
      <c r="UF1" s="184"/>
      <c r="UG1" s="184"/>
      <c r="UH1" s="184"/>
      <c r="UI1" s="184"/>
      <c r="UJ1" s="184"/>
      <c r="UK1" s="184"/>
      <c r="UL1" s="184"/>
      <c r="UM1" s="184"/>
      <c r="UN1" s="184"/>
      <c r="UO1" s="184"/>
      <c r="UP1" s="184"/>
      <c r="UQ1" s="184"/>
      <c r="UR1" s="184"/>
      <c r="US1" s="184"/>
      <c r="UT1" s="184"/>
      <c r="UU1" s="184"/>
      <c r="UV1" s="184"/>
      <c r="UW1" s="184"/>
      <c r="UX1" s="184"/>
      <c r="UY1" s="184"/>
      <c r="UZ1" s="184"/>
      <c r="VA1" s="184"/>
      <c r="VB1" s="184"/>
      <c r="VC1" s="184"/>
      <c r="VD1" s="184"/>
      <c r="VE1" s="184"/>
      <c r="VF1" s="184"/>
      <c r="VG1" s="184"/>
      <c r="VH1" s="184"/>
      <c r="VI1" s="184"/>
      <c r="VJ1" s="184"/>
      <c r="VK1" s="184"/>
      <c r="VL1" s="184"/>
      <c r="VM1" s="184"/>
      <c r="VN1" s="184"/>
      <c r="VO1" s="184"/>
      <c r="VP1" s="184"/>
      <c r="VQ1" s="184"/>
      <c r="VR1" s="184"/>
      <c r="VS1" s="184"/>
      <c r="VT1" s="184"/>
      <c r="VU1" s="184"/>
      <c r="VV1" s="184"/>
      <c r="VW1" s="184"/>
      <c r="VX1" s="184"/>
      <c r="VY1" s="184"/>
      <c r="VZ1" s="184"/>
      <c r="WA1" s="184"/>
      <c r="WB1" s="184"/>
      <c r="WC1" s="184"/>
      <c r="WD1" s="184"/>
      <c r="WE1" s="184"/>
      <c r="WF1" s="184"/>
      <c r="WG1" s="184"/>
      <c r="WH1" s="184"/>
      <c r="WI1" s="184"/>
      <c r="WJ1" s="184"/>
      <c r="WK1" s="184"/>
      <c r="WL1" s="184"/>
      <c r="WM1" s="184"/>
      <c r="WN1" s="184"/>
      <c r="WO1" s="184"/>
      <c r="WP1" s="184"/>
      <c r="WQ1" s="184"/>
      <c r="WR1" s="184"/>
      <c r="WS1" s="184"/>
      <c r="WT1" s="184"/>
      <c r="WU1" s="184"/>
      <c r="WV1" s="184"/>
      <c r="WW1" s="184"/>
      <c r="WX1" s="184"/>
      <c r="WY1" s="184"/>
      <c r="WZ1" s="184"/>
      <c r="XA1" s="184"/>
      <c r="XB1" s="184"/>
      <c r="XC1" s="184"/>
      <c r="XD1" s="184"/>
      <c r="XE1" s="184"/>
      <c r="XF1" s="184"/>
      <c r="XG1" s="184"/>
      <c r="XH1" s="184"/>
      <c r="XI1" s="184"/>
      <c r="XJ1" s="184"/>
      <c r="XK1" s="184"/>
      <c r="XL1" s="184"/>
      <c r="XM1" s="184"/>
      <c r="XN1" s="184"/>
      <c r="XO1" s="184"/>
      <c r="XP1" s="184"/>
      <c r="XQ1" s="184"/>
      <c r="XR1" s="184"/>
      <c r="XS1" s="184"/>
      <c r="XT1" s="184"/>
      <c r="XU1" s="184"/>
      <c r="XV1" s="184"/>
      <c r="XW1" s="184"/>
      <c r="XX1" s="184"/>
      <c r="XY1" s="184"/>
      <c r="XZ1" s="184"/>
      <c r="YA1" s="184"/>
      <c r="YB1" s="184"/>
      <c r="YC1" s="184"/>
      <c r="YD1" s="184"/>
      <c r="YE1" s="184"/>
      <c r="YF1" s="184"/>
      <c r="YG1" s="184"/>
      <c r="YH1" s="184"/>
      <c r="YI1" s="184"/>
      <c r="YJ1" s="184"/>
      <c r="YK1" s="184"/>
      <c r="YL1" s="184"/>
      <c r="YM1" s="184"/>
      <c r="YN1" s="184"/>
      <c r="YO1" s="184"/>
      <c r="YP1" s="184"/>
      <c r="YQ1" s="184"/>
      <c r="YR1" s="184"/>
      <c r="YS1" s="184"/>
      <c r="YT1" s="184"/>
      <c r="YU1" s="184"/>
      <c r="YV1" s="184"/>
      <c r="YW1" s="184"/>
      <c r="YX1" s="184"/>
      <c r="YY1" s="184"/>
      <c r="YZ1" s="184"/>
      <c r="ZA1" s="184"/>
      <c r="ZB1" s="184"/>
      <c r="ZC1" s="184"/>
      <c r="ZD1" s="184"/>
      <c r="ZE1" s="184"/>
      <c r="ZF1" s="184"/>
      <c r="ZG1" s="184"/>
      <c r="ZH1" s="184"/>
      <c r="ZI1" s="184"/>
      <c r="ZJ1" s="184"/>
      <c r="ZK1" s="184"/>
      <c r="ZL1" s="184"/>
      <c r="ZM1" s="184"/>
      <c r="ZN1" s="184"/>
      <c r="ZO1" s="184"/>
      <c r="ZP1" s="184"/>
      <c r="ZQ1" s="184"/>
      <c r="ZR1" s="184"/>
      <c r="ZS1" s="184"/>
      <c r="ZT1" s="184"/>
      <c r="ZU1" s="184"/>
      <c r="ZV1" s="184"/>
      <c r="ZW1" s="184"/>
      <c r="ZX1" s="184"/>
      <c r="ZY1" s="184"/>
      <c r="ZZ1" s="184"/>
      <c r="AAA1" s="184"/>
      <c r="AAB1" s="184"/>
      <c r="AAC1" s="184"/>
      <c r="AAD1" s="184"/>
      <c r="AAE1" s="184"/>
      <c r="AAF1" s="184"/>
      <c r="AAG1" s="184"/>
      <c r="AAH1" s="184"/>
      <c r="AAI1" s="184"/>
      <c r="AAJ1" s="184"/>
      <c r="AAK1" s="184"/>
      <c r="AAL1" s="184"/>
      <c r="AAM1" s="184"/>
      <c r="AAN1" s="184"/>
      <c r="AAO1" s="184"/>
      <c r="AAP1" s="184"/>
      <c r="AAQ1" s="184"/>
      <c r="AAR1" s="184"/>
      <c r="AAS1" s="184"/>
      <c r="AAT1" s="184"/>
      <c r="AAU1" s="184"/>
      <c r="AAV1" s="184"/>
      <c r="AAW1" s="184"/>
      <c r="AAX1" s="184"/>
      <c r="AAY1" s="184"/>
      <c r="AAZ1" s="184"/>
      <c r="ABA1" s="184"/>
      <c r="ABB1" s="184"/>
      <c r="ABC1" s="184"/>
      <c r="ABD1" s="184"/>
      <c r="ABE1" s="184"/>
      <c r="ABF1" s="184"/>
      <c r="ABG1" s="184"/>
      <c r="ABH1" s="184"/>
      <c r="ABI1" s="184"/>
      <c r="ABJ1" s="184"/>
      <c r="ABK1" s="184"/>
      <c r="ABL1" s="184"/>
      <c r="ABM1" s="184"/>
      <c r="ABN1" s="184"/>
      <c r="ABO1" s="184"/>
      <c r="ABP1" s="184"/>
      <c r="ABQ1" s="184"/>
      <c r="ABR1" s="184"/>
      <c r="ABS1" s="184"/>
      <c r="ABT1" s="184"/>
      <c r="ABU1" s="184"/>
      <c r="ABV1" s="184"/>
      <c r="ABW1" s="184"/>
      <c r="ABX1" s="184"/>
      <c r="ABY1" s="184"/>
      <c r="ABZ1" s="184"/>
      <c r="ACA1" s="184"/>
      <c r="ACB1" s="184"/>
      <c r="ACC1" s="184"/>
      <c r="ACD1" s="184"/>
      <c r="ACE1" s="184"/>
      <c r="ACF1" s="184"/>
      <c r="ACG1" s="184"/>
      <c r="ACH1" s="184"/>
      <c r="ACI1" s="184"/>
      <c r="ACJ1" s="184"/>
      <c r="ACK1" s="184"/>
      <c r="ACL1" s="184"/>
      <c r="ACM1" s="184"/>
      <c r="ACN1" s="184"/>
      <c r="ACO1" s="184"/>
      <c r="ACP1" s="184"/>
      <c r="ACQ1" s="184"/>
      <c r="ACR1" s="184"/>
      <c r="ACS1" s="184"/>
      <c r="ACT1" s="184"/>
      <c r="ACU1" s="184"/>
      <c r="ACV1" s="184"/>
      <c r="ACW1" s="184"/>
      <c r="ACX1" s="184"/>
      <c r="ACY1" s="184"/>
      <c r="ACZ1" s="184"/>
      <c r="ADA1" s="184"/>
      <c r="ADB1" s="184"/>
      <c r="ADC1" s="184"/>
      <c r="ADD1" s="184"/>
      <c r="ADE1" s="184"/>
      <c r="ADF1" s="184"/>
      <c r="ADG1" s="184"/>
      <c r="ADH1" s="184"/>
      <c r="ADI1" s="184"/>
      <c r="ADJ1" s="184"/>
      <c r="ADK1" s="184"/>
      <c r="ADL1" s="184"/>
      <c r="ADM1" s="184"/>
      <c r="ADN1" s="184"/>
      <c r="ADO1" s="184"/>
      <c r="ADP1" s="184"/>
      <c r="ADQ1" s="184"/>
      <c r="ADR1" s="184"/>
      <c r="ADS1" s="184"/>
      <c r="ADT1" s="184"/>
      <c r="ADU1" s="184"/>
      <c r="ADV1" s="184"/>
      <c r="ADW1" s="184"/>
      <c r="ADX1" s="184"/>
      <c r="ADY1" s="184"/>
      <c r="ADZ1" s="184"/>
      <c r="AEA1" s="184"/>
      <c r="AEB1" s="184"/>
      <c r="AEC1" s="184"/>
      <c r="AED1" s="184"/>
      <c r="AEE1" s="184"/>
      <c r="AEF1" s="184"/>
      <c r="AEG1" s="184"/>
      <c r="AEH1" s="184"/>
      <c r="AEI1" s="184"/>
      <c r="AEJ1" s="184"/>
      <c r="AEK1" s="184"/>
      <c r="AEL1" s="184"/>
      <c r="AEM1" s="184"/>
      <c r="AEN1" s="184"/>
      <c r="AEO1" s="184"/>
      <c r="AEP1" s="184"/>
      <c r="AEQ1" s="184"/>
      <c r="AER1" s="184"/>
      <c r="AES1" s="184"/>
      <c r="AET1" s="184"/>
      <c r="AEU1" s="184"/>
      <c r="AEV1" s="184"/>
      <c r="AEW1" s="184"/>
      <c r="AEX1" s="184"/>
      <c r="AEY1" s="184"/>
      <c r="AEZ1" s="184"/>
      <c r="AFA1" s="184"/>
      <c r="AFB1" s="184"/>
      <c r="AFC1" s="184"/>
      <c r="AFD1" s="184"/>
      <c r="AFE1" s="184"/>
      <c r="AFF1" s="184"/>
      <c r="AFG1" s="184"/>
      <c r="AFH1" s="184"/>
      <c r="AFI1" s="184"/>
      <c r="AFJ1" s="184"/>
      <c r="AFK1" s="184"/>
      <c r="AFL1" s="184"/>
      <c r="AFM1" s="184"/>
      <c r="AFN1" s="184"/>
      <c r="AFO1" s="184"/>
      <c r="AFP1" s="184"/>
      <c r="AFQ1" s="184"/>
      <c r="AFR1" s="184"/>
      <c r="AFS1" s="184"/>
      <c r="AFT1" s="184"/>
      <c r="AFU1" s="184"/>
      <c r="AFV1" s="184"/>
      <c r="AFW1" s="184"/>
      <c r="AFX1" s="184"/>
      <c r="AFY1" s="184"/>
      <c r="AFZ1" s="184"/>
      <c r="AGA1" s="184"/>
      <c r="AGB1" s="184"/>
      <c r="AGC1" s="184"/>
      <c r="AGD1" s="184"/>
      <c r="AGE1" s="184"/>
      <c r="AGF1" s="184"/>
      <c r="AGG1" s="184"/>
      <c r="AGH1" s="184"/>
      <c r="AGI1" s="184"/>
      <c r="AGJ1" s="184"/>
      <c r="AGK1" s="184"/>
      <c r="AGL1" s="184"/>
      <c r="AGM1" s="184"/>
      <c r="AGN1" s="184"/>
      <c r="AGO1" s="184"/>
      <c r="AGP1" s="184"/>
      <c r="AGQ1" s="184"/>
      <c r="AGR1" s="184"/>
      <c r="AGS1" s="184"/>
      <c r="AGT1" s="184"/>
      <c r="AGU1" s="184"/>
      <c r="AGV1" s="184"/>
      <c r="AGW1" s="184"/>
      <c r="AGX1" s="184"/>
      <c r="AGY1" s="184"/>
      <c r="AGZ1" s="184"/>
      <c r="AHA1" s="184"/>
      <c r="AHB1" s="184"/>
      <c r="AHC1" s="184"/>
      <c r="AHD1" s="184"/>
      <c r="AHE1" s="184"/>
      <c r="AHF1" s="184"/>
      <c r="AHG1" s="184"/>
      <c r="AHH1" s="184"/>
      <c r="AHI1" s="184"/>
      <c r="AHJ1" s="184"/>
      <c r="AHK1" s="184"/>
      <c r="AHL1" s="184"/>
      <c r="AHM1" s="184"/>
      <c r="AHN1" s="184"/>
      <c r="AHO1" s="184"/>
      <c r="AHP1" s="184"/>
      <c r="AHQ1" s="184"/>
      <c r="AHR1" s="184"/>
      <c r="AHS1" s="184"/>
      <c r="AHT1" s="184"/>
      <c r="AHU1" s="184"/>
      <c r="AHV1" s="184"/>
      <c r="AHW1" s="184"/>
      <c r="AHX1" s="184"/>
      <c r="AHY1" s="184"/>
      <c r="AHZ1" s="184"/>
      <c r="AIA1" s="184"/>
      <c r="AIB1" s="184"/>
      <c r="AIC1" s="184"/>
      <c r="AID1" s="184"/>
      <c r="AIE1" s="184"/>
      <c r="AIF1" s="184"/>
      <c r="AIG1" s="184"/>
      <c r="AIH1" s="184"/>
      <c r="AII1" s="184"/>
      <c r="AIJ1" s="184"/>
      <c r="AIK1" s="184"/>
      <c r="AIL1" s="184"/>
      <c r="AIM1" s="184"/>
      <c r="AIN1" s="184"/>
      <c r="AIO1" s="184"/>
      <c r="AIP1" s="184"/>
      <c r="AIQ1" s="184"/>
      <c r="AIR1" s="184"/>
      <c r="AIS1" s="184"/>
      <c r="AIT1" s="184"/>
      <c r="AIU1" s="184"/>
      <c r="AIV1" s="184"/>
      <c r="AIW1" s="184"/>
      <c r="AIX1" s="184"/>
      <c r="AIY1" s="184"/>
      <c r="AIZ1" s="184"/>
      <c r="AJA1" s="184"/>
      <c r="AJB1" s="184"/>
      <c r="AJC1" s="184"/>
      <c r="AJD1" s="184"/>
      <c r="AJE1" s="184"/>
      <c r="AJF1" s="184"/>
      <c r="AJG1" s="184"/>
      <c r="AJH1" s="184"/>
      <c r="AJI1" s="184"/>
      <c r="AJJ1" s="184"/>
      <c r="AJK1" s="184"/>
      <c r="AJL1" s="184"/>
      <c r="AJM1" s="184"/>
      <c r="AJN1" s="184"/>
      <c r="AJO1" s="184"/>
      <c r="AJP1" s="184"/>
      <c r="AJQ1" s="184"/>
      <c r="AJR1" s="184"/>
      <c r="AJS1" s="184"/>
      <c r="AJT1" s="184"/>
      <c r="AJU1" s="184"/>
      <c r="AJV1" s="184"/>
      <c r="AJW1" s="184"/>
      <c r="AJX1" s="184"/>
      <c r="AJY1" s="184"/>
      <c r="AJZ1" s="184"/>
      <c r="AKA1" s="184"/>
      <c r="AKB1" s="184"/>
      <c r="AKC1" s="184"/>
      <c r="AKD1" s="184"/>
      <c r="AKE1" s="184"/>
      <c r="AKF1" s="184"/>
      <c r="AKG1" s="184"/>
      <c r="AKH1" s="184"/>
      <c r="AKI1" s="184"/>
      <c r="AKJ1" s="184"/>
      <c r="AKK1" s="184"/>
      <c r="AKL1" s="184"/>
      <c r="AKM1" s="184"/>
      <c r="AKN1" s="184"/>
      <c r="AKO1" s="184"/>
      <c r="AKP1" s="184"/>
      <c r="AKQ1" s="184"/>
      <c r="AKR1" s="184"/>
      <c r="AKS1" s="184"/>
      <c r="AKT1" s="184"/>
      <c r="AKU1" s="184"/>
      <c r="AKV1" s="184"/>
      <c r="AKW1" s="184"/>
      <c r="AKX1" s="184"/>
      <c r="AKY1" s="184"/>
      <c r="AKZ1" s="184"/>
      <c r="ALA1" s="184"/>
      <c r="ALB1" s="184"/>
      <c r="ALC1" s="184"/>
      <c r="ALD1" s="184"/>
      <c r="ALE1" s="184"/>
      <c r="ALF1" s="184"/>
      <c r="ALG1" s="184"/>
      <c r="ALH1" s="184"/>
      <c r="ALI1" s="184"/>
      <c r="ALJ1" s="184"/>
      <c r="ALK1" s="184"/>
      <c r="ALL1" s="184"/>
      <c r="ALM1" s="184"/>
      <c r="ALN1" s="184"/>
      <c r="ALO1" s="184"/>
      <c r="ALP1" s="184"/>
      <c r="ALQ1" s="184"/>
      <c r="ALR1" s="184"/>
      <c r="ALS1" s="184"/>
      <c r="ALT1" s="184"/>
      <c r="ALU1" s="184"/>
      <c r="ALV1" s="184"/>
      <c r="ALW1" s="184"/>
      <c r="ALX1" s="184"/>
      <c r="ALY1" s="184"/>
      <c r="ALZ1" s="184"/>
      <c r="AMA1" s="184"/>
      <c r="AMB1" s="184"/>
      <c r="AMC1" s="184"/>
      <c r="AMD1" s="184"/>
      <c r="AME1" s="184"/>
      <c r="AMF1" s="184"/>
      <c r="AMG1" s="184"/>
      <c r="AMH1" s="184"/>
      <c r="AMI1" s="184"/>
      <c r="AMJ1" s="184"/>
      <c r="AMK1" s="184"/>
      <c r="AML1" s="184"/>
      <c r="AMM1" s="184"/>
      <c r="AMN1" s="184"/>
      <c r="AMO1" s="184"/>
      <c r="AMP1" s="184"/>
      <c r="AMQ1" s="184"/>
      <c r="AMR1" s="184"/>
      <c r="AMS1" s="184"/>
      <c r="AMT1" s="184"/>
      <c r="AMU1" s="184"/>
      <c r="AMV1" s="184"/>
      <c r="AMW1" s="184"/>
      <c r="AMX1" s="184"/>
      <c r="AMY1" s="184"/>
      <c r="AMZ1" s="184"/>
      <c r="ANA1" s="184"/>
      <c r="ANB1" s="184"/>
      <c r="ANC1" s="184"/>
      <c r="AND1" s="184"/>
      <c r="ANE1" s="184"/>
      <c r="ANF1" s="184"/>
      <c r="ANG1" s="184"/>
      <c r="ANH1" s="184"/>
      <c r="ANI1" s="184"/>
      <c r="ANJ1" s="184"/>
      <c r="ANK1" s="184"/>
      <c r="ANL1" s="184"/>
      <c r="ANM1" s="184"/>
      <c r="ANN1" s="184"/>
      <c r="ANO1" s="184"/>
      <c r="ANP1" s="184"/>
      <c r="ANQ1" s="184"/>
      <c r="ANR1" s="184"/>
      <c r="ANS1" s="184"/>
      <c r="ANT1" s="184"/>
      <c r="ANU1" s="184"/>
      <c r="ANV1" s="184"/>
      <c r="ANW1" s="184"/>
      <c r="ANX1" s="184"/>
      <c r="ANY1" s="184"/>
      <c r="ANZ1" s="184"/>
      <c r="AOA1" s="184"/>
      <c r="AOB1" s="184"/>
      <c r="AOC1" s="184"/>
      <c r="AOD1" s="184"/>
      <c r="AOE1" s="184"/>
      <c r="AOF1" s="184"/>
      <c r="AOG1" s="184"/>
      <c r="AOH1" s="184"/>
      <c r="AOI1" s="184"/>
      <c r="AOJ1" s="184"/>
      <c r="AOK1" s="184"/>
      <c r="AOL1" s="184"/>
      <c r="AOM1" s="184"/>
      <c r="AON1" s="184"/>
      <c r="AOO1" s="184"/>
      <c r="AOP1" s="184"/>
      <c r="AOQ1" s="184"/>
      <c r="AOR1" s="184"/>
      <c r="AOS1" s="184"/>
      <c r="AOT1" s="184"/>
      <c r="AOU1" s="184"/>
      <c r="AOV1" s="184"/>
      <c r="AOW1" s="184"/>
      <c r="AOX1" s="184"/>
      <c r="AOY1" s="184"/>
      <c r="AOZ1" s="184"/>
      <c r="APA1" s="184"/>
      <c r="APB1" s="184"/>
      <c r="APC1" s="184"/>
      <c r="APD1" s="184"/>
      <c r="APE1" s="184"/>
      <c r="APF1" s="184"/>
      <c r="APG1" s="184"/>
      <c r="APH1" s="184"/>
      <c r="API1" s="184"/>
      <c r="APJ1" s="184"/>
      <c r="APK1" s="184"/>
      <c r="APL1" s="184"/>
      <c r="APM1" s="184"/>
      <c r="APN1" s="184"/>
      <c r="APO1" s="184"/>
      <c r="APP1" s="184"/>
      <c r="APQ1" s="184"/>
      <c r="APR1" s="184"/>
      <c r="APS1" s="184"/>
      <c r="APT1" s="184"/>
      <c r="APU1" s="184"/>
      <c r="APV1" s="184"/>
      <c r="APW1" s="184"/>
      <c r="APX1" s="184"/>
      <c r="APY1" s="184"/>
      <c r="APZ1" s="184"/>
      <c r="AQA1" s="184"/>
      <c r="AQB1" s="184"/>
      <c r="AQC1" s="184"/>
      <c r="AQD1" s="184"/>
      <c r="AQE1" s="184"/>
      <c r="AQF1" s="184"/>
      <c r="AQG1" s="184"/>
      <c r="AQH1" s="184"/>
      <c r="AQI1" s="184"/>
      <c r="AQJ1" s="184"/>
      <c r="AQK1" s="184"/>
      <c r="AQL1" s="184"/>
      <c r="AQM1" s="184"/>
      <c r="AQN1" s="184"/>
      <c r="AQO1" s="184"/>
      <c r="AQP1" s="184"/>
      <c r="AQQ1" s="184"/>
      <c r="AQR1" s="184"/>
      <c r="AQS1" s="184"/>
      <c r="AQT1" s="184"/>
      <c r="AQU1" s="184"/>
      <c r="AQV1" s="184"/>
      <c r="AQW1" s="184"/>
      <c r="AQX1" s="184"/>
      <c r="AQY1" s="184"/>
      <c r="AQZ1" s="184"/>
      <c r="ARA1" s="184"/>
      <c r="ARB1" s="184"/>
      <c r="ARC1" s="184"/>
      <c r="ARD1" s="184"/>
      <c r="ARE1" s="184"/>
      <c r="ARF1" s="184"/>
      <c r="ARG1" s="184"/>
      <c r="ARH1" s="184"/>
      <c r="ARI1" s="184"/>
      <c r="ARJ1" s="184"/>
      <c r="ARK1" s="184"/>
      <c r="ARL1" s="184"/>
      <c r="ARM1" s="184"/>
      <c r="ARN1" s="184"/>
      <c r="ARO1" s="184"/>
      <c r="ARP1" s="184"/>
      <c r="ARQ1" s="184"/>
      <c r="ARR1" s="184"/>
      <c r="ARS1" s="184"/>
      <c r="ART1" s="184"/>
      <c r="ARU1" s="184"/>
      <c r="ARV1" s="184"/>
      <c r="ARW1" s="184"/>
      <c r="ARX1" s="184"/>
      <c r="ARY1" s="184"/>
      <c r="ARZ1" s="184"/>
      <c r="ASA1" s="184"/>
      <c r="ASB1" s="184"/>
      <c r="ASC1" s="184"/>
      <c r="ASD1" s="184"/>
      <c r="ASE1" s="184"/>
      <c r="ASF1" s="184"/>
      <c r="ASG1" s="184"/>
      <c r="ASH1" s="184"/>
      <c r="ASI1" s="184"/>
      <c r="ASJ1" s="184"/>
      <c r="ASK1" s="184"/>
      <c r="ASL1" s="184"/>
      <c r="ASM1" s="184"/>
      <c r="ASN1" s="184"/>
      <c r="ASO1" s="184"/>
      <c r="ASP1" s="184"/>
      <c r="ASQ1" s="184"/>
      <c r="ASR1" s="184"/>
      <c r="ASS1" s="184"/>
      <c r="AST1" s="184"/>
      <c r="ASU1" s="184"/>
      <c r="ASV1" s="184"/>
      <c r="ASW1" s="184"/>
      <c r="ASX1" s="184"/>
      <c r="ASY1" s="184"/>
      <c r="ASZ1" s="184"/>
      <c r="ATA1" s="184"/>
      <c r="ATB1" s="184"/>
      <c r="ATC1" s="184"/>
      <c r="ATD1" s="184"/>
      <c r="ATE1" s="184"/>
      <c r="ATF1" s="184"/>
      <c r="ATG1" s="184"/>
      <c r="ATH1" s="184"/>
      <c r="ATI1" s="184"/>
      <c r="ATJ1" s="184"/>
      <c r="ATK1" s="184"/>
      <c r="ATL1" s="184"/>
      <c r="ATM1" s="184"/>
      <c r="ATN1" s="184"/>
      <c r="ATO1" s="184"/>
      <c r="ATP1" s="184"/>
      <c r="ATQ1" s="184"/>
      <c r="ATR1" s="184"/>
      <c r="ATS1" s="184"/>
      <c r="ATT1" s="184"/>
      <c r="ATU1" s="184"/>
      <c r="ATV1" s="184"/>
      <c r="ATW1" s="184"/>
      <c r="ATX1" s="184"/>
      <c r="ATY1" s="184"/>
      <c r="ATZ1" s="184"/>
      <c r="AUA1" s="184"/>
      <c r="AUB1" s="184"/>
      <c r="AUC1" s="184"/>
      <c r="AUD1" s="184"/>
      <c r="AUE1" s="184"/>
      <c r="AUF1" s="184"/>
      <c r="AUG1" s="184"/>
      <c r="AUH1" s="184"/>
      <c r="AUI1" s="184"/>
      <c r="AUJ1" s="184"/>
      <c r="AUK1" s="184"/>
      <c r="AUL1" s="184"/>
      <c r="AUM1" s="184"/>
      <c r="AUN1" s="184"/>
      <c r="AUO1" s="184"/>
      <c r="AUP1" s="184"/>
      <c r="AUQ1" s="184"/>
      <c r="AUR1" s="184"/>
      <c r="AUS1" s="184"/>
      <c r="AUT1" s="184"/>
      <c r="AUU1" s="184"/>
      <c r="AUV1" s="184"/>
      <c r="AUW1" s="184"/>
      <c r="AUX1" s="184"/>
      <c r="AUY1" s="184"/>
      <c r="AUZ1" s="184"/>
      <c r="AVA1" s="184"/>
      <c r="AVB1" s="184"/>
      <c r="AVC1" s="184"/>
      <c r="AVD1" s="184"/>
      <c r="AVE1" s="184"/>
      <c r="AVF1" s="184"/>
      <c r="AVG1" s="184"/>
      <c r="AVH1" s="184"/>
      <c r="AVI1" s="184"/>
      <c r="AVJ1" s="184"/>
      <c r="AVK1" s="184"/>
      <c r="AVL1" s="184"/>
      <c r="AVM1" s="184"/>
      <c r="AVN1" s="184"/>
      <c r="AVO1" s="184"/>
      <c r="AVP1" s="184"/>
      <c r="AVQ1" s="184"/>
      <c r="AVR1" s="184"/>
      <c r="AVS1" s="184"/>
      <c r="AVT1" s="184"/>
      <c r="AVU1" s="184"/>
      <c r="AVV1" s="184"/>
      <c r="AVW1" s="184"/>
      <c r="AVX1" s="184"/>
      <c r="AVY1" s="184"/>
      <c r="AVZ1" s="184"/>
      <c r="AWA1" s="184"/>
      <c r="AWB1" s="184"/>
      <c r="AWC1" s="184"/>
      <c r="AWD1" s="184"/>
      <c r="AWE1" s="184"/>
      <c r="AWF1" s="184"/>
      <c r="AWG1" s="184"/>
      <c r="AWH1" s="184"/>
      <c r="AWI1" s="184"/>
      <c r="AWJ1" s="184"/>
      <c r="AWK1" s="184"/>
      <c r="AWL1" s="184"/>
      <c r="AWM1" s="184"/>
      <c r="AWN1" s="184"/>
      <c r="AWO1" s="184"/>
      <c r="AWP1" s="184"/>
      <c r="AWQ1" s="184"/>
      <c r="AWR1" s="184"/>
      <c r="AWS1" s="184"/>
      <c r="AWT1" s="184"/>
      <c r="AWU1" s="184"/>
      <c r="AWV1" s="184"/>
      <c r="AWW1" s="184"/>
      <c r="AWX1" s="184"/>
      <c r="AWY1" s="184"/>
      <c r="AWZ1" s="184"/>
      <c r="AXA1" s="184"/>
      <c r="AXB1" s="184"/>
      <c r="AXC1" s="184"/>
      <c r="AXD1" s="184"/>
      <c r="AXE1" s="184"/>
      <c r="AXF1" s="184"/>
      <c r="AXG1" s="184"/>
      <c r="AXH1" s="184"/>
      <c r="AXI1" s="184"/>
      <c r="AXJ1" s="184"/>
      <c r="AXK1" s="184"/>
      <c r="AXL1" s="184"/>
      <c r="AXM1" s="184"/>
      <c r="AXN1" s="184"/>
      <c r="AXO1" s="184"/>
      <c r="AXP1" s="184"/>
      <c r="AXQ1" s="184"/>
      <c r="AXR1" s="184"/>
      <c r="AXS1" s="184"/>
      <c r="AXT1" s="184"/>
      <c r="AXU1" s="184"/>
      <c r="AXV1" s="184"/>
      <c r="AXW1" s="184"/>
      <c r="AXX1" s="184"/>
      <c r="AXY1" s="184"/>
      <c r="AXZ1" s="184"/>
      <c r="AYA1" s="184"/>
      <c r="AYB1" s="184"/>
      <c r="AYC1" s="184"/>
      <c r="AYD1" s="184"/>
      <c r="AYE1" s="184"/>
      <c r="AYF1" s="184"/>
      <c r="AYG1" s="184"/>
      <c r="AYH1" s="184"/>
      <c r="AYI1" s="184"/>
      <c r="AYJ1" s="184"/>
      <c r="AYK1" s="184"/>
      <c r="AYL1" s="184"/>
      <c r="AYM1" s="184"/>
      <c r="AYN1" s="184"/>
      <c r="AYO1" s="184"/>
      <c r="AYP1" s="184"/>
      <c r="AYQ1" s="184"/>
      <c r="AYR1" s="184"/>
      <c r="AYS1" s="184"/>
      <c r="AYT1" s="184"/>
      <c r="AYU1" s="184"/>
      <c r="AYV1" s="184"/>
      <c r="AYW1" s="184"/>
      <c r="AYX1" s="184"/>
      <c r="AYY1" s="184"/>
      <c r="AYZ1" s="184"/>
      <c r="AZA1" s="184"/>
      <c r="AZB1" s="184"/>
      <c r="AZC1" s="184"/>
      <c r="AZD1" s="184"/>
      <c r="AZE1" s="184"/>
      <c r="AZF1" s="184"/>
      <c r="AZG1" s="184"/>
      <c r="AZH1" s="184"/>
      <c r="AZI1" s="184"/>
      <c r="AZJ1" s="184"/>
      <c r="AZK1" s="184"/>
      <c r="AZL1" s="184"/>
      <c r="AZM1" s="184"/>
      <c r="AZN1" s="184"/>
      <c r="AZO1" s="184"/>
      <c r="AZP1" s="184"/>
      <c r="AZQ1" s="184"/>
      <c r="AZR1" s="184"/>
      <c r="AZS1" s="184"/>
      <c r="AZT1" s="184"/>
      <c r="AZU1" s="184"/>
      <c r="AZV1" s="184"/>
      <c r="AZW1" s="184"/>
      <c r="AZX1" s="184"/>
      <c r="AZY1" s="184"/>
      <c r="AZZ1" s="184"/>
      <c r="BAA1" s="184"/>
      <c r="BAB1" s="184"/>
      <c r="BAC1" s="184"/>
      <c r="BAD1" s="184"/>
      <c r="BAE1" s="184"/>
      <c r="BAF1" s="184"/>
      <c r="BAG1" s="184"/>
      <c r="BAH1" s="184"/>
      <c r="BAI1" s="184"/>
      <c r="BAJ1" s="184"/>
      <c r="BAK1" s="184"/>
      <c r="BAL1" s="184"/>
      <c r="BAM1" s="184"/>
      <c r="BAN1" s="184"/>
      <c r="BAO1" s="184"/>
      <c r="BAP1" s="184"/>
      <c r="BAQ1" s="184"/>
      <c r="BAR1" s="184"/>
      <c r="BAS1" s="184"/>
      <c r="BAT1" s="184"/>
      <c r="BAU1" s="184"/>
      <c r="BAV1" s="184"/>
      <c r="BAW1" s="184"/>
      <c r="BAX1" s="184"/>
      <c r="BAY1" s="184"/>
      <c r="BAZ1" s="184"/>
      <c r="BBA1" s="184"/>
      <c r="BBB1" s="184"/>
      <c r="BBC1" s="184"/>
      <c r="BBD1" s="184"/>
      <c r="BBE1" s="184"/>
      <c r="BBF1" s="184"/>
      <c r="BBG1" s="184"/>
      <c r="BBH1" s="184"/>
      <c r="BBI1" s="184"/>
      <c r="BBJ1" s="184"/>
      <c r="BBK1" s="184"/>
      <c r="BBL1" s="184"/>
      <c r="BBM1" s="184"/>
      <c r="BBN1" s="184"/>
      <c r="BBO1" s="184"/>
      <c r="BBP1" s="184"/>
      <c r="BBQ1" s="184"/>
      <c r="BBR1" s="184"/>
      <c r="BBS1" s="184"/>
      <c r="BBT1" s="184"/>
      <c r="BBU1" s="184"/>
      <c r="BBV1" s="184"/>
      <c r="BBW1" s="184"/>
      <c r="BBX1" s="184"/>
      <c r="BBY1" s="184"/>
      <c r="BBZ1" s="184"/>
      <c r="BCA1" s="184"/>
      <c r="BCB1" s="184"/>
      <c r="BCC1" s="184"/>
      <c r="BCD1" s="184"/>
      <c r="BCE1" s="184"/>
      <c r="BCF1" s="184"/>
      <c r="BCG1" s="184"/>
      <c r="BCH1" s="184"/>
      <c r="BCI1" s="184"/>
      <c r="BCJ1" s="184"/>
      <c r="BCK1" s="184"/>
      <c r="BCL1" s="184"/>
      <c r="BCM1" s="184"/>
      <c r="BCN1" s="184"/>
      <c r="BCO1" s="184"/>
      <c r="BCP1" s="184"/>
      <c r="BCQ1" s="184"/>
      <c r="BCR1" s="184"/>
      <c r="BCS1" s="184"/>
      <c r="BCT1" s="184"/>
      <c r="BCU1" s="184"/>
      <c r="BCV1" s="184"/>
      <c r="BCW1" s="184"/>
      <c r="BCX1" s="184"/>
      <c r="BCY1" s="184"/>
      <c r="BCZ1" s="184"/>
      <c r="BDA1" s="184"/>
      <c r="BDB1" s="184"/>
      <c r="BDC1" s="184"/>
      <c r="BDD1" s="184"/>
      <c r="BDE1" s="184"/>
      <c r="BDF1" s="184"/>
      <c r="BDG1" s="184"/>
      <c r="BDH1" s="184"/>
      <c r="BDI1" s="184"/>
      <c r="BDJ1" s="184"/>
      <c r="BDK1" s="184"/>
      <c r="BDL1" s="184"/>
      <c r="BDM1" s="184"/>
      <c r="BDN1" s="184"/>
      <c r="BDO1" s="184"/>
      <c r="BDP1" s="184"/>
      <c r="BDQ1" s="184"/>
      <c r="BDR1" s="184"/>
      <c r="BDS1" s="184"/>
      <c r="BDT1" s="184"/>
      <c r="BDU1" s="184"/>
      <c r="BDV1" s="184"/>
      <c r="BDW1" s="184"/>
      <c r="BDX1" s="184"/>
      <c r="BDY1" s="184"/>
      <c r="BDZ1" s="184"/>
      <c r="BEA1" s="184"/>
      <c r="BEB1" s="184"/>
      <c r="BEC1" s="184"/>
      <c r="BED1" s="184"/>
      <c r="BEE1" s="184"/>
      <c r="BEF1" s="184"/>
      <c r="BEG1" s="184"/>
      <c r="BEH1" s="184"/>
      <c r="BEI1" s="184"/>
      <c r="BEJ1" s="184"/>
      <c r="BEK1" s="184"/>
      <c r="BEL1" s="184"/>
      <c r="BEM1" s="184"/>
      <c r="BEN1" s="184"/>
      <c r="BEO1" s="184"/>
      <c r="BEP1" s="184"/>
      <c r="BEQ1" s="184"/>
      <c r="BER1" s="184"/>
      <c r="BES1" s="184"/>
      <c r="BET1" s="184"/>
      <c r="BEU1" s="184"/>
      <c r="BEV1" s="184"/>
      <c r="BEW1" s="184"/>
      <c r="BEX1" s="184"/>
      <c r="BEY1" s="184"/>
      <c r="BEZ1" s="184"/>
      <c r="BFA1" s="184"/>
      <c r="BFB1" s="184"/>
      <c r="BFC1" s="184"/>
      <c r="BFD1" s="184"/>
      <c r="BFE1" s="184"/>
      <c r="BFF1" s="184"/>
      <c r="BFG1" s="184"/>
      <c r="BFH1" s="184"/>
      <c r="BFI1" s="184"/>
      <c r="BFJ1" s="184"/>
      <c r="BFK1" s="184"/>
      <c r="BFL1" s="184"/>
      <c r="BFM1" s="184"/>
      <c r="BFN1" s="184"/>
      <c r="BFO1" s="184"/>
      <c r="BFP1" s="184"/>
      <c r="BFQ1" s="184"/>
      <c r="BFR1" s="184"/>
      <c r="BFS1" s="184"/>
      <c r="BFT1" s="184"/>
      <c r="BFU1" s="184"/>
      <c r="BFV1" s="184"/>
      <c r="BFW1" s="184"/>
      <c r="BFX1" s="184"/>
      <c r="BFY1" s="184"/>
      <c r="BFZ1" s="184"/>
      <c r="BGA1" s="184"/>
      <c r="BGB1" s="184"/>
      <c r="BGC1" s="184"/>
      <c r="BGD1" s="184"/>
      <c r="BGE1" s="184"/>
      <c r="BGF1" s="184"/>
      <c r="BGG1" s="184"/>
      <c r="BGH1" s="184"/>
      <c r="BGI1" s="184"/>
      <c r="BGJ1" s="184"/>
      <c r="BGK1" s="184"/>
      <c r="BGL1" s="184"/>
      <c r="BGM1" s="184"/>
      <c r="BGN1" s="184"/>
      <c r="BGO1" s="184"/>
      <c r="BGP1" s="184"/>
      <c r="BGQ1" s="184"/>
      <c r="BGR1" s="184"/>
      <c r="BGS1" s="184"/>
      <c r="BGT1" s="184"/>
      <c r="BGU1" s="184"/>
      <c r="BGV1" s="184"/>
      <c r="BGW1" s="184"/>
      <c r="BGX1" s="184"/>
      <c r="BGY1" s="184"/>
      <c r="BGZ1" s="184"/>
      <c r="BHA1" s="184"/>
      <c r="BHB1" s="184"/>
      <c r="BHC1" s="184"/>
      <c r="BHD1" s="184"/>
      <c r="BHE1" s="184"/>
      <c r="BHF1" s="184"/>
      <c r="BHG1" s="184"/>
      <c r="BHH1" s="184"/>
      <c r="BHI1" s="184"/>
      <c r="BHJ1" s="184"/>
      <c r="BHK1" s="184"/>
      <c r="BHL1" s="184"/>
      <c r="BHM1" s="184"/>
      <c r="BHN1" s="184"/>
      <c r="BHO1" s="184"/>
      <c r="BHP1" s="184"/>
      <c r="BHQ1" s="184"/>
      <c r="BHR1" s="184"/>
      <c r="BHS1" s="184"/>
      <c r="BHT1" s="184"/>
      <c r="BHU1" s="184"/>
      <c r="BHV1" s="184"/>
      <c r="BHW1" s="184"/>
      <c r="BHX1" s="184"/>
      <c r="BHY1" s="184"/>
      <c r="BHZ1" s="184"/>
      <c r="BIA1" s="184"/>
      <c r="BIB1" s="184"/>
      <c r="BIC1" s="184"/>
      <c r="BID1" s="184"/>
      <c r="BIE1" s="184"/>
      <c r="BIF1" s="184"/>
      <c r="BIG1" s="184"/>
      <c r="BIH1" s="184"/>
      <c r="BII1" s="184"/>
      <c r="BIJ1" s="184"/>
      <c r="BIK1" s="184"/>
      <c r="BIL1" s="184"/>
      <c r="BIM1" s="184"/>
      <c r="BIN1" s="184"/>
      <c r="BIO1" s="184"/>
      <c r="BIP1" s="184"/>
      <c r="BIQ1" s="184"/>
      <c r="BIR1" s="184"/>
      <c r="BIS1" s="184"/>
      <c r="BIT1" s="184"/>
      <c r="BIU1" s="184"/>
      <c r="BIV1" s="184"/>
      <c r="BIW1" s="184"/>
      <c r="BIX1" s="184"/>
      <c r="BIY1" s="184"/>
      <c r="BIZ1" s="184"/>
      <c r="BJA1" s="184"/>
      <c r="BJB1" s="184"/>
      <c r="BJC1" s="184"/>
      <c r="BJD1" s="184"/>
      <c r="BJE1" s="184"/>
      <c r="BJF1" s="184"/>
      <c r="BJG1" s="184"/>
      <c r="BJH1" s="184"/>
      <c r="BJI1" s="184"/>
      <c r="BJJ1" s="184"/>
      <c r="BJK1" s="184"/>
      <c r="BJL1" s="184"/>
      <c r="BJM1" s="184"/>
      <c r="BJN1" s="184"/>
      <c r="BJO1" s="184"/>
      <c r="BJP1" s="184"/>
      <c r="BJQ1" s="184"/>
      <c r="BJR1" s="184"/>
      <c r="BJS1" s="184"/>
      <c r="BJT1" s="184"/>
      <c r="BJU1" s="184"/>
      <c r="BJV1" s="184"/>
      <c r="BJW1" s="184"/>
      <c r="BJX1" s="184"/>
      <c r="BJY1" s="184"/>
      <c r="BJZ1" s="184"/>
      <c r="BKA1" s="184"/>
      <c r="BKB1" s="184"/>
      <c r="BKC1" s="184"/>
      <c r="BKD1" s="184"/>
      <c r="BKE1" s="184"/>
      <c r="BKF1" s="184"/>
      <c r="BKG1" s="184"/>
      <c r="BKH1" s="184"/>
      <c r="BKI1" s="184"/>
      <c r="BKJ1" s="184"/>
      <c r="BKK1" s="184"/>
      <c r="BKL1" s="184"/>
      <c r="BKM1" s="184"/>
      <c r="BKN1" s="184"/>
      <c r="BKO1" s="184"/>
      <c r="BKP1" s="184"/>
      <c r="BKQ1" s="184"/>
      <c r="BKR1" s="184"/>
      <c r="BKS1" s="184"/>
      <c r="BKT1" s="184"/>
      <c r="BKU1" s="184"/>
      <c r="BKV1" s="184"/>
      <c r="BKW1" s="184"/>
      <c r="BKX1" s="184"/>
      <c r="BKY1" s="184"/>
      <c r="BKZ1" s="184"/>
      <c r="BLA1" s="184"/>
      <c r="BLB1" s="184"/>
      <c r="BLC1" s="184"/>
      <c r="BLD1" s="184"/>
      <c r="BLE1" s="184"/>
      <c r="BLF1" s="184"/>
      <c r="BLG1" s="184"/>
      <c r="BLH1" s="184"/>
      <c r="BLI1" s="184"/>
      <c r="BLJ1" s="184"/>
      <c r="BLK1" s="184"/>
      <c r="BLL1" s="184"/>
      <c r="BLM1" s="184"/>
      <c r="BLN1" s="184"/>
      <c r="BLO1" s="184"/>
      <c r="BLP1" s="184"/>
      <c r="BLQ1" s="184"/>
      <c r="BLR1" s="184"/>
      <c r="BLS1" s="184"/>
      <c r="BLT1" s="184"/>
      <c r="BLU1" s="184"/>
      <c r="BLV1" s="184"/>
      <c r="BLW1" s="184"/>
      <c r="BLX1" s="184"/>
      <c r="BLY1" s="184"/>
      <c r="BLZ1" s="184"/>
      <c r="BMA1" s="184"/>
      <c r="BMB1" s="184"/>
      <c r="BMC1" s="184"/>
      <c r="BMD1" s="184"/>
      <c r="BME1" s="184"/>
      <c r="BMF1" s="184"/>
      <c r="BMG1" s="184"/>
      <c r="BMH1" s="184"/>
      <c r="BMI1" s="184"/>
      <c r="BMJ1" s="184"/>
      <c r="BMK1" s="184"/>
      <c r="BML1" s="184"/>
      <c r="BMM1" s="184"/>
      <c r="BMN1" s="184"/>
      <c r="BMO1" s="184"/>
      <c r="BMP1" s="184"/>
      <c r="BMQ1" s="184"/>
      <c r="BMR1" s="184"/>
      <c r="BMS1" s="184"/>
      <c r="BMT1" s="184"/>
      <c r="BMU1" s="184"/>
      <c r="BMV1" s="184"/>
      <c r="BMW1" s="184"/>
      <c r="BMX1" s="184"/>
      <c r="BMY1" s="184"/>
      <c r="BMZ1" s="184"/>
      <c r="BNA1" s="184"/>
      <c r="BNB1" s="184"/>
      <c r="BNC1" s="184"/>
      <c r="BND1" s="184"/>
      <c r="BNE1" s="184"/>
      <c r="BNF1" s="184"/>
      <c r="BNG1" s="184"/>
      <c r="BNH1" s="184"/>
      <c r="BNI1" s="184"/>
      <c r="BNJ1" s="184"/>
      <c r="BNK1" s="184"/>
      <c r="BNL1" s="184"/>
      <c r="BNM1" s="184"/>
      <c r="BNN1" s="184"/>
      <c r="BNO1" s="184"/>
      <c r="BNP1" s="184"/>
      <c r="BNQ1" s="184"/>
      <c r="BNR1" s="184"/>
      <c r="BNS1" s="184"/>
      <c r="BNT1" s="184"/>
      <c r="BNU1" s="184"/>
      <c r="BNV1" s="184"/>
      <c r="BNW1" s="184"/>
      <c r="BNX1" s="184"/>
      <c r="BNY1" s="184"/>
      <c r="BNZ1" s="184"/>
      <c r="BOA1" s="184"/>
      <c r="BOB1" s="184"/>
      <c r="BOC1" s="184"/>
      <c r="BOD1" s="184"/>
      <c r="BOE1" s="184"/>
      <c r="BOF1" s="184"/>
      <c r="BOG1" s="184"/>
      <c r="BOH1" s="184"/>
      <c r="BOI1" s="184"/>
      <c r="BOJ1" s="184"/>
      <c r="BOK1" s="184"/>
      <c r="BOL1" s="184"/>
      <c r="BOM1" s="184"/>
      <c r="BON1" s="184"/>
      <c r="BOO1" s="184"/>
      <c r="BOP1" s="184"/>
      <c r="BOQ1" s="184"/>
      <c r="BOR1" s="184"/>
      <c r="BOS1" s="184"/>
      <c r="BOT1" s="184"/>
      <c r="BOU1" s="184"/>
      <c r="BOV1" s="184"/>
      <c r="BOW1" s="184"/>
      <c r="BOX1" s="184"/>
      <c r="BOY1" s="184"/>
      <c r="BOZ1" s="184"/>
      <c r="BPA1" s="184"/>
      <c r="BPB1" s="184"/>
      <c r="BPC1" s="184"/>
      <c r="BPD1" s="184"/>
      <c r="BPE1" s="184"/>
      <c r="BPF1" s="184"/>
      <c r="BPG1" s="184"/>
      <c r="BPH1" s="184"/>
      <c r="BPI1" s="184"/>
      <c r="BPJ1" s="184"/>
      <c r="BPK1" s="184"/>
      <c r="BPL1" s="184"/>
      <c r="BPM1" s="184"/>
      <c r="BPN1" s="184"/>
      <c r="BPO1" s="184"/>
      <c r="BPP1" s="184"/>
      <c r="BPQ1" s="184"/>
      <c r="BPR1" s="184"/>
      <c r="BPS1" s="184"/>
      <c r="BPT1" s="184"/>
      <c r="BPU1" s="184"/>
      <c r="BPV1" s="184"/>
      <c r="BPW1" s="184"/>
      <c r="BPX1" s="184"/>
      <c r="BPY1" s="184"/>
      <c r="BPZ1" s="184"/>
      <c r="BQA1" s="184"/>
      <c r="BQB1" s="184"/>
      <c r="BQC1" s="184"/>
      <c r="BQD1" s="184"/>
      <c r="BQE1" s="184"/>
      <c r="BQF1" s="184"/>
      <c r="BQG1" s="184"/>
      <c r="BQH1" s="184"/>
      <c r="BQI1" s="184"/>
      <c r="BQJ1" s="184"/>
      <c r="BQK1" s="184"/>
      <c r="BQL1" s="184"/>
      <c r="BQM1" s="184"/>
      <c r="BQN1" s="184"/>
      <c r="BQO1" s="184"/>
      <c r="BQP1" s="184"/>
      <c r="BQQ1" s="184"/>
      <c r="BQR1" s="184"/>
      <c r="BQS1" s="184"/>
      <c r="BQT1" s="184"/>
      <c r="BQU1" s="184"/>
      <c r="BQV1" s="184"/>
      <c r="BQW1" s="184"/>
      <c r="BQX1" s="184"/>
      <c r="BQY1" s="184"/>
      <c r="BQZ1" s="184"/>
      <c r="BRA1" s="184"/>
      <c r="BRB1" s="184"/>
      <c r="BRC1" s="184"/>
      <c r="BRD1" s="184"/>
      <c r="BRE1" s="184"/>
      <c r="BRF1" s="184"/>
      <c r="BRG1" s="184"/>
      <c r="BRH1" s="184"/>
      <c r="BRI1" s="184"/>
      <c r="BRJ1" s="184"/>
      <c r="BRK1" s="184"/>
      <c r="BRL1" s="184"/>
      <c r="BRM1" s="184"/>
      <c r="BRN1" s="184"/>
      <c r="BRO1" s="184"/>
      <c r="BRP1" s="184"/>
      <c r="BRQ1" s="184"/>
      <c r="BRR1" s="184"/>
      <c r="BRS1" s="184"/>
      <c r="BRT1" s="184"/>
      <c r="BRU1" s="184"/>
      <c r="BRV1" s="184"/>
      <c r="BRW1" s="184"/>
      <c r="BRX1" s="184"/>
      <c r="BRY1" s="184"/>
      <c r="BRZ1" s="184"/>
      <c r="BSA1" s="184"/>
      <c r="BSB1" s="184"/>
      <c r="BSC1" s="184"/>
      <c r="BSD1" s="184"/>
      <c r="BSE1" s="184"/>
      <c r="BSF1" s="184"/>
      <c r="BSG1" s="184"/>
      <c r="BSH1" s="184"/>
      <c r="BSI1" s="184"/>
      <c r="BSJ1" s="184"/>
      <c r="BSK1" s="184"/>
      <c r="BSL1" s="184"/>
      <c r="BSM1" s="184"/>
      <c r="BSN1" s="184"/>
      <c r="BSO1" s="184"/>
      <c r="BSP1" s="184"/>
      <c r="BSQ1" s="184"/>
      <c r="BSR1" s="184"/>
      <c r="BSS1" s="184"/>
      <c r="BST1" s="184"/>
      <c r="BSU1" s="184"/>
      <c r="BSV1" s="184"/>
      <c r="BSW1" s="184"/>
      <c r="BSX1" s="184"/>
      <c r="BSY1" s="184"/>
      <c r="BSZ1" s="184"/>
      <c r="BTA1" s="184"/>
      <c r="BTB1" s="184"/>
      <c r="BTC1" s="184"/>
      <c r="BTD1" s="184"/>
      <c r="BTE1" s="184"/>
      <c r="BTF1" s="184"/>
      <c r="BTG1" s="184"/>
      <c r="BTH1" s="184"/>
      <c r="BTI1" s="184"/>
      <c r="BTJ1" s="184"/>
      <c r="BTK1" s="184"/>
      <c r="BTL1" s="184"/>
      <c r="BTM1" s="184"/>
      <c r="BTN1" s="184"/>
      <c r="BTO1" s="184"/>
      <c r="BTP1" s="184"/>
      <c r="BTQ1" s="184"/>
      <c r="BTR1" s="184"/>
      <c r="BTS1" s="184"/>
      <c r="BTT1" s="184"/>
      <c r="BTU1" s="184"/>
      <c r="BTV1" s="184"/>
      <c r="BTW1" s="184"/>
      <c r="BTX1" s="184"/>
      <c r="BTY1" s="184"/>
      <c r="BTZ1" s="184"/>
      <c r="BUA1" s="184"/>
      <c r="BUB1" s="184"/>
      <c r="BUC1" s="184"/>
      <c r="BUD1" s="184"/>
      <c r="BUE1" s="184"/>
      <c r="BUF1" s="184"/>
      <c r="BUG1" s="184"/>
      <c r="BUH1" s="184"/>
      <c r="BUI1" s="184"/>
      <c r="BUJ1" s="184"/>
      <c r="BUK1" s="184"/>
      <c r="BUL1" s="184"/>
      <c r="BUM1" s="184"/>
      <c r="BUN1" s="184"/>
      <c r="BUO1" s="184"/>
      <c r="BUP1" s="184"/>
      <c r="BUQ1" s="184"/>
      <c r="BUR1" s="184"/>
      <c r="BUS1" s="184"/>
      <c r="BUT1" s="184"/>
      <c r="BUU1" s="184"/>
      <c r="BUV1" s="184"/>
      <c r="BUW1" s="184"/>
      <c r="BUX1" s="184"/>
      <c r="BUY1" s="184"/>
      <c r="BUZ1" s="184"/>
      <c r="BVA1" s="184"/>
      <c r="BVB1" s="184"/>
      <c r="BVC1" s="184"/>
      <c r="BVD1" s="184"/>
      <c r="BVE1" s="184"/>
      <c r="BVF1" s="184"/>
      <c r="BVG1" s="184"/>
      <c r="BVH1" s="184"/>
      <c r="BVI1" s="184"/>
      <c r="BVJ1" s="184"/>
      <c r="BVK1" s="184"/>
      <c r="BVL1" s="184"/>
      <c r="BVM1" s="184"/>
      <c r="BVN1" s="184"/>
      <c r="BVO1" s="184"/>
      <c r="BVP1" s="184"/>
      <c r="BVQ1" s="184"/>
      <c r="BVR1" s="184"/>
      <c r="BVS1" s="184"/>
      <c r="BVT1" s="184"/>
      <c r="BVU1" s="184"/>
      <c r="BVV1" s="184"/>
      <c r="BVW1" s="184"/>
      <c r="BVX1" s="184"/>
      <c r="BVY1" s="184"/>
      <c r="BVZ1" s="184"/>
      <c r="BWA1" s="184"/>
      <c r="BWB1" s="184"/>
      <c r="BWC1" s="184"/>
      <c r="BWD1" s="184"/>
      <c r="BWE1" s="184"/>
      <c r="BWF1" s="184"/>
      <c r="BWG1" s="184"/>
      <c r="BWH1" s="184"/>
      <c r="BWI1" s="184"/>
      <c r="BWJ1" s="184"/>
      <c r="BWK1" s="184"/>
      <c r="BWL1" s="184"/>
      <c r="BWM1" s="184"/>
      <c r="BWN1" s="184"/>
      <c r="BWO1" s="184"/>
      <c r="BWP1" s="184"/>
      <c r="BWQ1" s="184"/>
      <c r="BWR1" s="184"/>
      <c r="BWS1" s="184"/>
      <c r="BWT1" s="184"/>
      <c r="BWU1" s="184"/>
      <c r="BWV1" s="184"/>
      <c r="BWW1" s="184"/>
      <c r="BWX1" s="184"/>
      <c r="BWY1" s="184"/>
      <c r="BWZ1" s="184"/>
      <c r="BXA1" s="184"/>
      <c r="BXB1" s="184"/>
      <c r="BXC1" s="184"/>
      <c r="BXD1" s="184"/>
      <c r="BXE1" s="184"/>
      <c r="BXF1" s="184"/>
      <c r="BXG1" s="184"/>
      <c r="BXH1" s="184"/>
      <c r="BXI1" s="184"/>
      <c r="BXJ1" s="184"/>
      <c r="BXK1" s="184"/>
      <c r="BXL1" s="184"/>
      <c r="BXM1" s="184"/>
      <c r="BXN1" s="184"/>
      <c r="BXO1" s="184"/>
      <c r="BXP1" s="184"/>
      <c r="BXQ1" s="184"/>
      <c r="BXR1" s="184"/>
      <c r="BXS1" s="184"/>
      <c r="BXT1" s="184"/>
      <c r="BXU1" s="184"/>
      <c r="BXV1" s="184"/>
      <c r="BXW1" s="184"/>
      <c r="BXX1" s="184"/>
      <c r="BXY1" s="184"/>
      <c r="BXZ1" s="184"/>
      <c r="BYA1" s="184"/>
      <c r="BYB1" s="184"/>
      <c r="BYC1" s="184"/>
      <c r="BYD1" s="184"/>
      <c r="BYE1" s="184"/>
      <c r="BYF1" s="184"/>
      <c r="BYG1" s="184"/>
      <c r="BYH1" s="184"/>
      <c r="BYI1" s="184"/>
      <c r="BYJ1" s="184"/>
      <c r="BYK1" s="184"/>
      <c r="BYL1" s="184"/>
      <c r="BYM1" s="184"/>
      <c r="BYN1" s="184"/>
      <c r="BYO1" s="184"/>
      <c r="BYP1" s="184"/>
      <c r="BYQ1" s="184"/>
      <c r="BYR1" s="184"/>
      <c r="BYS1" s="184"/>
      <c r="BYT1" s="184"/>
      <c r="BYU1" s="184"/>
      <c r="BYV1" s="184"/>
      <c r="BYW1" s="184"/>
      <c r="BYX1" s="184"/>
      <c r="BYY1" s="184"/>
      <c r="BYZ1" s="184"/>
      <c r="BZA1" s="184"/>
      <c r="BZB1" s="184"/>
      <c r="BZC1" s="184"/>
      <c r="BZD1" s="184"/>
      <c r="BZE1" s="184"/>
      <c r="BZF1" s="184"/>
      <c r="BZG1" s="184"/>
      <c r="BZH1" s="184"/>
      <c r="BZI1" s="184"/>
      <c r="BZJ1" s="184"/>
      <c r="BZK1" s="184"/>
      <c r="BZL1" s="184"/>
      <c r="BZM1" s="184"/>
      <c r="BZN1" s="184"/>
      <c r="BZO1" s="184"/>
      <c r="BZP1" s="184"/>
      <c r="BZQ1" s="184"/>
      <c r="BZR1" s="184"/>
      <c r="BZS1" s="184"/>
      <c r="BZT1" s="184"/>
      <c r="BZU1" s="184"/>
      <c r="BZV1" s="184"/>
      <c r="BZW1" s="184"/>
      <c r="BZX1" s="184"/>
      <c r="BZY1" s="184"/>
      <c r="BZZ1" s="184"/>
      <c r="CAA1" s="184"/>
      <c r="CAB1" s="184"/>
      <c r="CAC1" s="184"/>
      <c r="CAD1" s="184"/>
      <c r="CAE1" s="184"/>
      <c r="CAF1" s="184"/>
      <c r="CAG1" s="184"/>
      <c r="CAH1" s="184"/>
      <c r="CAI1" s="184"/>
      <c r="CAJ1" s="184"/>
      <c r="CAK1" s="184"/>
      <c r="CAL1" s="184"/>
      <c r="CAM1" s="184"/>
      <c r="CAN1" s="184"/>
      <c r="CAO1" s="184"/>
      <c r="CAP1" s="184"/>
      <c r="CAQ1" s="184"/>
      <c r="CAR1" s="184"/>
      <c r="CAS1" s="184"/>
      <c r="CAT1" s="184"/>
      <c r="CAU1" s="184"/>
      <c r="CAV1" s="184"/>
      <c r="CAW1" s="184"/>
      <c r="CAX1" s="184"/>
      <c r="CAY1" s="184"/>
      <c r="CAZ1" s="184"/>
      <c r="CBA1" s="184"/>
      <c r="CBB1" s="184"/>
      <c r="CBC1" s="184"/>
      <c r="CBD1" s="184"/>
      <c r="CBE1" s="184"/>
      <c r="CBF1" s="184"/>
      <c r="CBG1" s="184"/>
      <c r="CBH1" s="184"/>
      <c r="CBI1" s="184"/>
      <c r="CBJ1" s="184"/>
      <c r="CBK1" s="184"/>
      <c r="CBL1" s="184"/>
      <c r="CBM1" s="184"/>
      <c r="CBN1" s="184"/>
      <c r="CBO1" s="184"/>
      <c r="CBP1" s="184"/>
      <c r="CBQ1" s="184"/>
      <c r="CBR1" s="184"/>
      <c r="CBS1" s="184"/>
      <c r="CBT1" s="184"/>
      <c r="CBU1" s="184"/>
      <c r="CBV1" s="184"/>
      <c r="CBW1" s="184"/>
      <c r="CBX1" s="184"/>
      <c r="CBY1" s="184"/>
      <c r="CBZ1" s="184"/>
      <c r="CCA1" s="184"/>
      <c r="CCB1" s="184"/>
      <c r="CCC1" s="184"/>
      <c r="CCD1" s="184"/>
      <c r="CCE1" s="184"/>
      <c r="CCF1" s="184"/>
      <c r="CCG1" s="184"/>
      <c r="CCH1" s="184"/>
      <c r="CCI1" s="184"/>
      <c r="CCJ1" s="184"/>
      <c r="CCK1" s="184"/>
      <c r="CCL1" s="184"/>
      <c r="CCM1" s="184"/>
      <c r="CCN1" s="184"/>
      <c r="CCO1" s="184"/>
      <c r="CCP1" s="184"/>
      <c r="CCQ1" s="184"/>
      <c r="CCR1" s="184"/>
      <c r="CCS1" s="184"/>
      <c r="CCT1" s="184"/>
      <c r="CCU1" s="184"/>
      <c r="CCV1" s="184"/>
      <c r="CCW1" s="184"/>
      <c r="CCX1" s="184"/>
      <c r="CCY1" s="184"/>
      <c r="CCZ1" s="184"/>
      <c r="CDA1" s="184"/>
      <c r="CDB1" s="184"/>
      <c r="CDC1" s="184"/>
      <c r="CDD1" s="184"/>
      <c r="CDE1" s="184"/>
      <c r="CDF1" s="184"/>
      <c r="CDG1" s="184"/>
      <c r="CDH1" s="184"/>
      <c r="CDI1" s="184"/>
      <c r="CDJ1" s="184"/>
      <c r="CDK1" s="184"/>
      <c r="CDL1" s="184"/>
      <c r="CDM1" s="184"/>
      <c r="CDN1" s="184"/>
      <c r="CDO1" s="184"/>
      <c r="CDP1" s="184"/>
      <c r="CDQ1" s="184"/>
      <c r="CDR1" s="184"/>
      <c r="CDS1" s="184"/>
      <c r="CDT1" s="184"/>
      <c r="CDU1" s="184"/>
      <c r="CDV1" s="184"/>
      <c r="CDW1" s="184"/>
      <c r="CDX1" s="184"/>
      <c r="CDY1" s="184"/>
      <c r="CDZ1" s="184"/>
      <c r="CEA1" s="184"/>
      <c r="CEB1" s="184"/>
      <c r="CEC1" s="184"/>
      <c r="CED1" s="184"/>
      <c r="CEE1" s="184"/>
      <c r="CEF1" s="184"/>
      <c r="CEG1" s="184"/>
      <c r="CEH1" s="184"/>
      <c r="CEI1" s="184"/>
      <c r="CEJ1" s="184"/>
      <c r="CEK1" s="184"/>
      <c r="CEL1" s="184"/>
      <c r="CEM1" s="184"/>
      <c r="CEN1" s="184"/>
      <c r="CEO1" s="184"/>
      <c r="CEP1" s="184"/>
      <c r="CEQ1" s="184"/>
      <c r="CER1" s="184"/>
      <c r="CES1" s="184"/>
      <c r="CET1" s="184"/>
      <c r="CEU1" s="184"/>
      <c r="CEV1" s="184"/>
      <c r="CEW1" s="184"/>
      <c r="CEX1" s="184"/>
      <c r="CEY1" s="184"/>
      <c r="CEZ1" s="184"/>
      <c r="CFA1" s="184"/>
      <c r="CFB1" s="184"/>
      <c r="CFC1" s="184"/>
      <c r="CFD1" s="184"/>
      <c r="CFE1" s="184"/>
      <c r="CFF1" s="184"/>
      <c r="CFG1" s="184"/>
      <c r="CFH1" s="184"/>
      <c r="CFI1" s="184"/>
      <c r="CFJ1" s="184"/>
      <c r="CFK1" s="184"/>
      <c r="CFL1" s="184"/>
      <c r="CFM1" s="184"/>
      <c r="CFN1" s="184"/>
      <c r="CFO1" s="184"/>
      <c r="CFP1" s="184"/>
      <c r="CFQ1" s="184"/>
      <c r="CFR1" s="184"/>
      <c r="CFS1" s="184"/>
      <c r="CFT1" s="184"/>
      <c r="CFU1" s="184"/>
      <c r="CFV1" s="184"/>
      <c r="CFW1" s="184"/>
      <c r="CFX1" s="184"/>
      <c r="CFY1" s="184"/>
      <c r="CFZ1" s="184"/>
      <c r="CGA1" s="184"/>
      <c r="CGB1" s="184"/>
      <c r="CGC1" s="184"/>
      <c r="CGD1" s="184"/>
      <c r="CGE1" s="184"/>
      <c r="CGF1" s="184"/>
      <c r="CGG1" s="184"/>
      <c r="CGH1" s="184"/>
      <c r="CGI1" s="184"/>
      <c r="CGJ1" s="184"/>
      <c r="CGK1" s="184"/>
      <c r="CGL1" s="184"/>
      <c r="CGM1" s="184"/>
      <c r="CGN1" s="184"/>
      <c r="CGO1" s="184"/>
      <c r="CGP1" s="184"/>
      <c r="CGQ1" s="184"/>
      <c r="CGR1" s="184"/>
      <c r="CGS1" s="184"/>
      <c r="CGT1" s="184"/>
      <c r="CGU1" s="184"/>
      <c r="CGV1" s="184"/>
      <c r="CGW1" s="184"/>
      <c r="CGX1" s="184"/>
      <c r="CGY1" s="184"/>
      <c r="CGZ1" s="184"/>
      <c r="CHA1" s="184"/>
      <c r="CHB1" s="184"/>
      <c r="CHC1" s="184"/>
      <c r="CHD1" s="184"/>
      <c r="CHE1" s="184"/>
      <c r="CHF1" s="184"/>
      <c r="CHG1" s="184"/>
      <c r="CHH1" s="184"/>
      <c r="CHI1" s="184"/>
      <c r="CHJ1" s="184"/>
      <c r="CHK1" s="184"/>
      <c r="CHL1" s="184"/>
      <c r="CHM1" s="184"/>
      <c r="CHN1" s="184"/>
      <c r="CHO1" s="184"/>
      <c r="CHP1" s="184"/>
      <c r="CHQ1" s="184"/>
      <c r="CHR1" s="184"/>
      <c r="CHS1" s="184"/>
      <c r="CHT1" s="184"/>
      <c r="CHU1" s="184"/>
      <c r="CHV1" s="184"/>
      <c r="CHW1" s="184"/>
      <c r="CHX1" s="184"/>
      <c r="CHY1" s="184"/>
      <c r="CHZ1" s="184"/>
      <c r="CIA1" s="184"/>
      <c r="CIB1" s="184"/>
      <c r="CIC1" s="184"/>
      <c r="CID1" s="184"/>
      <c r="CIE1" s="184"/>
      <c r="CIF1" s="184"/>
      <c r="CIG1" s="184"/>
      <c r="CIH1" s="184"/>
      <c r="CII1" s="184"/>
      <c r="CIJ1" s="184"/>
      <c r="CIK1" s="184"/>
      <c r="CIL1" s="184"/>
      <c r="CIM1" s="184"/>
      <c r="CIN1" s="184"/>
      <c r="CIO1" s="184"/>
      <c r="CIP1" s="184"/>
      <c r="CIQ1" s="184"/>
      <c r="CIR1" s="184"/>
      <c r="CIS1" s="184"/>
      <c r="CIT1" s="184"/>
      <c r="CIU1" s="184"/>
      <c r="CIV1" s="184"/>
      <c r="CIW1" s="184"/>
      <c r="CIX1" s="184"/>
      <c r="CIY1" s="184"/>
      <c r="CIZ1" s="184"/>
      <c r="CJA1" s="184"/>
      <c r="CJB1" s="184"/>
      <c r="CJC1" s="184"/>
      <c r="CJD1" s="184"/>
      <c r="CJE1" s="184"/>
      <c r="CJF1" s="184"/>
      <c r="CJG1" s="184"/>
      <c r="CJH1" s="184"/>
      <c r="CJI1" s="184"/>
      <c r="CJJ1" s="184"/>
      <c r="CJK1" s="184"/>
      <c r="CJL1" s="184"/>
      <c r="CJM1" s="184"/>
      <c r="CJN1" s="184"/>
      <c r="CJO1" s="184"/>
      <c r="CJP1" s="184"/>
      <c r="CJQ1" s="184"/>
      <c r="CJR1" s="184"/>
      <c r="CJS1" s="184"/>
      <c r="CJT1" s="184"/>
      <c r="CJU1" s="184"/>
      <c r="CJV1" s="184"/>
      <c r="CJW1" s="184"/>
      <c r="CJX1" s="184"/>
      <c r="CJY1" s="184"/>
      <c r="CJZ1" s="184"/>
      <c r="CKA1" s="184"/>
      <c r="CKB1" s="184"/>
      <c r="CKC1" s="184"/>
      <c r="CKD1" s="184"/>
      <c r="CKE1" s="184"/>
      <c r="CKF1" s="184"/>
      <c r="CKG1" s="184"/>
      <c r="CKH1" s="184"/>
      <c r="CKI1" s="184"/>
      <c r="CKJ1" s="184"/>
      <c r="CKK1" s="184"/>
      <c r="CKL1" s="184"/>
      <c r="CKM1" s="184"/>
      <c r="CKN1" s="184"/>
      <c r="CKO1" s="184"/>
      <c r="CKP1" s="184"/>
      <c r="CKQ1" s="184"/>
      <c r="CKR1" s="184"/>
      <c r="CKS1" s="184"/>
      <c r="CKT1" s="184"/>
      <c r="CKU1" s="184"/>
      <c r="CKV1" s="184"/>
      <c r="CKW1" s="184"/>
      <c r="CKX1" s="184"/>
      <c r="CKY1" s="184"/>
      <c r="CKZ1" s="184"/>
      <c r="CLA1" s="184"/>
      <c r="CLB1" s="184"/>
      <c r="CLC1" s="184"/>
      <c r="CLD1" s="184"/>
      <c r="CLE1" s="184"/>
      <c r="CLF1" s="184"/>
      <c r="CLG1" s="184"/>
      <c r="CLH1" s="184"/>
      <c r="CLI1" s="184"/>
      <c r="CLJ1" s="184"/>
      <c r="CLK1" s="184"/>
      <c r="CLL1" s="184"/>
      <c r="CLM1" s="184"/>
      <c r="CLN1" s="184"/>
      <c r="CLO1" s="184"/>
      <c r="CLP1" s="184"/>
      <c r="CLQ1" s="184"/>
      <c r="CLR1" s="184"/>
      <c r="CLS1" s="184"/>
      <c r="CLT1" s="184"/>
      <c r="CLU1" s="184"/>
      <c r="CLV1" s="184"/>
      <c r="CLW1" s="184"/>
      <c r="CLX1" s="184"/>
      <c r="CLY1" s="184"/>
      <c r="CLZ1" s="184"/>
      <c r="CMA1" s="184"/>
      <c r="CMB1" s="184"/>
      <c r="CMC1" s="184"/>
      <c r="CMD1" s="184"/>
      <c r="CME1" s="184"/>
      <c r="CMF1" s="184"/>
      <c r="CMG1" s="184"/>
      <c r="CMH1" s="184"/>
      <c r="CMI1" s="184"/>
      <c r="CMJ1" s="184"/>
      <c r="CMK1" s="184"/>
      <c r="CML1" s="184"/>
      <c r="CMM1" s="184"/>
      <c r="CMN1" s="184"/>
      <c r="CMO1" s="184"/>
      <c r="CMP1" s="184"/>
      <c r="CMQ1" s="184"/>
      <c r="CMR1" s="184"/>
      <c r="CMS1" s="184"/>
      <c r="CMT1" s="184"/>
      <c r="CMU1" s="184"/>
      <c r="CMV1" s="184"/>
      <c r="CMW1" s="184"/>
      <c r="CMX1" s="184"/>
      <c r="CMY1" s="184"/>
      <c r="CMZ1" s="184"/>
      <c r="CNA1" s="184"/>
      <c r="CNB1" s="184"/>
      <c r="CNC1" s="184"/>
      <c r="CND1" s="184"/>
      <c r="CNE1" s="184"/>
      <c r="CNF1" s="184"/>
      <c r="CNG1" s="184"/>
      <c r="CNH1" s="184"/>
      <c r="CNI1" s="184"/>
      <c r="CNJ1" s="184"/>
      <c r="CNK1" s="184"/>
      <c r="CNL1" s="184"/>
      <c r="CNM1" s="184"/>
      <c r="CNN1" s="184"/>
      <c r="CNO1" s="184"/>
      <c r="CNP1" s="184"/>
      <c r="CNQ1" s="184"/>
      <c r="CNR1" s="184"/>
      <c r="CNS1" s="184"/>
      <c r="CNT1" s="184"/>
      <c r="CNU1" s="184"/>
      <c r="CNV1" s="184"/>
      <c r="CNW1" s="184"/>
      <c r="CNX1" s="184"/>
      <c r="CNY1" s="184"/>
      <c r="CNZ1" s="184"/>
      <c r="COA1" s="184"/>
      <c r="COB1" s="184"/>
      <c r="COC1" s="184"/>
      <c r="COD1" s="184"/>
      <c r="COE1" s="184"/>
      <c r="COF1" s="184"/>
      <c r="COG1" s="184"/>
      <c r="COH1" s="184"/>
      <c r="COI1" s="184"/>
      <c r="COJ1" s="184"/>
      <c r="COK1" s="184"/>
      <c r="COL1" s="184"/>
      <c r="COM1" s="184"/>
      <c r="CON1" s="184"/>
      <c r="COO1" s="184"/>
      <c r="COP1" s="184"/>
      <c r="COQ1" s="184"/>
      <c r="COR1" s="184"/>
      <c r="COS1" s="184"/>
      <c r="COT1" s="184"/>
      <c r="COU1" s="184"/>
      <c r="COV1" s="184"/>
      <c r="COW1" s="184"/>
      <c r="COX1" s="184"/>
      <c r="COY1" s="184"/>
      <c r="COZ1" s="184"/>
      <c r="CPA1" s="184"/>
      <c r="CPB1" s="184"/>
      <c r="CPC1" s="184"/>
      <c r="CPD1" s="184"/>
      <c r="CPE1" s="184"/>
      <c r="CPF1" s="184"/>
      <c r="CPG1" s="184"/>
      <c r="CPH1" s="184"/>
      <c r="CPI1" s="184"/>
      <c r="CPJ1" s="184"/>
      <c r="CPK1" s="184"/>
      <c r="CPL1" s="184"/>
      <c r="CPM1" s="184"/>
      <c r="CPN1" s="184"/>
      <c r="CPO1" s="184"/>
      <c r="CPP1" s="184"/>
      <c r="CPQ1" s="184"/>
      <c r="CPR1" s="184"/>
      <c r="CPS1" s="184"/>
      <c r="CPT1" s="184"/>
      <c r="CPU1" s="184"/>
      <c r="CPV1" s="184"/>
      <c r="CPW1" s="184"/>
      <c r="CPX1" s="184"/>
      <c r="CPY1" s="184"/>
      <c r="CPZ1" s="184"/>
      <c r="CQA1" s="184"/>
      <c r="CQB1" s="184"/>
      <c r="CQC1" s="184"/>
      <c r="CQD1" s="184"/>
      <c r="CQE1" s="184"/>
      <c r="CQF1" s="184"/>
      <c r="CQG1" s="184"/>
      <c r="CQH1" s="184"/>
      <c r="CQI1" s="184"/>
      <c r="CQJ1" s="184"/>
      <c r="CQK1" s="184"/>
      <c r="CQL1" s="184"/>
      <c r="CQM1" s="184"/>
      <c r="CQN1" s="184"/>
      <c r="CQO1" s="184"/>
      <c r="CQP1" s="184"/>
      <c r="CQQ1" s="184"/>
      <c r="CQR1" s="184"/>
      <c r="CQS1" s="184"/>
      <c r="CQT1" s="184"/>
      <c r="CQU1" s="184"/>
      <c r="CQV1" s="184"/>
      <c r="CQW1" s="184"/>
      <c r="CQX1" s="184"/>
      <c r="CQY1" s="184"/>
      <c r="CQZ1" s="184"/>
      <c r="CRA1" s="184"/>
      <c r="CRB1" s="184"/>
      <c r="CRC1" s="184"/>
      <c r="CRD1" s="184"/>
      <c r="CRE1" s="184"/>
      <c r="CRF1" s="184"/>
      <c r="CRG1" s="184"/>
      <c r="CRH1" s="184"/>
      <c r="CRI1" s="184"/>
      <c r="CRJ1" s="184"/>
      <c r="CRK1" s="184"/>
      <c r="CRL1" s="184"/>
      <c r="CRM1" s="184"/>
      <c r="CRN1" s="184"/>
      <c r="CRO1" s="184"/>
      <c r="CRP1" s="184"/>
      <c r="CRQ1" s="184"/>
      <c r="CRR1" s="184"/>
      <c r="CRS1" s="184"/>
      <c r="CRT1" s="184"/>
      <c r="CRU1" s="184"/>
      <c r="CRV1" s="184"/>
      <c r="CRW1" s="184"/>
      <c r="CRX1" s="184"/>
      <c r="CRY1" s="184"/>
      <c r="CRZ1" s="184"/>
      <c r="CSA1" s="184"/>
      <c r="CSB1" s="184"/>
      <c r="CSC1" s="184"/>
      <c r="CSD1" s="184"/>
      <c r="CSE1" s="184"/>
      <c r="CSF1" s="184"/>
      <c r="CSG1" s="184"/>
      <c r="CSH1" s="184"/>
      <c r="CSI1" s="184"/>
      <c r="CSJ1" s="184"/>
      <c r="CSK1" s="184"/>
      <c r="CSL1" s="184"/>
      <c r="CSM1" s="184"/>
      <c r="CSN1" s="184"/>
      <c r="CSO1" s="184"/>
      <c r="CSP1" s="184"/>
      <c r="CSQ1" s="184"/>
      <c r="CSR1" s="184"/>
      <c r="CSS1" s="184"/>
      <c r="CST1" s="184"/>
      <c r="CSU1" s="184"/>
      <c r="CSV1" s="184"/>
      <c r="CSW1" s="184"/>
      <c r="CSX1" s="184"/>
      <c r="CSY1" s="184"/>
      <c r="CSZ1" s="184"/>
      <c r="CTA1" s="184"/>
      <c r="CTB1" s="184"/>
      <c r="CTC1" s="184"/>
      <c r="CTD1" s="184"/>
      <c r="CTE1" s="184"/>
      <c r="CTF1" s="184"/>
      <c r="CTG1" s="184"/>
      <c r="CTH1" s="184"/>
      <c r="CTI1" s="184"/>
      <c r="CTJ1" s="184"/>
      <c r="CTK1" s="184"/>
      <c r="CTL1" s="184"/>
      <c r="CTM1" s="184"/>
      <c r="CTN1" s="184"/>
      <c r="CTO1" s="184"/>
      <c r="CTP1" s="184"/>
      <c r="CTQ1" s="184"/>
      <c r="CTR1" s="184"/>
      <c r="CTS1" s="184"/>
      <c r="CTT1" s="184"/>
      <c r="CTU1" s="184"/>
      <c r="CTV1" s="184"/>
      <c r="CTW1" s="184"/>
      <c r="CTX1" s="184"/>
      <c r="CTY1" s="184"/>
      <c r="CTZ1" s="184"/>
      <c r="CUA1" s="184"/>
      <c r="CUB1" s="184"/>
      <c r="CUC1" s="184"/>
      <c r="CUD1" s="184"/>
      <c r="CUE1" s="184"/>
      <c r="CUF1" s="184"/>
      <c r="CUG1" s="184"/>
      <c r="CUH1" s="184"/>
      <c r="CUI1" s="184"/>
      <c r="CUJ1" s="184"/>
      <c r="CUK1" s="184"/>
      <c r="CUL1" s="184"/>
      <c r="CUM1" s="184"/>
      <c r="CUN1" s="184"/>
      <c r="CUO1" s="184"/>
      <c r="CUP1" s="184"/>
      <c r="CUQ1" s="184"/>
      <c r="CUR1" s="184"/>
      <c r="CUS1" s="184"/>
      <c r="CUT1" s="184"/>
      <c r="CUU1" s="184"/>
      <c r="CUV1" s="184"/>
      <c r="CUW1" s="184"/>
      <c r="CUX1" s="184"/>
      <c r="CUY1" s="184"/>
      <c r="CUZ1" s="184"/>
      <c r="CVA1" s="184"/>
      <c r="CVB1" s="184"/>
      <c r="CVC1" s="184"/>
      <c r="CVD1" s="184"/>
      <c r="CVE1" s="184"/>
      <c r="CVF1" s="184"/>
      <c r="CVG1" s="184"/>
      <c r="CVH1" s="184"/>
      <c r="CVI1" s="184"/>
      <c r="CVJ1" s="184"/>
      <c r="CVK1" s="184"/>
      <c r="CVL1" s="184"/>
      <c r="CVM1" s="184"/>
      <c r="CVN1" s="184"/>
      <c r="CVO1" s="184"/>
      <c r="CVP1" s="184"/>
      <c r="CVQ1" s="184"/>
      <c r="CVR1" s="184"/>
      <c r="CVS1" s="184"/>
      <c r="CVT1" s="184"/>
      <c r="CVU1" s="184"/>
      <c r="CVV1" s="184"/>
      <c r="CVW1" s="184"/>
      <c r="CVX1" s="184"/>
      <c r="CVY1" s="184"/>
      <c r="CVZ1" s="184"/>
      <c r="CWA1" s="184"/>
      <c r="CWB1" s="184"/>
      <c r="CWC1" s="184"/>
      <c r="CWD1" s="184"/>
      <c r="CWE1" s="184"/>
      <c r="CWF1" s="184"/>
      <c r="CWG1" s="184"/>
      <c r="CWH1" s="184"/>
      <c r="CWI1" s="184"/>
      <c r="CWJ1" s="184"/>
      <c r="CWK1" s="184"/>
      <c r="CWL1" s="184"/>
      <c r="CWM1" s="184"/>
      <c r="CWN1" s="184"/>
      <c r="CWO1" s="184"/>
      <c r="CWP1" s="184"/>
      <c r="CWQ1" s="184"/>
      <c r="CWR1" s="184"/>
      <c r="CWS1" s="184"/>
      <c r="CWT1" s="184"/>
      <c r="CWU1" s="184"/>
      <c r="CWV1" s="184"/>
      <c r="CWW1" s="184"/>
      <c r="CWX1" s="184"/>
      <c r="CWY1" s="184"/>
      <c r="CWZ1" s="184"/>
      <c r="CXA1" s="184"/>
      <c r="CXB1" s="184"/>
      <c r="CXC1" s="184"/>
      <c r="CXD1" s="184"/>
      <c r="CXE1" s="184"/>
      <c r="CXF1" s="184"/>
      <c r="CXG1" s="184"/>
      <c r="CXH1" s="184"/>
      <c r="CXI1" s="184"/>
      <c r="CXJ1" s="184"/>
      <c r="CXK1" s="184"/>
      <c r="CXL1" s="184"/>
      <c r="CXM1" s="184"/>
      <c r="CXN1" s="184"/>
      <c r="CXO1" s="184"/>
      <c r="CXP1" s="184"/>
      <c r="CXQ1" s="184"/>
      <c r="CXR1" s="184"/>
      <c r="CXS1" s="184"/>
      <c r="CXT1" s="184"/>
      <c r="CXU1" s="184"/>
      <c r="CXV1" s="184"/>
      <c r="CXW1" s="184"/>
      <c r="CXX1" s="184"/>
      <c r="CXY1" s="184"/>
      <c r="CXZ1" s="184"/>
      <c r="CYA1" s="184"/>
      <c r="CYB1" s="184"/>
      <c r="CYC1" s="184"/>
      <c r="CYD1" s="184"/>
      <c r="CYE1" s="184"/>
      <c r="CYF1" s="184"/>
      <c r="CYG1" s="184"/>
      <c r="CYH1" s="184"/>
      <c r="CYI1" s="184"/>
      <c r="CYJ1" s="184"/>
      <c r="CYK1" s="184"/>
      <c r="CYL1" s="184"/>
      <c r="CYM1" s="184"/>
      <c r="CYN1" s="184"/>
      <c r="CYO1" s="184"/>
      <c r="CYP1" s="184"/>
      <c r="CYQ1" s="184"/>
      <c r="CYR1" s="184"/>
      <c r="CYS1" s="184"/>
      <c r="CYT1" s="184"/>
      <c r="CYU1" s="184"/>
      <c r="CYV1" s="184"/>
      <c r="CYW1" s="184"/>
      <c r="CYX1" s="184"/>
      <c r="CYY1" s="184"/>
      <c r="CYZ1" s="184"/>
      <c r="CZA1" s="184"/>
      <c r="CZB1" s="184"/>
      <c r="CZC1" s="184"/>
      <c r="CZD1" s="184"/>
      <c r="CZE1" s="184"/>
      <c r="CZF1" s="184"/>
      <c r="CZG1" s="184"/>
      <c r="CZH1" s="184"/>
      <c r="CZI1" s="184"/>
      <c r="CZJ1" s="184"/>
      <c r="CZK1" s="184"/>
      <c r="CZL1" s="184"/>
      <c r="CZM1" s="184"/>
      <c r="CZN1" s="184"/>
      <c r="CZO1" s="184"/>
      <c r="CZP1" s="184"/>
      <c r="CZQ1" s="184"/>
      <c r="CZR1" s="184"/>
      <c r="CZS1" s="184"/>
      <c r="CZT1" s="184"/>
      <c r="CZU1" s="184"/>
      <c r="CZV1" s="184"/>
      <c r="CZW1" s="184"/>
      <c r="CZX1" s="184"/>
      <c r="CZY1" s="184"/>
      <c r="CZZ1" s="184"/>
      <c r="DAA1" s="184"/>
      <c r="DAB1" s="184"/>
      <c r="DAC1" s="184"/>
      <c r="DAD1" s="184"/>
      <c r="DAE1" s="184"/>
      <c r="DAF1" s="184"/>
      <c r="DAG1" s="184"/>
      <c r="DAH1" s="184"/>
      <c r="DAI1" s="184"/>
      <c r="DAJ1" s="184"/>
      <c r="DAK1" s="184"/>
      <c r="DAL1" s="184"/>
      <c r="DAM1" s="184"/>
      <c r="DAN1" s="184"/>
      <c r="DAO1" s="184"/>
      <c r="DAP1" s="184"/>
      <c r="DAQ1" s="184"/>
      <c r="DAR1" s="184"/>
      <c r="DAS1" s="184"/>
      <c r="DAT1" s="184"/>
      <c r="DAU1" s="184"/>
      <c r="DAV1" s="184"/>
      <c r="DAW1" s="184"/>
      <c r="DAX1" s="184"/>
      <c r="DAY1" s="184"/>
      <c r="DAZ1" s="184"/>
      <c r="DBA1" s="184"/>
      <c r="DBB1" s="184"/>
      <c r="DBC1" s="184"/>
      <c r="DBD1" s="184"/>
      <c r="DBE1" s="184"/>
      <c r="DBF1" s="184"/>
      <c r="DBG1" s="184"/>
      <c r="DBH1" s="184"/>
      <c r="DBI1" s="184"/>
      <c r="DBJ1" s="184"/>
      <c r="DBK1" s="184"/>
      <c r="DBL1" s="184"/>
      <c r="DBM1" s="184"/>
      <c r="DBN1" s="184"/>
      <c r="DBO1" s="184"/>
      <c r="DBP1" s="184"/>
      <c r="DBQ1" s="184"/>
      <c r="DBR1" s="184"/>
      <c r="DBS1" s="184"/>
      <c r="DBT1" s="184"/>
      <c r="DBU1" s="184"/>
      <c r="DBV1" s="184"/>
      <c r="DBW1" s="184"/>
      <c r="DBX1" s="184"/>
      <c r="DBY1" s="184"/>
      <c r="DBZ1" s="184"/>
      <c r="DCA1" s="184"/>
      <c r="DCB1" s="184"/>
      <c r="DCC1" s="184"/>
      <c r="DCD1" s="184"/>
      <c r="DCE1" s="184"/>
      <c r="DCF1" s="184"/>
      <c r="DCG1" s="184"/>
      <c r="DCH1" s="184"/>
      <c r="DCI1" s="184"/>
      <c r="DCJ1" s="184"/>
      <c r="DCK1" s="184"/>
      <c r="DCL1" s="184"/>
      <c r="DCM1" s="184"/>
      <c r="DCN1" s="184"/>
      <c r="DCO1" s="184"/>
      <c r="DCP1" s="184"/>
      <c r="DCQ1" s="184"/>
      <c r="DCR1" s="184"/>
      <c r="DCS1" s="184"/>
      <c r="DCT1" s="184"/>
      <c r="DCU1" s="184"/>
      <c r="DCV1" s="184"/>
      <c r="DCW1" s="184"/>
      <c r="DCX1" s="184"/>
      <c r="DCY1" s="184"/>
      <c r="DCZ1" s="184"/>
      <c r="DDA1" s="184"/>
      <c r="DDB1" s="184"/>
      <c r="DDC1" s="184"/>
      <c r="DDD1" s="184"/>
      <c r="DDE1" s="184"/>
      <c r="DDF1" s="184"/>
      <c r="DDG1" s="184"/>
      <c r="DDH1" s="184"/>
      <c r="DDI1" s="184"/>
      <c r="DDJ1" s="184"/>
      <c r="DDK1" s="184"/>
      <c r="DDL1" s="184"/>
      <c r="DDM1" s="184"/>
      <c r="DDN1" s="184"/>
      <c r="DDO1" s="184"/>
      <c r="DDP1" s="184"/>
      <c r="DDQ1" s="184"/>
      <c r="DDR1" s="184"/>
      <c r="DDS1" s="184"/>
      <c r="DDT1" s="184"/>
      <c r="DDU1" s="184"/>
      <c r="DDV1" s="184"/>
      <c r="DDW1" s="184"/>
      <c r="DDX1" s="184"/>
      <c r="DDY1" s="184"/>
      <c r="DDZ1" s="184"/>
      <c r="DEA1" s="184"/>
      <c r="DEB1" s="184"/>
      <c r="DEC1" s="184"/>
      <c r="DED1" s="184"/>
      <c r="DEE1" s="184"/>
      <c r="DEF1" s="184"/>
      <c r="DEG1" s="184"/>
      <c r="DEH1" s="184"/>
      <c r="DEI1" s="184"/>
      <c r="DEJ1" s="184"/>
      <c r="DEK1" s="184"/>
      <c r="DEL1" s="184"/>
      <c r="DEM1" s="184"/>
      <c r="DEN1" s="184"/>
      <c r="DEO1" s="184"/>
      <c r="DEP1" s="184"/>
      <c r="DEQ1" s="184"/>
      <c r="DER1" s="184"/>
      <c r="DES1" s="184"/>
      <c r="DET1" s="184"/>
      <c r="DEU1" s="184"/>
      <c r="DEV1" s="184"/>
      <c r="DEW1" s="184"/>
      <c r="DEX1" s="184"/>
      <c r="DEY1" s="184"/>
      <c r="DEZ1" s="184"/>
      <c r="DFA1" s="184"/>
      <c r="DFB1" s="184"/>
      <c r="DFC1" s="184"/>
      <c r="DFD1" s="184"/>
      <c r="DFE1" s="184"/>
      <c r="DFF1" s="184"/>
      <c r="DFG1" s="184"/>
      <c r="DFH1" s="184"/>
      <c r="DFI1" s="184"/>
      <c r="DFJ1" s="184"/>
      <c r="DFK1" s="184"/>
      <c r="DFL1" s="184"/>
      <c r="DFM1" s="184"/>
      <c r="DFN1" s="184"/>
      <c r="DFO1" s="184"/>
      <c r="DFP1" s="184"/>
      <c r="DFQ1" s="184"/>
      <c r="DFR1" s="184"/>
      <c r="DFS1" s="184"/>
      <c r="DFT1" s="184"/>
      <c r="DFU1" s="184"/>
      <c r="DFV1" s="184"/>
      <c r="DFW1" s="184"/>
      <c r="DFX1" s="184"/>
      <c r="DFY1" s="184"/>
      <c r="DFZ1" s="184"/>
      <c r="DGA1" s="184"/>
      <c r="DGB1" s="184"/>
      <c r="DGC1" s="184"/>
      <c r="DGD1" s="184"/>
      <c r="DGE1" s="184"/>
      <c r="DGF1" s="184"/>
      <c r="DGG1" s="184"/>
      <c r="DGH1" s="184"/>
      <c r="DGI1" s="184"/>
      <c r="DGJ1" s="184"/>
      <c r="DGK1" s="184"/>
      <c r="DGL1" s="184"/>
      <c r="DGM1" s="184"/>
      <c r="DGN1" s="184"/>
      <c r="DGO1" s="184"/>
      <c r="DGP1" s="184"/>
      <c r="DGQ1" s="184"/>
      <c r="DGR1" s="184"/>
      <c r="DGS1" s="184"/>
      <c r="DGT1" s="184"/>
      <c r="DGU1" s="184"/>
      <c r="DGV1" s="184"/>
      <c r="DGW1" s="184"/>
      <c r="DGX1" s="184"/>
      <c r="DGY1" s="184"/>
      <c r="DGZ1" s="184"/>
      <c r="DHA1" s="184"/>
      <c r="DHB1" s="184"/>
      <c r="DHC1" s="184"/>
      <c r="DHD1" s="184"/>
      <c r="DHE1" s="184"/>
      <c r="DHF1" s="184"/>
      <c r="DHG1" s="184"/>
      <c r="DHH1" s="184"/>
      <c r="DHI1" s="184"/>
      <c r="DHJ1" s="184"/>
      <c r="DHK1" s="184"/>
      <c r="DHL1" s="184"/>
      <c r="DHM1" s="184"/>
      <c r="DHN1" s="184"/>
      <c r="DHO1" s="184"/>
      <c r="DHP1" s="184"/>
      <c r="DHQ1" s="184"/>
      <c r="DHR1" s="184"/>
      <c r="DHS1" s="184"/>
      <c r="DHT1" s="184"/>
      <c r="DHU1" s="184"/>
      <c r="DHV1" s="184"/>
      <c r="DHW1" s="184"/>
      <c r="DHX1" s="184"/>
      <c r="DHY1" s="184"/>
      <c r="DHZ1" s="184"/>
      <c r="DIA1" s="184"/>
      <c r="DIB1" s="184"/>
      <c r="DIC1" s="184"/>
      <c r="DID1" s="184"/>
      <c r="DIE1" s="184"/>
      <c r="DIF1" s="184"/>
      <c r="DIG1" s="184"/>
      <c r="DIH1" s="184"/>
      <c r="DII1" s="184"/>
      <c r="DIJ1" s="184"/>
      <c r="DIK1" s="184"/>
      <c r="DIL1" s="184"/>
      <c r="DIM1" s="184"/>
      <c r="DIN1" s="184"/>
      <c r="DIO1" s="184"/>
      <c r="DIP1" s="184"/>
      <c r="DIQ1" s="184"/>
      <c r="DIR1" s="184"/>
      <c r="DIS1" s="184"/>
      <c r="DIT1" s="184"/>
      <c r="DIU1" s="184"/>
      <c r="DIV1" s="184"/>
      <c r="DIW1" s="184"/>
      <c r="DIX1" s="184"/>
      <c r="DIY1" s="184"/>
      <c r="DIZ1" s="184"/>
      <c r="DJA1" s="184"/>
      <c r="DJB1" s="184"/>
      <c r="DJC1" s="184"/>
      <c r="DJD1" s="184"/>
      <c r="DJE1" s="184"/>
      <c r="DJF1" s="184"/>
      <c r="DJG1" s="184"/>
      <c r="DJH1" s="184"/>
      <c r="DJI1" s="184"/>
      <c r="DJJ1" s="184"/>
      <c r="DJK1" s="184"/>
      <c r="DJL1" s="184"/>
      <c r="DJM1" s="184"/>
      <c r="DJN1" s="184"/>
      <c r="DJO1" s="184"/>
      <c r="DJP1" s="184"/>
      <c r="DJQ1" s="184"/>
      <c r="DJR1" s="184"/>
      <c r="DJS1" s="184"/>
      <c r="DJT1" s="184"/>
      <c r="DJU1" s="184"/>
      <c r="DJV1" s="184"/>
      <c r="DJW1" s="184"/>
      <c r="DJX1" s="184"/>
      <c r="DJY1" s="184"/>
      <c r="DJZ1" s="184"/>
      <c r="DKA1" s="184"/>
      <c r="DKB1" s="184"/>
      <c r="DKC1" s="184"/>
      <c r="DKD1" s="184"/>
      <c r="DKE1" s="184"/>
      <c r="DKF1" s="184"/>
      <c r="DKG1" s="184"/>
      <c r="DKH1" s="184"/>
      <c r="DKI1" s="184"/>
      <c r="DKJ1" s="184"/>
      <c r="DKK1" s="184"/>
      <c r="DKL1" s="184"/>
      <c r="DKM1" s="184"/>
      <c r="DKN1" s="184"/>
      <c r="DKO1" s="184"/>
      <c r="DKP1" s="184"/>
      <c r="DKQ1" s="184"/>
      <c r="DKR1" s="184"/>
      <c r="DKS1" s="184"/>
      <c r="DKT1" s="184"/>
      <c r="DKU1" s="184"/>
      <c r="DKV1" s="184"/>
      <c r="DKW1" s="184"/>
      <c r="DKX1" s="184"/>
      <c r="DKY1" s="184"/>
      <c r="DKZ1" s="184"/>
      <c r="DLA1" s="184"/>
      <c r="DLB1" s="184"/>
      <c r="DLC1" s="184"/>
      <c r="DLD1" s="184"/>
      <c r="DLE1" s="184"/>
      <c r="DLF1" s="184"/>
      <c r="DLG1" s="184"/>
      <c r="DLH1" s="184"/>
      <c r="DLI1" s="184"/>
      <c r="DLJ1" s="184"/>
      <c r="DLK1" s="184"/>
      <c r="DLL1" s="184"/>
      <c r="DLM1" s="184"/>
      <c r="DLN1" s="184"/>
      <c r="DLO1" s="184"/>
      <c r="DLP1" s="184"/>
      <c r="DLQ1" s="184"/>
      <c r="DLR1" s="184"/>
      <c r="DLS1" s="184"/>
      <c r="DLT1" s="184"/>
      <c r="DLU1" s="184"/>
      <c r="DLV1" s="184"/>
      <c r="DLW1" s="184"/>
      <c r="DLX1" s="184"/>
      <c r="DLY1" s="184"/>
      <c r="DLZ1" s="184"/>
      <c r="DMA1" s="184"/>
      <c r="DMB1" s="184"/>
      <c r="DMC1" s="184"/>
      <c r="DMD1" s="184"/>
      <c r="DME1" s="184"/>
      <c r="DMF1" s="184"/>
      <c r="DMG1" s="184"/>
      <c r="DMH1" s="184"/>
      <c r="DMI1" s="184"/>
      <c r="DMJ1" s="184"/>
      <c r="DMK1" s="184"/>
      <c r="DML1" s="184"/>
      <c r="DMM1" s="184"/>
      <c r="DMN1" s="184"/>
      <c r="DMO1" s="184"/>
      <c r="DMP1" s="184"/>
      <c r="DMQ1" s="184"/>
      <c r="DMR1" s="184"/>
      <c r="DMS1" s="184"/>
      <c r="DMT1" s="184"/>
      <c r="DMU1" s="184"/>
      <c r="DMV1" s="184"/>
      <c r="DMW1" s="184"/>
      <c r="DMX1" s="184"/>
      <c r="DMY1" s="184"/>
      <c r="DMZ1" s="184"/>
      <c r="DNA1" s="184"/>
      <c r="DNB1" s="184"/>
      <c r="DNC1" s="184"/>
      <c r="DND1" s="184"/>
      <c r="DNE1" s="184"/>
      <c r="DNF1" s="184"/>
      <c r="DNG1" s="184"/>
      <c r="DNH1" s="184"/>
      <c r="DNI1" s="184"/>
      <c r="DNJ1" s="184"/>
      <c r="DNK1" s="184"/>
      <c r="DNL1" s="184"/>
      <c r="DNM1" s="184"/>
      <c r="DNN1" s="184"/>
      <c r="DNO1" s="184"/>
      <c r="DNP1" s="184"/>
      <c r="DNQ1" s="184"/>
      <c r="DNR1" s="184"/>
      <c r="DNS1" s="184"/>
      <c r="DNT1" s="184"/>
      <c r="DNU1" s="184"/>
      <c r="DNV1" s="184"/>
      <c r="DNW1" s="184"/>
      <c r="DNX1" s="184"/>
      <c r="DNY1" s="184"/>
      <c r="DNZ1" s="184"/>
      <c r="DOA1" s="184"/>
      <c r="DOB1" s="184"/>
      <c r="DOC1" s="184"/>
      <c r="DOD1" s="184"/>
      <c r="DOE1" s="184"/>
      <c r="DOF1" s="184"/>
      <c r="DOG1" s="184"/>
      <c r="DOH1" s="184"/>
      <c r="DOI1" s="184"/>
      <c r="DOJ1" s="184"/>
      <c r="DOK1" s="184"/>
      <c r="DOL1" s="184"/>
      <c r="DOM1" s="184"/>
      <c r="DON1" s="184"/>
      <c r="DOO1" s="184"/>
      <c r="DOP1" s="184"/>
      <c r="DOQ1" s="184"/>
      <c r="DOR1" s="184"/>
      <c r="DOS1" s="184"/>
      <c r="DOT1" s="184"/>
      <c r="DOU1" s="184"/>
      <c r="DOV1" s="184"/>
      <c r="DOW1" s="184"/>
      <c r="DOX1" s="184"/>
      <c r="DOY1" s="184"/>
      <c r="DOZ1" s="184"/>
      <c r="DPA1" s="184"/>
      <c r="DPB1" s="184"/>
      <c r="DPC1" s="184"/>
      <c r="DPD1" s="184"/>
      <c r="DPE1" s="184"/>
      <c r="DPF1" s="184"/>
      <c r="DPG1" s="184"/>
      <c r="DPH1" s="184"/>
      <c r="DPI1" s="184"/>
      <c r="DPJ1" s="184"/>
      <c r="DPK1" s="184"/>
      <c r="DPL1" s="184"/>
      <c r="DPM1" s="184"/>
      <c r="DPN1" s="184"/>
      <c r="DPO1" s="184"/>
      <c r="DPP1" s="184"/>
      <c r="DPQ1" s="184"/>
      <c r="DPR1" s="184"/>
      <c r="DPS1" s="184"/>
      <c r="DPT1" s="184"/>
      <c r="DPU1" s="184"/>
      <c r="DPV1" s="184"/>
      <c r="DPW1" s="184"/>
      <c r="DPX1" s="184"/>
      <c r="DPY1" s="184"/>
      <c r="DPZ1" s="184"/>
      <c r="DQA1" s="184"/>
      <c r="DQB1" s="184"/>
      <c r="DQC1" s="184"/>
      <c r="DQD1" s="184"/>
      <c r="DQE1" s="184"/>
      <c r="DQF1" s="184"/>
      <c r="DQG1" s="184"/>
      <c r="DQH1" s="184"/>
      <c r="DQI1" s="184"/>
      <c r="DQJ1" s="184"/>
      <c r="DQK1" s="184"/>
      <c r="DQL1" s="184"/>
      <c r="DQM1" s="184"/>
      <c r="DQN1" s="184"/>
      <c r="DQO1" s="184"/>
      <c r="DQP1" s="184"/>
      <c r="DQQ1" s="184"/>
      <c r="DQR1" s="184"/>
      <c r="DQS1" s="184"/>
      <c r="DQT1" s="184"/>
      <c r="DQU1" s="184"/>
      <c r="DQV1" s="184"/>
      <c r="DQW1" s="184"/>
      <c r="DQX1" s="184"/>
      <c r="DQY1" s="184"/>
      <c r="DQZ1" s="184"/>
      <c r="DRA1" s="184"/>
      <c r="DRB1" s="184"/>
      <c r="DRC1" s="184"/>
      <c r="DRD1" s="184"/>
      <c r="DRE1" s="184"/>
      <c r="DRF1" s="184"/>
      <c r="DRG1" s="184"/>
      <c r="DRH1" s="184"/>
      <c r="DRI1" s="184"/>
      <c r="DRJ1" s="184"/>
      <c r="DRK1" s="184"/>
      <c r="DRL1" s="184"/>
      <c r="DRM1" s="184"/>
      <c r="DRN1" s="184"/>
      <c r="DRO1" s="184"/>
      <c r="DRP1" s="184"/>
      <c r="DRQ1" s="184"/>
      <c r="DRR1" s="184"/>
      <c r="DRS1" s="184"/>
      <c r="DRT1" s="184"/>
      <c r="DRU1" s="184"/>
      <c r="DRV1" s="184"/>
      <c r="DRW1" s="184"/>
      <c r="DRX1" s="184"/>
      <c r="DRY1" s="184"/>
      <c r="DRZ1" s="184"/>
      <c r="DSA1" s="184"/>
      <c r="DSB1" s="184"/>
      <c r="DSC1" s="184"/>
      <c r="DSD1" s="184"/>
      <c r="DSE1" s="184"/>
      <c r="DSF1" s="184"/>
      <c r="DSG1" s="184"/>
      <c r="DSH1" s="184"/>
      <c r="DSI1" s="184"/>
      <c r="DSJ1" s="184"/>
      <c r="DSK1" s="184"/>
      <c r="DSL1" s="184"/>
      <c r="DSM1" s="184"/>
      <c r="DSN1" s="184"/>
      <c r="DSO1" s="184"/>
      <c r="DSP1" s="184"/>
      <c r="DSQ1" s="184"/>
      <c r="DSR1" s="184"/>
      <c r="DSS1" s="184"/>
      <c r="DST1" s="184"/>
      <c r="DSU1" s="184"/>
      <c r="DSV1" s="184"/>
      <c r="DSW1" s="184"/>
      <c r="DSX1" s="184"/>
      <c r="DSY1" s="184"/>
      <c r="DSZ1" s="184"/>
      <c r="DTA1" s="184"/>
      <c r="DTB1" s="184"/>
      <c r="DTC1" s="184"/>
      <c r="DTD1" s="184"/>
      <c r="DTE1" s="184"/>
      <c r="DTF1" s="184"/>
      <c r="DTG1" s="184"/>
      <c r="DTH1" s="184"/>
      <c r="DTI1" s="184"/>
      <c r="DTJ1" s="184"/>
      <c r="DTK1" s="184"/>
      <c r="DTL1" s="184"/>
      <c r="DTM1" s="184"/>
      <c r="DTN1" s="184"/>
      <c r="DTO1" s="184"/>
      <c r="DTP1" s="184"/>
      <c r="DTQ1" s="184"/>
      <c r="DTR1" s="184"/>
      <c r="DTS1" s="184"/>
      <c r="DTT1" s="184"/>
      <c r="DTU1" s="184"/>
      <c r="DTV1" s="184"/>
      <c r="DTW1" s="184"/>
      <c r="DTX1" s="184"/>
      <c r="DTY1" s="184"/>
      <c r="DTZ1" s="184"/>
      <c r="DUA1" s="184"/>
      <c r="DUB1" s="184"/>
      <c r="DUC1" s="184"/>
      <c r="DUD1" s="184"/>
      <c r="DUE1" s="184"/>
      <c r="DUF1" s="184"/>
      <c r="DUG1" s="184"/>
      <c r="DUH1" s="184"/>
      <c r="DUI1" s="184"/>
      <c r="DUJ1" s="184"/>
      <c r="DUK1" s="184"/>
      <c r="DUL1" s="184"/>
      <c r="DUM1" s="184"/>
      <c r="DUN1" s="184"/>
      <c r="DUO1" s="184"/>
      <c r="DUP1" s="184"/>
      <c r="DUQ1" s="184"/>
      <c r="DUR1" s="184"/>
      <c r="DUS1" s="184"/>
      <c r="DUT1" s="184"/>
      <c r="DUU1" s="184"/>
      <c r="DUV1" s="184"/>
      <c r="DUW1" s="184"/>
      <c r="DUX1" s="184"/>
      <c r="DUY1" s="184"/>
      <c r="DUZ1" s="184"/>
      <c r="DVA1" s="184"/>
      <c r="DVB1" s="184"/>
      <c r="DVC1" s="184"/>
      <c r="DVD1" s="184"/>
      <c r="DVE1" s="184"/>
      <c r="DVF1" s="184"/>
      <c r="DVG1" s="184"/>
      <c r="DVH1" s="184"/>
      <c r="DVI1" s="184"/>
      <c r="DVJ1" s="184"/>
      <c r="DVK1" s="184"/>
      <c r="DVL1" s="184"/>
      <c r="DVM1" s="184"/>
      <c r="DVN1" s="184"/>
      <c r="DVO1" s="184"/>
      <c r="DVP1" s="184"/>
      <c r="DVQ1" s="184"/>
      <c r="DVR1" s="184"/>
      <c r="DVS1" s="184"/>
      <c r="DVT1" s="184"/>
      <c r="DVU1" s="184"/>
      <c r="DVV1" s="184"/>
      <c r="DVW1" s="184"/>
      <c r="DVX1" s="184"/>
      <c r="DVY1" s="184"/>
      <c r="DVZ1" s="184"/>
      <c r="DWA1" s="184"/>
      <c r="DWB1" s="184"/>
      <c r="DWC1" s="184"/>
      <c r="DWD1" s="184"/>
      <c r="DWE1" s="184"/>
      <c r="DWF1" s="184"/>
      <c r="DWG1" s="184"/>
      <c r="DWH1" s="184"/>
      <c r="DWI1" s="184"/>
      <c r="DWJ1" s="184"/>
      <c r="DWK1" s="184"/>
      <c r="DWL1" s="184"/>
      <c r="DWM1" s="184"/>
      <c r="DWN1" s="184"/>
      <c r="DWO1" s="184"/>
      <c r="DWP1" s="184"/>
      <c r="DWQ1" s="184"/>
      <c r="DWR1" s="184"/>
      <c r="DWS1" s="184"/>
      <c r="DWT1" s="184"/>
      <c r="DWU1" s="184"/>
      <c r="DWV1" s="184"/>
      <c r="DWW1" s="184"/>
      <c r="DWX1" s="184"/>
      <c r="DWY1" s="184"/>
      <c r="DWZ1" s="184"/>
      <c r="DXA1" s="184"/>
      <c r="DXB1" s="184"/>
      <c r="DXC1" s="184"/>
      <c r="DXD1" s="184"/>
      <c r="DXE1" s="184"/>
      <c r="DXF1" s="184"/>
      <c r="DXG1" s="184"/>
      <c r="DXH1" s="184"/>
      <c r="DXI1" s="184"/>
      <c r="DXJ1" s="184"/>
      <c r="DXK1" s="184"/>
      <c r="DXL1" s="184"/>
      <c r="DXM1" s="184"/>
      <c r="DXN1" s="184"/>
      <c r="DXO1" s="184"/>
      <c r="DXP1" s="184"/>
      <c r="DXQ1" s="184"/>
      <c r="DXR1" s="184"/>
      <c r="DXS1" s="184"/>
      <c r="DXT1" s="184"/>
      <c r="DXU1" s="184"/>
      <c r="DXV1" s="184"/>
      <c r="DXW1" s="184"/>
      <c r="DXX1" s="184"/>
      <c r="DXY1" s="184"/>
      <c r="DXZ1" s="184"/>
      <c r="DYA1" s="184"/>
      <c r="DYB1" s="184"/>
      <c r="DYC1" s="184"/>
      <c r="DYD1" s="184"/>
      <c r="DYE1" s="184"/>
      <c r="DYF1" s="184"/>
      <c r="DYG1" s="184"/>
      <c r="DYH1" s="184"/>
      <c r="DYI1" s="184"/>
      <c r="DYJ1" s="184"/>
      <c r="DYK1" s="184"/>
      <c r="DYL1" s="184"/>
      <c r="DYM1" s="184"/>
      <c r="DYN1" s="184"/>
      <c r="DYO1" s="184"/>
      <c r="DYP1" s="184"/>
      <c r="DYQ1" s="184"/>
      <c r="DYR1" s="184"/>
      <c r="DYS1" s="184"/>
      <c r="DYT1" s="184"/>
      <c r="DYU1" s="184"/>
      <c r="DYV1" s="184"/>
      <c r="DYW1" s="184"/>
      <c r="DYX1" s="184"/>
      <c r="DYY1" s="184"/>
      <c r="DYZ1" s="184"/>
      <c r="DZA1" s="184"/>
      <c r="DZB1" s="184"/>
      <c r="DZC1" s="184"/>
      <c r="DZD1" s="184"/>
      <c r="DZE1" s="184"/>
      <c r="DZF1" s="184"/>
      <c r="DZG1" s="184"/>
      <c r="DZH1" s="184"/>
      <c r="DZI1" s="184"/>
      <c r="DZJ1" s="184"/>
      <c r="DZK1" s="184"/>
      <c r="DZL1" s="184"/>
      <c r="DZM1" s="184"/>
      <c r="DZN1" s="184"/>
      <c r="DZO1" s="184"/>
      <c r="DZP1" s="184"/>
      <c r="DZQ1" s="184"/>
      <c r="DZR1" s="184"/>
      <c r="DZS1" s="184"/>
      <c r="DZT1" s="184"/>
      <c r="DZU1" s="184"/>
      <c r="DZV1" s="184"/>
      <c r="DZW1" s="184"/>
      <c r="DZX1" s="184"/>
      <c r="DZY1" s="184"/>
      <c r="DZZ1" s="184"/>
      <c r="EAA1" s="184"/>
      <c r="EAB1" s="184"/>
      <c r="EAC1" s="184"/>
      <c r="EAD1" s="184"/>
      <c r="EAE1" s="184"/>
      <c r="EAF1" s="184"/>
      <c r="EAG1" s="184"/>
      <c r="EAH1" s="184"/>
      <c r="EAI1" s="184"/>
      <c r="EAJ1" s="184"/>
      <c r="EAK1" s="184"/>
      <c r="EAL1" s="184"/>
      <c r="EAM1" s="184"/>
      <c r="EAN1" s="184"/>
      <c r="EAO1" s="184"/>
      <c r="EAP1" s="184"/>
      <c r="EAQ1" s="184"/>
      <c r="EAR1" s="184"/>
      <c r="EAS1" s="184"/>
      <c r="EAT1" s="184"/>
      <c r="EAU1" s="184"/>
      <c r="EAV1" s="184"/>
      <c r="EAW1" s="184"/>
      <c r="EAX1" s="184"/>
      <c r="EAY1" s="184"/>
      <c r="EAZ1" s="184"/>
      <c r="EBA1" s="184"/>
      <c r="EBB1" s="184"/>
      <c r="EBC1" s="184"/>
      <c r="EBD1" s="184"/>
      <c r="EBE1" s="184"/>
      <c r="EBF1" s="184"/>
      <c r="EBG1" s="184"/>
      <c r="EBH1" s="184"/>
      <c r="EBI1" s="184"/>
      <c r="EBJ1" s="184"/>
      <c r="EBK1" s="184"/>
      <c r="EBL1" s="184"/>
      <c r="EBM1" s="184"/>
      <c r="EBN1" s="184"/>
      <c r="EBO1" s="184"/>
      <c r="EBP1" s="184"/>
      <c r="EBQ1" s="184"/>
      <c r="EBR1" s="184"/>
      <c r="EBS1" s="184"/>
      <c r="EBT1" s="184"/>
      <c r="EBU1" s="184"/>
      <c r="EBV1" s="184"/>
      <c r="EBW1" s="184"/>
      <c r="EBX1" s="184"/>
      <c r="EBY1" s="184"/>
      <c r="EBZ1" s="184"/>
      <c r="ECA1" s="184"/>
      <c r="ECB1" s="184"/>
      <c r="ECC1" s="184"/>
      <c r="ECD1" s="184"/>
      <c r="ECE1" s="184"/>
      <c r="ECF1" s="184"/>
      <c r="ECG1" s="184"/>
      <c r="ECH1" s="184"/>
      <c r="ECI1" s="184"/>
      <c r="ECJ1" s="184"/>
      <c r="ECK1" s="184"/>
      <c r="ECL1" s="184"/>
      <c r="ECM1" s="184"/>
      <c r="ECN1" s="184"/>
      <c r="ECO1" s="184"/>
      <c r="ECP1" s="184"/>
      <c r="ECQ1" s="184"/>
      <c r="ECR1" s="184"/>
      <c r="ECS1" s="184"/>
      <c r="ECT1" s="184"/>
      <c r="ECU1" s="184"/>
      <c r="ECV1" s="184"/>
      <c r="ECW1" s="184"/>
      <c r="ECX1" s="184"/>
      <c r="ECY1" s="184"/>
      <c r="ECZ1" s="184"/>
      <c r="EDA1" s="184"/>
      <c r="EDB1" s="184"/>
      <c r="EDC1" s="184"/>
      <c r="EDD1" s="184"/>
      <c r="EDE1" s="184"/>
      <c r="EDF1" s="184"/>
      <c r="EDG1" s="184"/>
      <c r="EDH1" s="184"/>
      <c r="EDI1" s="184"/>
      <c r="EDJ1" s="184"/>
      <c r="EDK1" s="184"/>
      <c r="EDL1" s="184"/>
      <c r="EDM1" s="184"/>
      <c r="EDN1" s="184"/>
      <c r="EDO1" s="184"/>
      <c r="EDP1" s="184"/>
      <c r="EDQ1" s="184"/>
      <c r="EDR1" s="184"/>
      <c r="EDS1" s="184"/>
      <c r="EDT1" s="184"/>
      <c r="EDU1" s="184"/>
      <c r="EDV1" s="184"/>
      <c r="EDW1" s="184"/>
      <c r="EDX1" s="184"/>
      <c r="EDY1" s="184"/>
      <c r="EDZ1" s="184"/>
      <c r="EEA1" s="184"/>
      <c r="EEB1" s="184"/>
      <c r="EEC1" s="184"/>
      <c r="EED1" s="184"/>
      <c r="EEE1" s="184"/>
      <c r="EEF1" s="184"/>
      <c r="EEG1" s="184"/>
      <c r="EEH1" s="184"/>
      <c r="EEI1" s="184"/>
      <c r="EEJ1" s="184"/>
      <c r="EEK1" s="184"/>
      <c r="EEL1" s="184"/>
      <c r="EEM1" s="184"/>
      <c r="EEN1" s="184"/>
      <c r="EEO1" s="184"/>
      <c r="EEP1" s="184"/>
      <c r="EEQ1" s="184"/>
      <c r="EER1" s="184"/>
      <c r="EES1" s="184"/>
      <c r="EET1" s="184"/>
      <c r="EEU1" s="184"/>
      <c r="EEV1" s="184"/>
      <c r="EEW1" s="184"/>
      <c r="EEX1" s="184"/>
      <c r="EEY1" s="184"/>
      <c r="EEZ1" s="184"/>
      <c r="EFA1" s="184"/>
      <c r="EFB1" s="184"/>
      <c r="EFC1" s="184"/>
      <c r="EFD1" s="184"/>
      <c r="EFE1" s="184"/>
      <c r="EFF1" s="184"/>
      <c r="EFG1" s="184"/>
      <c r="EFH1" s="184"/>
      <c r="EFI1" s="184"/>
      <c r="EFJ1" s="184"/>
      <c r="EFK1" s="184"/>
      <c r="EFL1" s="184"/>
      <c r="EFM1" s="184"/>
      <c r="EFN1" s="184"/>
      <c r="EFO1" s="184"/>
      <c r="EFP1" s="184"/>
      <c r="EFQ1" s="184"/>
      <c r="EFR1" s="184"/>
      <c r="EFS1" s="184"/>
      <c r="EFT1" s="184"/>
      <c r="EFU1" s="184"/>
      <c r="EFV1" s="184"/>
      <c r="EFW1" s="184"/>
      <c r="EFX1" s="184"/>
      <c r="EFY1" s="184"/>
      <c r="EFZ1" s="184"/>
      <c r="EGA1" s="184"/>
      <c r="EGB1" s="184"/>
      <c r="EGC1" s="184"/>
      <c r="EGD1" s="184"/>
      <c r="EGE1" s="184"/>
      <c r="EGF1" s="184"/>
      <c r="EGG1" s="184"/>
      <c r="EGH1" s="184"/>
      <c r="EGI1" s="184"/>
      <c r="EGJ1" s="184"/>
      <c r="EGK1" s="184"/>
      <c r="EGL1" s="184"/>
      <c r="EGM1" s="184"/>
      <c r="EGN1" s="184"/>
      <c r="EGO1" s="184"/>
      <c r="EGP1" s="184"/>
      <c r="EGQ1" s="184"/>
      <c r="EGR1" s="184"/>
      <c r="EGS1" s="184"/>
      <c r="EGT1" s="184"/>
      <c r="EGU1" s="184"/>
      <c r="EGV1" s="184"/>
      <c r="EGW1" s="184"/>
      <c r="EGX1" s="184"/>
      <c r="EGY1" s="184"/>
      <c r="EGZ1" s="184"/>
      <c r="EHA1" s="184"/>
      <c r="EHB1" s="184"/>
      <c r="EHC1" s="184"/>
      <c r="EHD1" s="184"/>
      <c r="EHE1" s="184"/>
      <c r="EHF1" s="184"/>
      <c r="EHG1" s="184"/>
      <c r="EHH1" s="184"/>
      <c r="EHI1" s="184"/>
      <c r="EHJ1" s="184"/>
      <c r="EHK1" s="184"/>
      <c r="EHL1" s="184"/>
      <c r="EHM1" s="184"/>
      <c r="EHN1" s="184"/>
      <c r="EHO1" s="184"/>
      <c r="EHP1" s="184"/>
      <c r="EHQ1" s="184"/>
      <c r="EHR1" s="184"/>
      <c r="EHS1" s="184"/>
      <c r="EHT1" s="184"/>
      <c r="EHU1" s="184"/>
      <c r="EHV1" s="184"/>
      <c r="EHW1" s="184"/>
      <c r="EHX1" s="184"/>
      <c r="EHY1" s="184"/>
      <c r="EHZ1" s="184"/>
      <c r="EIA1" s="184"/>
      <c r="EIB1" s="184"/>
      <c r="EIC1" s="184"/>
      <c r="EID1" s="184"/>
      <c r="EIE1" s="184"/>
      <c r="EIF1" s="184"/>
      <c r="EIG1" s="184"/>
      <c r="EIH1" s="184"/>
      <c r="EII1" s="184"/>
      <c r="EIJ1" s="184"/>
      <c r="EIK1" s="184"/>
      <c r="EIL1" s="184"/>
      <c r="EIM1" s="184"/>
      <c r="EIN1" s="184"/>
      <c r="EIO1" s="184"/>
      <c r="EIP1" s="184"/>
      <c r="EIQ1" s="184"/>
      <c r="EIR1" s="184"/>
      <c r="EIS1" s="184"/>
      <c r="EIT1" s="184"/>
      <c r="EIU1" s="184"/>
      <c r="EIV1" s="184"/>
      <c r="EIW1" s="184"/>
      <c r="EIX1" s="184"/>
      <c r="EIY1" s="184"/>
      <c r="EIZ1" s="184"/>
      <c r="EJA1" s="184"/>
      <c r="EJB1" s="184"/>
      <c r="EJC1" s="184"/>
      <c r="EJD1" s="184"/>
      <c r="EJE1" s="184"/>
      <c r="EJF1" s="184"/>
      <c r="EJG1" s="184"/>
      <c r="EJH1" s="184"/>
      <c r="EJI1" s="184"/>
      <c r="EJJ1" s="184"/>
      <c r="EJK1" s="184"/>
      <c r="EJL1" s="184"/>
      <c r="EJM1" s="184"/>
      <c r="EJN1" s="184"/>
      <c r="EJO1" s="184"/>
      <c r="EJP1" s="184"/>
      <c r="EJQ1" s="184"/>
      <c r="EJR1" s="184"/>
      <c r="EJS1" s="184"/>
      <c r="EJT1" s="184"/>
      <c r="EJU1" s="184"/>
      <c r="EJV1" s="184"/>
      <c r="EJW1" s="184"/>
      <c r="EJX1" s="184"/>
      <c r="EJY1" s="184"/>
      <c r="EJZ1" s="184"/>
      <c r="EKA1" s="184"/>
      <c r="EKB1" s="184"/>
      <c r="EKC1" s="184"/>
      <c r="EKD1" s="184"/>
      <c r="EKE1" s="184"/>
      <c r="EKF1" s="184"/>
      <c r="EKG1" s="184"/>
      <c r="EKH1" s="184"/>
      <c r="EKI1" s="184"/>
      <c r="EKJ1" s="184"/>
      <c r="EKK1" s="184"/>
      <c r="EKL1" s="184"/>
      <c r="EKM1" s="184"/>
      <c r="EKN1" s="184"/>
      <c r="EKO1" s="184"/>
      <c r="EKP1" s="184"/>
      <c r="EKQ1" s="184"/>
      <c r="EKR1" s="184"/>
      <c r="EKS1" s="184"/>
      <c r="EKT1" s="184"/>
      <c r="EKU1" s="184"/>
      <c r="EKV1" s="184"/>
      <c r="EKW1" s="184"/>
      <c r="EKX1" s="184"/>
      <c r="EKY1" s="184"/>
      <c r="EKZ1" s="184"/>
      <c r="ELA1" s="184"/>
      <c r="ELB1" s="184"/>
      <c r="ELC1" s="184"/>
      <c r="ELD1" s="184"/>
      <c r="ELE1" s="184"/>
      <c r="ELF1" s="184"/>
      <c r="ELG1" s="184"/>
      <c r="ELH1" s="184"/>
      <c r="ELI1" s="184"/>
      <c r="ELJ1" s="184"/>
      <c r="ELK1" s="184"/>
      <c r="ELL1" s="184"/>
      <c r="ELM1" s="184"/>
      <c r="ELN1" s="184"/>
      <c r="ELO1" s="184"/>
      <c r="ELP1" s="184"/>
      <c r="ELQ1" s="184"/>
      <c r="ELR1" s="184"/>
      <c r="ELS1" s="184"/>
      <c r="ELT1" s="184"/>
      <c r="ELU1" s="184"/>
      <c r="ELV1" s="184"/>
      <c r="ELW1" s="184"/>
      <c r="ELX1" s="184"/>
      <c r="ELY1" s="184"/>
      <c r="ELZ1" s="184"/>
      <c r="EMA1" s="184"/>
      <c r="EMB1" s="184"/>
      <c r="EMC1" s="184"/>
      <c r="EMD1" s="184"/>
      <c r="EME1" s="184"/>
      <c r="EMF1" s="184"/>
      <c r="EMG1" s="184"/>
      <c r="EMH1" s="184"/>
      <c r="EMI1" s="184"/>
      <c r="EMJ1" s="184"/>
      <c r="EMK1" s="184"/>
      <c r="EML1" s="184"/>
      <c r="EMM1" s="184"/>
      <c r="EMN1" s="184"/>
      <c r="EMO1" s="184"/>
      <c r="EMP1" s="184"/>
      <c r="EMQ1" s="184"/>
      <c r="EMR1" s="184"/>
      <c r="EMS1" s="184"/>
      <c r="EMT1" s="184"/>
      <c r="EMU1" s="184"/>
      <c r="EMV1" s="184"/>
      <c r="EMW1" s="184"/>
      <c r="EMX1" s="184"/>
      <c r="EMY1" s="184"/>
      <c r="EMZ1" s="184"/>
      <c r="ENA1" s="184"/>
      <c r="ENB1" s="184"/>
      <c r="ENC1" s="184"/>
      <c r="END1" s="184"/>
      <c r="ENE1" s="184"/>
      <c r="ENF1" s="184"/>
      <c r="ENG1" s="184"/>
      <c r="ENH1" s="184"/>
      <c r="ENI1" s="184"/>
      <c r="ENJ1" s="184"/>
      <c r="ENK1" s="184"/>
      <c r="ENL1" s="184"/>
      <c r="ENM1" s="184"/>
      <c r="ENN1" s="184"/>
      <c r="ENO1" s="184"/>
      <c r="ENP1" s="184"/>
      <c r="ENQ1" s="184"/>
      <c r="ENR1" s="184"/>
      <c r="ENS1" s="184"/>
      <c r="ENT1" s="184"/>
      <c r="ENU1" s="184"/>
      <c r="ENV1" s="184"/>
      <c r="ENW1" s="184"/>
      <c r="ENX1" s="184"/>
      <c r="ENY1" s="184"/>
      <c r="ENZ1" s="184"/>
      <c r="EOA1" s="184"/>
      <c r="EOB1" s="184"/>
      <c r="EOC1" s="184"/>
      <c r="EOD1" s="184"/>
      <c r="EOE1" s="184"/>
      <c r="EOF1" s="184"/>
      <c r="EOG1" s="184"/>
      <c r="EOH1" s="184"/>
      <c r="EOI1" s="184"/>
      <c r="EOJ1" s="184"/>
      <c r="EOK1" s="184"/>
      <c r="EOL1" s="184"/>
      <c r="EOM1" s="184"/>
      <c r="EON1" s="184"/>
      <c r="EOO1" s="184"/>
      <c r="EOP1" s="184"/>
      <c r="EOQ1" s="184"/>
      <c r="EOR1" s="184"/>
      <c r="EOS1" s="184"/>
      <c r="EOT1" s="184"/>
      <c r="EOU1" s="184"/>
      <c r="EOV1" s="184"/>
      <c r="EOW1" s="184"/>
      <c r="EOX1" s="184"/>
      <c r="EOY1" s="184"/>
      <c r="EOZ1" s="184"/>
      <c r="EPA1" s="184"/>
      <c r="EPB1" s="184"/>
      <c r="EPC1" s="184"/>
      <c r="EPD1" s="184"/>
      <c r="EPE1" s="184"/>
      <c r="EPF1" s="184"/>
      <c r="EPG1" s="184"/>
      <c r="EPH1" s="184"/>
      <c r="EPI1" s="184"/>
      <c r="EPJ1" s="184"/>
      <c r="EPK1" s="184"/>
      <c r="EPL1" s="184"/>
      <c r="EPM1" s="184"/>
      <c r="EPN1" s="184"/>
      <c r="EPO1" s="184"/>
      <c r="EPP1" s="184"/>
      <c r="EPQ1" s="184"/>
      <c r="EPR1" s="184"/>
      <c r="EPS1" s="184"/>
      <c r="EPT1" s="184"/>
      <c r="EPU1" s="184"/>
      <c r="EPV1" s="184"/>
      <c r="EPW1" s="184"/>
      <c r="EPX1" s="184"/>
      <c r="EPY1" s="184"/>
      <c r="EPZ1" s="184"/>
      <c r="EQA1" s="184"/>
      <c r="EQB1" s="184"/>
      <c r="EQC1" s="184"/>
      <c r="EQD1" s="184"/>
      <c r="EQE1" s="184"/>
      <c r="EQF1" s="184"/>
      <c r="EQG1" s="184"/>
      <c r="EQH1" s="184"/>
      <c r="EQI1" s="184"/>
      <c r="EQJ1" s="184"/>
      <c r="EQK1" s="184"/>
      <c r="EQL1" s="184"/>
      <c r="EQM1" s="184"/>
      <c r="EQN1" s="184"/>
      <c r="EQO1" s="184"/>
      <c r="EQP1" s="184"/>
      <c r="EQQ1" s="184"/>
      <c r="EQR1" s="184"/>
      <c r="EQS1" s="184"/>
      <c r="EQT1" s="184"/>
      <c r="EQU1" s="184"/>
      <c r="EQV1" s="184"/>
      <c r="EQW1" s="184"/>
      <c r="EQX1" s="184"/>
      <c r="EQY1" s="184"/>
      <c r="EQZ1" s="184"/>
      <c r="ERA1" s="184"/>
      <c r="ERB1" s="184"/>
      <c r="ERC1" s="184"/>
      <c r="ERD1" s="184"/>
      <c r="ERE1" s="184"/>
      <c r="ERF1" s="184"/>
      <c r="ERG1" s="184"/>
      <c r="ERH1" s="184"/>
      <c r="ERI1" s="184"/>
      <c r="ERJ1" s="184"/>
      <c r="ERK1" s="184"/>
      <c r="ERL1" s="184"/>
      <c r="ERM1" s="184"/>
      <c r="ERN1" s="184"/>
      <c r="ERO1" s="184"/>
      <c r="ERP1" s="184"/>
      <c r="ERQ1" s="184"/>
      <c r="ERR1" s="184"/>
      <c r="ERS1" s="184"/>
      <c r="ERT1" s="184"/>
      <c r="ERU1" s="184"/>
      <c r="ERV1" s="184"/>
      <c r="ERW1" s="184"/>
      <c r="ERX1" s="184"/>
      <c r="ERY1" s="184"/>
      <c r="ERZ1" s="184"/>
      <c r="ESA1" s="184"/>
      <c r="ESB1" s="184"/>
      <c r="ESC1" s="184"/>
      <c r="ESD1" s="184"/>
      <c r="ESE1" s="184"/>
      <c r="ESF1" s="184"/>
      <c r="ESG1" s="184"/>
      <c r="ESH1" s="184"/>
      <c r="ESI1" s="184"/>
      <c r="ESJ1" s="184"/>
      <c r="ESK1" s="184"/>
      <c r="ESL1" s="184"/>
      <c r="ESM1" s="184"/>
      <c r="ESN1" s="184"/>
      <c r="ESO1" s="184"/>
      <c r="ESP1" s="184"/>
      <c r="ESQ1" s="184"/>
      <c r="ESR1" s="184"/>
      <c r="ESS1" s="184"/>
      <c r="EST1" s="184"/>
      <c r="ESU1" s="184"/>
      <c r="ESV1" s="184"/>
      <c r="ESW1" s="184"/>
      <c r="ESX1" s="184"/>
      <c r="ESY1" s="184"/>
      <c r="ESZ1" s="184"/>
      <c r="ETA1" s="184"/>
      <c r="ETB1" s="184"/>
      <c r="ETC1" s="184"/>
      <c r="ETD1" s="184"/>
      <c r="ETE1" s="184"/>
      <c r="ETF1" s="184"/>
      <c r="ETG1" s="184"/>
      <c r="ETH1" s="184"/>
      <c r="ETI1" s="184"/>
      <c r="ETJ1" s="184"/>
      <c r="ETK1" s="184"/>
      <c r="ETL1" s="184"/>
      <c r="ETM1" s="184"/>
      <c r="ETN1" s="184"/>
      <c r="ETO1" s="184"/>
      <c r="ETP1" s="184"/>
      <c r="ETQ1" s="184"/>
      <c r="ETR1" s="184"/>
      <c r="ETS1" s="184"/>
      <c r="ETT1" s="184"/>
      <c r="ETU1" s="184"/>
      <c r="ETV1" s="184"/>
      <c r="ETW1" s="184"/>
      <c r="ETX1" s="184"/>
      <c r="ETY1" s="184"/>
      <c r="ETZ1" s="184"/>
      <c r="EUA1" s="184"/>
      <c r="EUB1" s="184"/>
      <c r="EUC1" s="184"/>
      <c r="EUD1" s="184"/>
      <c r="EUE1" s="184"/>
      <c r="EUF1" s="184"/>
      <c r="EUG1" s="184"/>
      <c r="EUH1" s="184"/>
      <c r="EUI1" s="184"/>
      <c r="EUJ1" s="184"/>
      <c r="EUK1" s="184"/>
      <c r="EUL1" s="184"/>
      <c r="EUM1" s="184"/>
      <c r="EUN1" s="184"/>
      <c r="EUO1" s="184"/>
      <c r="EUP1" s="184"/>
      <c r="EUQ1" s="184"/>
      <c r="EUR1" s="184"/>
      <c r="EUS1" s="184"/>
      <c r="EUT1" s="184"/>
      <c r="EUU1" s="184"/>
      <c r="EUV1" s="184"/>
      <c r="EUW1" s="184"/>
      <c r="EUX1" s="184"/>
      <c r="EUY1" s="184"/>
      <c r="EUZ1" s="184"/>
      <c r="EVA1" s="184"/>
      <c r="EVB1" s="184"/>
      <c r="EVC1" s="184"/>
      <c r="EVD1" s="184"/>
      <c r="EVE1" s="184"/>
      <c r="EVF1" s="184"/>
      <c r="EVG1" s="184"/>
      <c r="EVH1" s="184"/>
      <c r="EVI1" s="184"/>
      <c r="EVJ1" s="184"/>
      <c r="EVK1" s="184"/>
      <c r="EVL1" s="184"/>
      <c r="EVM1" s="184"/>
      <c r="EVN1" s="184"/>
      <c r="EVO1" s="184"/>
      <c r="EVP1" s="184"/>
      <c r="EVQ1" s="184"/>
      <c r="EVR1" s="184"/>
      <c r="EVS1" s="184"/>
      <c r="EVT1" s="184"/>
      <c r="EVU1" s="184"/>
      <c r="EVV1" s="184"/>
      <c r="EVW1" s="184"/>
      <c r="EVX1" s="184"/>
      <c r="EVY1" s="184"/>
      <c r="EVZ1" s="184"/>
      <c r="EWA1" s="184"/>
      <c r="EWB1" s="184"/>
      <c r="EWC1" s="184"/>
      <c r="EWD1" s="184"/>
      <c r="EWE1" s="184"/>
      <c r="EWF1" s="184"/>
      <c r="EWG1" s="184"/>
      <c r="EWH1" s="184"/>
      <c r="EWI1" s="184"/>
      <c r="EWJ1" s="184"/>
      <c r="EWK1" s="184"/>
      <c r="EWL1" s="184"/>
      <c r="EWM1" s="184"/>
      <c r="EWN1" s="184"/>
      <c r="EWO1" s="184"/>
      <c r="EWP1" s="184"/>
      <c r="EWQ1" s="184"/>
      <c r="EWR1" s="184"/>
      <c r="EWS1" s="184"/>
      <c r="EWT1" s="184"/>
      <c r="EWU1" s="184"/>
      <c r="EWV1" s="184"/>
      <c r="EWW1" s="184"/>
      <c r="EWX1" s="184"/>
      <c r="EWY1" s="184"/>
      <c r="EWZ1" s="184"/>
      <c r="EXA1" s="184"/>
      <c r="EXB1" s="184"/>
      <c r="EXC1" s="184"/>
      <c r="EXD1" s="184"/>
      <c r="EXE1" s="184"/>
      <c r="EXF1" s="184"/>
      <c r="EXG1" s="184"/>
      <c r="EXH1" s="184"/>
      <c r="EXI1" s="184"/>
      <c r="EXJ1" s="184"/>
      <c r="EXK1" s="184"/>
      <c r="EXL1" s="184"/>
      <c r="EXM1" s="184"/>
      <c r="EXN1" s="184"/>
      <c r="EXO1" s="184"/>
      <c r="EXP1" s="184"/>
      <c r="EXQ1" s="184"/>
      <c r="EXR1" s="184"/>
      <c r="EXS1" s="184"/>
      <c r="EXT1" s="184"/>
      <c r="EXU1" s="184"/>
      <c r="EXV1" s="184"/>
      <c r="EXW1" s="184"/>
      <c r="EXX1" s="184"/>
      <c r="EXY1" s="184"/>
      <c r="EXZ1" s="184"/>
      <c r="EYA1" s="184"/>
      <c r="EYB1" s="184"/>
      <c r="EYC1" s="184"/>
      <c r="EYD1" s="184"/>
      <c r="EYE1" s="184"/>
      <c r="EYF1" s="184"/>
      <c r="EYG1" s="184"/>
      <c r="EYH1" s="184"/>
      <c r="EYI1" s="184"/>
      <c r="EYJ1" s="184"/>
      <c r="EYK1" s="184"/>
      <c r="EYL1" s="184"/>
      <c r="EYM1" s="184"/>
      <c r="EYN1" s="184"/>
      <c r="EYO1" s="184"/>
      <c r="EYP1" s="184"/>
      <c r="EYQ1" s="184"/>
      <c r="EYR1" s="184"/>
      <c r="EYS1" s="184"/>
      <c r="EYT1" s="184"/>
      <c r="EYU1" s="184"/>
      <c r="EYV1" s="184"/>
      <c r="EYW1" s="184"/>
      <c r="EYX1" s="184"/>
      <c r="EYY1" s="184"/>
      <c r="EYZ1" s="184"/>
      <c r="EZA1" s="184"/>
      <c r="EZB1" s="184"/>
      <c r="EZC1" s="184"/>
      <c r="EZD1" s="184"/>
      <c r="EZE1" s="184"/>
      <c r="EZF1" s="184"/>
      <c r="EZG1" s="184"/>
      <c r="EZH1" s="184"/>
      <c r="EZI1" s="184"/>
      <c r="EZJ1" s="184"/>
      <c r="EZK1" s="184"/>
      <c r="EZL1" s="184"/>
      <c r="EZM1" s="184"/>
      <c r="EZN1" s="184"/>
      <c r="EZO1" s="184"/>
      <c r="EZP1" s="184"/>
      <c r="EZQ1" s="184"/>
      <c r="EZR1" s="184"/>
      <c r="EZS1" s="184"/>
      <c r="EZT1" s="184"/>
      <c r="EZU1" s="184"/>
      <c r="EZV1" s="184"/>
      <c r="EZW1" s="184"/>
      <c r="EZX1" s="184"/>
      <c r="EZY1" s="184"/>
      <c r="EZZ1" s="184"/>
      <c r="FAA1" s="184"/>
      <c r="FAB1" s="184"/>
      <c r="FAC1" s="184"/>
      <c r="FAD1" s="184"/>
      <c r="FAE1" s="184"/>
      <c r="FAF1" s="184"/>
      <c r="FAG1" s="184"/>
      <c r="FAH1" s="184"/>
      <c r="FAI1" s="184"/>
      <c r="FAJ1" s="184"/>
      <c r="FAK1" s="184"/>
      <c r="FAL1" s="184"/>
      <c r="FAM1" s="184"/>
      <c r="FAN1" s="184"/>
      <c r="FAO1" s="184"/>
      <c r="FAP1" s="184"/>
      <c r="FAQ1" s="184"/>
      <c r="FAR1" s="184"/>
      <c r="FAS1" s="184"/>
      <c r="FAT1" s="184"/>
      <c r="FAU1" s="184"/>
      <c r="FAV1" s="184"/>
      <c r="FAW1" s="184"/>
      <c r="FAX1" s="184"/>
      <c r="FAY1" s="184"/>
      <c r="FAZ1" s="184"/>
      <c r="FBA1" s="184"/>
      <c r="FBB1" s="184"/>
      <c r="FBC1" s="184"/>
      <c r="FBD1" s="184"/>
      <c r="FBE1" s="184"/>
      <c r="FBF1" s="184"/>
      <c r="FBG1" s="184"/>
      <c r="FBH1" s="184"/>
      <c r="FBI1" s="184"/>
      <c r="FBJ1" s="184"/>
      <c r="FBK1" s="184"/>
      <c r="FBL1" s="184"/>
      <c r="FBM1" s="184"/>
      <c r="FBN1" s="184"/>
      <c r="FBO1" s="184"/>
      <c r="FBP1" s="184"/>
      <c r="FBQ1" s="184"/>
      <c r="FBR1" s="184"/>
      <c r="FBS1" s="184"/>
      <c r="FBT1" s="184"/>
      <c r="FBU1" s="184"/>
      <c r="FBV1" s="184"/>
      <c r="FBW1" s="184"/>
      <c r="FBX1" s="184"/>
      <c r="FBY1" s="184"/>
      <c r="FBZ1" s="184"/>
      <c r="FCA1" s="184"/>
      <c r="FCB1" s="184"/>
      <c r="FCC1" s="184"/>
      <c r="FCD1" s="184"/>
      <c r="FCE1" s="184"/>
      <c r="FCF1" s="184"/>
      <c r="FCG1" s="184"/>
      <c r="FCH1" s="184"/>
      <c r="FCI1" s="184"/>
      <c r="FCJ1" s="184"/>
      <c r="FCK1" s="184"/>
      <c r="FCL1" s="184"/>
      <c r="FCM1" s="184"/>
      <c r="FCN1" s="184"/>
      <c r="FCO1" s="184"/>
      <c r="FCP1" s="184"/>
      <c r="FCQ1" s="184"/>
      <c r="FCR1" s="184"/>
      <c r="FCS1" s="184"/>
      <c r="FCT1" s="184"/>
      <c r="FCU1" s="184"/>
      <c r="FCV1" s="184"/>
      <c r="FCW1" s="184"/>
      <c r="FCX1" s="184"/>
      <c r="FCY1" s="184"/>
      <c r="FCZ1" s="184"/>
      <c r="FDA1" s="184"/>
      <c r="FDB1" s="184"/>
      <c r="FDC1" s="184"/>
      <c r="FDD1" s="184"/>
      <c r="FDE1" s="184"/>
      <c r="FDF1" s="184"/>
      <c r="FDG1" s="184"/>
      <c r="FDH1" s="184"/>
      <c r="FDI1" s="184"/>
      <c r="FDJ1" s="184"/>
      <c r="FDK1" s="184"/>
      <c r="FDL1" s="184"/>
      <c r="FDM1" s="184"/>
      <c r="FDN1" s="184"/>
      <c r="FDO1" s="184"/>
      <c r="FDP1" s="184"/>
      <c r="FDQ1" s="184"/>
      <c r="FDR1" s="184"/>
      <c r="FDS1" s="184"/>
      <c r="FDT1" s="184"/>
      <c r="FDU1" s="184"/>
      <c r="FDV1" s="184"/>
      <c r="FDW1" s="184"/>
      <c r="FDX1" s="184"/>
      <c r="FDY1" s="184"/>
      <c r="FDZ1" s="184"/>
      <c r="FEA1" s="184"/>
      <c r="FEB1" s="184"/>
      <c r="FEC1" s="184"/>
      <c r="FED1" s="184"/>
      <c r="FEE1" s="184"/>
      <c r="FEF1" s="184"/>
      <c r="FEG1" s="184"/>
      <c r="FEH1" s="184"/>
      <c r="FEI1" s="184"/>
      <c r="FEJ1" s="184"/>
      <c r="FEK1" s="184"/>
      <c r="FEL1" s="184"/>
      <c r="FEM1" s="184"/>
      <c r="FEN1" s="184"/>
      <c r="FEO1" s="184"/>
      <c r="FEP1" s="184"/>
      <c r="FEQ1" s="184"/>
      <c r="FER1" s="184"/>
      <c r="FES1" s="184"/>
      <c r="FET1" s="184"/>
      <c r="FEU1" s="184"/>
      <c r="FEV1" s="184"/>
      <c r="FEW1" s="184"/>
      <c r="FEX1" s="184"/>
      <c r="FEY1" s="184"/>
      <c r="FEZ1" s="184"/>
      <c r="FFA1" s="184"/>
      <c r="FFB1" s="184"/>
      <c r="FFC1" s="184"/>
      <c r="FFD1" s="184"/>
      <c r="FFE1" s="184"/>
      <c r="FFF1" s="184"/>
      <c r="FFG1" s="184"/>
      <c r="FFH1" s="184"/>
      <c r="FFI1" s="184"/>
      <c r="FFJ1" s="184"/>
      <c r="FFK1" s="184"/>
      <c r="FFL1" s="184"/>
      <c r="FFM1" s="184"/>
      <c r="FFN1" s="184"/>
      <c r="FFO1" s="184"/>
      <c r="FFP1" s="184"/>
      <c r="FFQ1" s="184"/>
      <c r="FFR1" s="184"/>
      <c r="FFS1" s="184"/>
      <c r="FFT1" s="184"/>
      <c r="FFU1" s="184"/>
      <c r="FFV1" s="184"/>
      <c r="FFW1" s="184"/>
      <c r="FFX1" s="184"/>
      <c r="FFY1" s="184"/>
      <c r="FFZ1" s="184"/>
      <c r="FGA1" s="184"/>
      <c r="FGB1" s="184"/>
      <c r="FGC1" s="184"/>
      <c r="FGD1" s="184"/>
      <c r="FGE1" s="184"/>
      <c r="FGF1" s="184"/>
      <c r="FGG1" s="184"/>
      <c r="FGH1" s="184"/>
      <c r="FGI1" s="184"/>
      <c r="FGJ1" s="184"/>
      <c r="FGK1" s="184"/>
      <c r="FGL1" s="184"/>
      <c r="FGM1" s="184"/>
      <c r="FGN1" s="184"/>
      <c r="FGO1" s="184"/>
      <c r="FGP1" s="184"/>
      <c r="FGQ1" s="184"/>
      <c r="FGR1" s="184"/>
      <c r="FGS1" s="184"/>
      <c r="FGT1" s="184"/>
      <c r="FGU1" s="184"/>
      <c r="FGV1" s="184"/>
      <c r="FGW1" s="184"/>
      <c r="FGX1" s="184"/>
      <c r="FGY1" s="184"/>
      <c r="FGZ1" s="184"/>
      <c r="FHA1" s="184"/>
      <c r="FHB1" s="184"/>
      <c r="FHC1" s="184"/>
      <c r="FHD1" s="184"/>
      <c r="FHE1" s="184"/>
      <c r="FHF1" s="184"/>
      <c r="FHG1" s="184"/>
      <c r="FHH1" s="184"/>
      <c r="FHI1" s="184"/>
      <c r="FHJ1" s="184"/>
      <c r="FHK1" s="184"/>
      <c r="FHL1" s="184"/>
      <c r="FHM1" s="184"/>
      <c r="FHN1" s="184"/>
      <c r="FHO1" s="184"/>
      <c r="FHP1" s="184"/>
      <c r="FHQ1" s="184"/>
      <c r="FHR1" s="184"/>
      <c r="FHS1" s="184"/>
      <c r="FHT1" s="184"/>
      <c r="FHU1" s="184"/>
      <c r="FHV1" s="184"/>
      <c r="FHW1" s="184"/>
      <c r="FHX1" s="184"/>
      <c r="FHY1" s="184"/>
      <c r="FHZ1" s="184"/>
      <c r="FIA1" s="184"/>
      <c r="FIB1" s="184"/>
      <c r="FIC1" s="184"/>
      <c r="FID1" s="184"/>
      <c r="FIE1" s="184"/>
      <c r="FIF1" s="184"/>
      <c r="FIG1" s="184"/>
      <c r="FIH1" s="184"/>
      <c r="FII1" s="184"/>
      <c r="FIJ1" s="184"/>
      <c r="FIK1" s="184"/>
      <c r="FIL1" s="184"/>
      <c r="FIM1" s="184"/>
      <c r="FIN1" s="184"/>
      <c r="FIO1" s="184"/>
      <c r="FIP1" s="184"/>
      <c r="FIQ1" s="184"/>
      <c r="FIR1" s="184"/>
      <c r="FIS1" s="184"/>
      <c r="FIT1" s="184"/>
      <c r="FIU1" s="184"/>
      <c r="FIV1" s="184"/>
      <c r="FIW1" s="184"/>
      <c r="FIX1" s="184"/>
      <c r="FIY1" s="184"/>
      <c r="FIZ1" s="184"/>
      <c r="FJA1" s="184"/>
      <c r="FJB1" s="184"/>
      <c r="FJC1" s="184"/>
      <c r="FJD1" s="184"/>
      <c r="FJE1" s="184"/>
      <c r="FJF1" s="184"/>
      <c r="FJG1" s="184"/>
      <c r="FJH1" s="184"/>
      <c r="FJI1" s="184"/>
      <c r="FJJ1" s="184"/>
      <c r="FJK1" s="184"/>
      <c r="FJL1" s="184"/>
      <c r="FJM1" s="184"/>
      <c r="FJN1" s="184"/>
      <c r="FJO1" s="184"/>
      <c r="FJP1" s="184"/>
      <c r="FJQ1" s="184"/>
      <c r="FJR1" s="184"/>
      <c r="FJS1" s="184"/>
      <c r="FJT1" s="184"/>
      <c r="FJU1" s="184"/>
      <c r="FJV1" s="184"/>
      <c r="FJW1" s="184"/>
      <c r="FJX1" s="184"/>
      <c r="FJY1" s="184"/>
      <c r="FJZ1" s="184"/>
      <c r="FKA1" s="184"/>
      <c r="FKB1" s="184"/>
      <c r="FKC1" s="184"/>
      <c r="FKD1" s="184"/>
      <c r="FKE1" s="184"/>
      <c r="FKF1" s="184"/>
      <c r="FKG1" s="184"/>
      <c r="FKH1" s="184"/>
      <c r="FKI1" s="184"/>
      <c r="FKJ1" s="184"/>
      <c r="FKK1" s="184"/>
      <c r="FKL1" s="184"/>
      <c r="FKM1" s="184"/>
      <c r="FKN1" s="184"/>
      <c r="FKO1" s="184"/>
      <c r="FKP1" s="184"/>
      <c r="FKQ1" s="184"/>
      <c r="FKR1" s="184"/>
      <c r="FKS1" s="184"/>
      <c r="FKT1" s="184"/>
      <c r="FKU1" s="184"/>
      <c r="FKV1" s="184"/>
      <c r="FKW1" s="184"/>
      <c r="FKX1" s="184"/>
      <c r="FKY1" s="184"/>
      <c r="FKZ1" s="184"/>
      <c r="FLA1" s="184"/>
      <c r="FLB1" s="184"/>
      <c r="FLC1" s="184"/>
      <c r="FLD1" s="184"/>
      <c r="FLE1" s="184"/>
      <c r="FLF1" s="184"/>
      <c r="FLG1" s="184"/>
      <c r="FLH1" s="184"/>
      <c r="FLI1" s="184"/>
      <c r="FLJ1" s="184"/>
      <c r="FLK1" s="184"/>
      <c r="FLL1" s="184"/>
      <c r="FLM1" s="184"/>
      <c r="FLN1" s="184"/>
      <c r="FLO1" s="184"/>
      <c r="FLP1" s="184"/>
      <c r="FLQ1" s="184"/>
      <c r="FLR1" s="184"/>
      <c r="FLS1" s="184"/>
      <c r="FLT1" s="184"/>
      <c r="FLU1" s="184"/>
      <c r="FLV1" s="184"/>
      <c r="FLW1" s="184"/>
      <c r="FLX1" s="184"/>
      <c r="FLY1" s="184"/>
      <c r="FLZ1" s="184"/>
      <c r="FMA1" s="184"/>
      <c r="FMB1" s="184"/>
      <c r="FMC1" s="184"/>
      <c r="FMD1" s="184"/>
      <c r="FME1" s="184"/>
      <c r="FMF1" s="184"/>
      <c r="FMG1" s="184"/>
      <c r="FMH1" s="184"/>
      <c r="FMI1" s="184"/>
      <c r="FMJ1" s="184"/>
      <c r="FMK1" s="184"/>
      <c r="FML1" s="184"/>
      <c r="FMM1" s="184"/>
      <c r="FMN1" s="184"/>
      <c r="FMO1" s="184"/>
      <c r="FMP1" s="184"/>
      <c r="FMQ1" s="184"/>
      <c r="FMR1" s="184"/>
      <c r="FMS1" s="184"/>
      <c r="FMT1" s="184"/>
      <c r="FMU1" s="184"/>
      <c r="FMV1" s="184"/>
      <c r="FMW1" s="184"/>
      <c r="FMX1" s="184"/>
      <c r="FMY1" s="184"/>
      <c r="FMZ1" s="184"/>
      <c r="FNA1" s="184"/>
      <c r="FNB1" s="184"/>
      <c r="FNC1" s="184"/>
      <c r="FND1" s="184"/>
      <c r="FNE1" s="184"/>
      <c r="FNF1" s="184"/>
      <c r="FNG1" s="184"/>
      <c r="FNH1" s="184"/>
      <c r="FNI1" s="184"/>
      <c r="FNJ1" s="184"/>
      <c r="FNK1" s="184"/>
      <c r="FNL1" s="184"/>
      <c r="FNM1" s="184"/>
      <c r="FNN1" s="184"/>
      <c r="FNO1" s="184"/>
      <c r="FNP1" s="184"/>
      <c r="FNQ1" s="184"/>
      <c r="FNR1" s="184"/>
      <c r="FNS1" s="184"/>
      <c r="FNT1" s="184"/>
      <c r="FNU1" s="184"/>
      <c r="FNV1" s="184"/>
      <c r="FNW1" s="184"/>
      <c r="FNX1" s="184"/>
      <c r="FNY1" s="184"/>
      <c r="FNZ1" s="184"/>
      <c r="FOA1" s="184"/>
      <c r="FOB1" s="184"/>
      <c r="FOC1" s="184"/>
      <c r="FOD1" s="184"/>
      <c r="FOE1" s="184"/>
      <c r="FOF1" s="184"/>
      <c r="FOG1" s="184"/>
      <c r="FOH1" s="184"/>
      <c r="FOI1" s="184"/>
      <c r="FOJ1" s="184"/>
      <c r="FOK1" s="184"/>
      <c r="FOL1" s="184"/>
      <c r="FOM1" s="184"/>
      <c r="FON1" s="184"/>
      <c r="FOO1" s="184"/>
      <c r="FOP1" s="184"/>
      <c r="FOQ1" s="184"/>
      <c r="FOR1" s="184"/>
      <c r="FOS1" s="184"/>
      <c r="FOT1" s="184"/>
      <c r="FOU1" s="184"/>
      <c r="FOV1" s="184"/>
      <c r="FOW1" s="184"/>
      <c r="FOX1" s="184"/>
      <c r="FOY1" s="184"/>
      <c r="FOZ1" s="184"/>
      <c r="FPA1" s="184"/>
      <c r="FPB1" s="184"/>
      <c r="FPC1" s="184"/>
      <c r="FPD1" s="184"/>
      <c r="FPE1" s="184"/>
      <c r="FPF1" s="184"/>
      <c r="FPG1" s="184"/>
      <c r="FPH1" s="184"/>
      <c r="FPI1" s="184"/>
      <c r="FPJ1" s="184"/>
      <c r="FPK1" s="184"/>
      <c r="FPL1" s="184"/>
      <c r="FPM1" s="184"/>
      <c r="FPN1" s="184"/>
      <c r="FPO1" s="184"/>
      <c r="FPP1" s="184"/>
      <c r="FPQ1" s="184"/>
      <c r="FPR1" s="184"/>
      <c r="FPS1" s="184"/>
      <c r="FPT1" s="184"/>
      <c r="FPU1" s="184"/>
      <c r="FPV1" s="184"/>
      <c r="FPW1" s="184"/>
      <c r="FPX1" s="184"/>
      <c r="FPY1" s="184"/>
      <c r="FPZ1" s="184"/>
      <c r="FQA1" s="184"/>
      <c r="FQB1" s="184"/>
      <c r="FQC1" s="184"/>
      <c r="FQD1" s="184"/>
      <c r="FQE1" s="184"/>
      <c r="FQF1" s="184"/>
      <c r="FQG1" s="184"/>
      <c r="FQH1" s="184"/>
      <c r="FQI1" s="184"/>
      <c r="FQJ1" s="184"/>
      <c r="FQK1" s="184"/>
      <c r="FQL1" s="184"/>
      <c r="FQM1" s="184"/>
      <c r="FQN1" s="184"/>
      <c r="FQO1" s="184"/>
      <c r="FQP1" s="184"/>
      <c r="FQQ1" s="184"/>
      <c r="FQR1" s="184"/>
      <c r="FQS1" s="184"/>
      <c r="FQT1" s="184"/>
      <c r="FQU1" s="184"/>
      <c r="FQV1" s="184"/>
      <c r="FQW1" s="184"/>
      <c r="FQX1" s="184"/>
      <c r="FQY1" s="184"/>
      <c r="FQZ1" s="184"/>
      <c r="FRA1" s="184"/>
      <c r="FRB1" s="184"/>
      <c r="FRC1" s="184"/>
      <c r="FRD1" s="184"/>
      <c r="FRE1" s="184"/>
      <c r="FRF1" s="184"/>
      <c r="FRG1" s="184"/>
      <c r="FRH1" s="184"/>
      <c r="FRI1" s="184"/>
      <c r="FRJ1" s="184"/>
      <c r="FRK1" s="184"/>
      <c r="FRL1" s="184"/>
      <c r="FRM1" s="184"/>
      <c r="FRN1" s="184"/>
      <c r="FRO1" s="184"/>
      <c r="FRP1" s="184"/>
      <c r="FRQ1" s="184"/>
      <c r="FRR1" s="184"/>
      <c r="FRS1" s="184"/>
      <c r="FRT1" s="184"/>
      <c r="FRU1" s="184"/>
      <c r="FRV1" s="184"/>
      <c r="FRW1" s="184"/>
      <c r="FRX1" s="184"/>
      <c r="FRY1" s="184"/>
      <c r="FRZ1" s="184"/>
      <c r="FSA1" s="184"/>
      <c r="FSB1" s="184"/>
      <c r="FSC1" s="184"/>
      <c r="FSD1" s="184"/>
      <c r="FSE1" s="184"/>
      <c r="FSF1" s="184"/>
      <c r="FSG1" s="184"/>
      <c r="FSH1" s="184"/>
      <c r="FSI1" s="184"/>
      <c r="FSJ1" s="184"/>
      <c r="FSK1" s="184"/>
      <c r="FSL1" s="184"/>
      <c r="FSM1" s="184"/>
      <c r="FSN1" s="184"/>
      <c r="FSO1" s="184"/>
      <c r="FSP1" s="184"/>
      <c r="FSQ1" s="184"/>
      <c r="FSR1" s="184"/>
      <c r="FSS1" s="184"/>
      <c r="FST1" s="184"/>
      <c r="FSU1" s="184"/>
      <c r="FSV1" s="184"/>
      <c r="FSW1" s="184"/>
      <c r="FSX1" s="184"/>
      <c r="FSY1" s="184"/>
      <c r="FSZ1" s="184"/>
      <c r="FTA1" s="184"/>
      <c r="FTB1" s="184"/>
      <c r="FTC1" s="184"/>
      <c r="FTD1" s="184"/>
      <c r="FTE1" s="184"/>
      <c r="FTF1" s="184"/>
      <c r="FTG1" s="184"/>
      <c r="FTH1" s="184"/>
      <c r="FTI1" s="184"/>
      <c r="FTJ1" s="184"/>
      <c r="FTK1" s="184"/>
      <c r="FTL1" s="184"/>
      <c r="FTM1" s="184"/>
      <c r="FTN1" s="184"/>
      <c r="FTO1" s="184"/>
      <c r="FTP1" s="184"/>
      <c r="FTQ1" s="184"/>
      <c r="FTR1" s="184"/>
      <c r="FTS1" s="184"/>
      <c r="FTT1" s="184"/>
      <c r="FTU1" s="184"/>
      <c r="FTV1" s="184"/>
      <c r="FTW1" s="184"/>
      <c r="FTX1" s="184"/>
      <c r="FTY1" s="184"/>
      <c r="FTZ1" s="184"/>
      <c r="FUA1" s="184"/>
      <c r="FUB1" s="184"/>
      <c r="FUC1" s="184"/>
      <c r="FUD1" s="184"/>
      <c r="FUE1" s="184"/>
      <c r="FUF1" s="184"/>
      <c r="FUG1" s="184"/>
      <c r="FUH1" s="184"/>
      <c r="FUI1" s="184"/>
      <c r="FUJ1" s="184"/>
      <c r="FUK1" s="184"/>
      <c r="FUL1" s="184"/>
      <c r="FUM1" s="184"/>
      <c r="FUN1" s="184"/>
      <c r="FUO1" s="184"/>
      <c r="FUP1" s="184"/>
      <c r="FUQ1" s="184"/>
      <c r="FUR1" s="184"/>
      <c r="FUS1" s="184"/>
      <c r="FUT1" s="184"/>
      <c r="FUU1" s="184"/>
      <c r="FUV1" s="184"/>
      <c r="FUW1" s="184"/>
      <c r="FUX1" s="184"/>
      <c r="FUY1" s="184"/>
      <c r="FUZ1" s="184"/>
      <c r="FVA1" s="184"/>
      <c r="FVB1" s="184"/>
      <c r="FVC1" s="184"/>
      <c r="FVD1" s="184"/>
      <c r="FVE1" s="184"/>
      <c r="FVF1" s="184"/>
      <c r="FVG1" s="184"/>
      <c r="FVH1" s="184"/>
      <c r="FVI1" s="184"/>
      <c r="FVJ1" s="184"/>
      <c r="FVK1" s="184"/>
      <c r="FVL1" s="184"/>
      <c r="FVM1" s="184"/>
      <c r="FVN1" s="184"/>
      <c r="FVO1" s="184"/>
      <c r="FVP1" s="184"/>
      <c r="FVQ1" s="184"/>
      <c r="FVR1" s="184"/>
      <c r="FVS1" s="184"/>
      <c r="FVT1" s="184"/>
      <c r="FVU1" s="184"/>
      <c r="FVV1" s="184"/>
      <c r="FVW1" s="184"/>
      <c r="FVX1" s="184"/>
      <c r="FVY1" s="184"/>
      <c r="FVZ1" s="184"/>
      <c r="FWA1" s="184"/>
      <c r="FWB1" s="184"/>
      <c r="FWC1" s="184"/>
      <c r="FWD1" s="184"/>
      <c r="FWE1" s="184"/>
      <c r="FWF1" s="184"/>
      <c r="FWG1" s="184"/>
      <c r="FWH1" s="184"/>
      <c r="FWI1" s="184"/>
      <c r="FWJ1" s="184"/>
      <c r="FWK1" s="184"/>
      <c r="FWL1" s="184"/>
      <c r="FWM1" s="184"/>
      <c r="FWN1" s="184"/>
      <c r="FWO1" s="184"/>
      <c r="FWP1" s="184"/>
      <c r="FWQ1" s="184"/>
      <c r="FWR1" s="184"/>
      <c r="FWS1" s="184"/>
      <c r="FWT1" s="184"/>
      <c r="FWU1" s="184"/>
      <c r="FWV1" s="184"/>
      <c r="FWW1" s="184"/>
      <c r="FWX1" s="184"/>
      <c r="FWY1" s="184"/>
      <c r="FWZ1" s="184"/>
      <c r="FXA1" s="184"/>
      <c r="FXB1" s="184"/>
      <c r="FXC1" s="184"/>
      <c r="FXD1" s="184"/>
      <c r="FXE1" s="184"/>
      <c r="FXF1" s="184"/>
      <c r="FXG1" s="184"/>
      <c r="FXH1" s="184"/>
      <c r="FXI1" s="184"/>
      <c r="FXJ1" s="184"/>
      <c r="FXK1" s="184"/>
      <c r="FXL1" s="184"/>
      <c r="FXM1" s="184"/>
      <c r="FXN1" s="184"/>
      <c r="FXO1" s="184"/>
      <c r="FXP1" s="184"/>
      <c r="FXQ1" s="184"/>
      <c r="FXR1" s="184"/>
      <c r="FXS1" s="184"/>
      <c r="FXT1" s="184"/>
      <c r="FXU1" s="184"/>
      <c r="FXV1" s="184"/>
      <c r="FXW1" s="184"/>
      <c r="FXX1" s="184"/>
      <c r="FXY1" s="184"/>
      <c r="FXZ1" s="184"/>
      <c r="FYA1" s="184"/>
      <c r="FYB1" s="184"/>
      <c r="FYC1" s="184"/>
      <c r="FYD1" s="184"/>
      <c r="FYE1" s="184"/>
      <c r="FYF1" s="184"/>
      <c r="FYG1" s="184"/>
      <c r="FYH1" s="184"/>
      <c r="FYI1" s="184"/>
      <c r="FYJ1" s="184"/>
      <c r="FYK1" s="184"/>
      <c r="FYL1" s="184"/>
      <c r="FYM1" s="184"/>
      <c r="FYN1" s="184"/>
      <c r="FYO1" s="184"/>
      <c r="FYP1" s="184"/>
      <c r="FYQ1" s="184"/>
      <c r="FYR1" s="184"/>
      <c r="FYS1" s="184"/>
      <c r="FYT1" s="184"/>
      <c r="FYU1" s="184"/>
      <c r="FYV1" s="184"/>
      <c r="FYW1" s="184"/>
      <c r="FYX1" s="184"/>
      <c r="FYY1" s="184"/>
      <c r="FYZ1" s="184"/>
      <c r="FZA1" s="184"/>
      <c r="FZB1" s="184"/>
      <c r="FZC1" s="184"/>
      <c r="FZD1" s="184"/>
      <c r="FZE1" s="184"/>
      <c r="FZF1" s="184"/>
      <c r="FZG1" s="184"/>
      <c r="FZH1" s="184"/>
      <c r="FZI1" s="184"/>
      <c r="FZJ1" s="184"/>
      <c r="FZK1" s="184"/>
      <c r="FZL1" s="184"/>
      <c r="FZM1" s="184"/>
      <c r="FZN1" s="184"/>
      <c r="FZO1" s="184"/>
      <c r="FZP1" s="184"/>
      <c r="FZQ1" s="184"/>
      <c r="FZR1" s="184"/>
      <c r="FZS1" s="184"/>
      <c r="FZT1" s="184"/>
      <c r="FZU1" s="184"/>
      <c r="FZV1" s="184"/>
      <c r="FZW1" s="184"/>
      <c r="FZX1" s="184"/>
      <c r="FZY1" s="184"/>
      <c r="FZZ1" s="184"/>
      <c r="GAA1" s="184"/>
      <c r="GAB1" s="184"/>
      <c r="GAC1" s="184"/>
      <c r="GAD1" s="184"/>
      <c r="GAE1" s="184"/>
      <c r="GAF1" s="184"/>
      <c r="GAG1" s="184"/>
      <c r="GAH1" s="184"/>
      <c r="GAI1" s="184"/>
      <c r="GAJ1" s="184"/>
      <c r="GAK1" s="184"/>
      <c r="GAL1" s="184"/>
      <c r="GAM1" s="184"/>
      <c r="GAN1" s="184"/>
      <c r="GAO1" s="184"/>
      <c r="GAP1" s="184"/>
      <c r="GAQ1" s="184"/>
      <c r="GAR1" s="184"/>
      <c r="GAS1" s="184"/>
      <c r="GAT1" s="184"/>
      <c r="GAU1" s="184"/>
      <c r="GAV1" s="184"/>
      <c r="GAW1" s="184"/>
      <c r="GAX1" s="184"/>
      <c r="GAY1" s="184"/>
      <c r="GAZ1" s="184"/>
      <c r="GBA1" s="184"/>
      <c r="GBB1" s="184"/>
      <c r="GBC1" s="184"/>
      <c r="GBD1" s="184"/>
      <c r="GBE1" s="184"/>
      <c r="GBF1" s="184"/>
      <c r="GBG1" s="184"/>
      <c r="GBH1" s="184"/>
      <c r="GBI1" s="184"/>
      <c r="GBJ1" s="184"/>
      <c r="GBK1" s="184"/>
      <c r="GBL1" s="184"/>
      <c r="GBM1" s="184"/>
      <c r="GBN1" s="184"/>
      <c r="GBO1" s="184"/>
      <c r="GBP1" s="184"/>
      <c r="GBQ1" s="184"/>
      <c r="GBR1" s="184"/>
      <c r="GBS1" s="184"/>
      <c r="GBT1" s="184"/>
      <c r="GBU1" s="184"/>
      <c r="GBV1" s="184"/>
      <c r="GBW1" s="184"/>
      <c r="GBX1" s="184"/>
      <c r="GBY1" s="184"/>
      <c r="GBZ1" s="184"/>
      <c r="GCA1" s="184"/>
      <c r="GCB1" s="184"/>
      <c r="GCC1" s="184"/>
      <c r="GCD1" s="184"/>
      <c r="GCE1" s="184"/>
      <c r="GCF1" s="184"/>
      <c r="GCG1" s="184"/>
      <c r="GCH1" s="184"/>
      <c r="GCI1" s="184"/>
      <c r="GCJ1" s="184"/>
      <c r="GCK1" s="184"/>
      <c r="GCL1" s="184"/>
      <c r="GCM1" s="184"/>
      <c r="GCN1" s="184"/>
      <c r="GCO1" s="184"/>
      <c r="GCP1" s="184"/>
      <c r="GCQ1" s="184"/>
      <c r="GCR1" s="184"/>
      <c r="GCS1" s="184"/>
      <c r="GCT1" s="184"/>
      <c r="GCU1" s="184"/>
      <c r="GCV1" s="184"/>
      <c r="GCW1" s="184"/>
      <c r="GCX1" s="184"/>
      <c r="GCY1" s="184"/>
      <c r="GCZ1" s="184"/>
      <c r="GDA1" s="184"/>
      <c r="GDB1" s="184"/>
      <c r="GDC1" s="184"/>
      <c r="GDD1" s="184"/>
      <c r="GDE1" s="184"/>
      <c r="GDF1" s="184"/>
      <c r="GDG1" s="184"/>
      <c r="GDH1" s="184"/>
      <c r="GDI1" s="184"/>
      <c r="GDJ1" s="184"/>
      <c r="GDK1" s="184"/>
      <c r="GDL1" s="184"/>
      <c r="GDM1" s="184"/>
      <c r="GDN1" s="184"/>
      <c r="GDO1" s="184"/>
      <c r="GDP1" s="184"/>
      <c r="GDQ1" s="184"/>
      <c r="GDR1" s="184"/>
      <c r="GDS1" s="184"/>
      <c r="GDT1" s="184"/>
      <c r="GDU1" s="184"/>
      <c r="GDV1" s="184"/>
      <c r="GDW1" s="184"/>
      <c r="GDX1" s="184"/>
      <c r="GDY1" s="184"/>
      <c r="GDZ1" s="184"/>
      <c r="GEA1" s="184"/>
      <c r="GEB1" s="184"/>
      <c r="GEC1" s="184"/>
      <c r="GED1" s="184"/>
      <c r="GEE1" s="184"/>
      <c r="GEF1" s="184"/>
      <c r="GEG1" s="184"/>
      <c r="GEH1" s="184"/>
      <c r="GEI1" s="184"/>
      <c r="GEJ1" s="184"/>
      <c r="GEK1" s="184"/>
      <c r="GEL1" s="184"/>
      <c r="GEM1" s="184"/>
      <c r="GEN1" s="184"/>
      <c r="GEO1" s="184"/>
      <c r="GEP1" s="184"/>
      <c r="GEQ1" s="184"/>
      <c r="GER1" s="184"/>
      <c r="GES1" s="184"/>
      <c r="GET1" s="184"/>
      <c r="GEU1" s="184"/>
      <c r="GEV1" s="184"/>
      <c r="GEW1" s="184"/>
      <c r="GEX1" s="184"/>
      <c r="GEY1" s="184"/>
      <c r="GEZ1" s="184"/>
      <c r="GFA1" s="184"/>
      <c r="GFB1" s="184"/>
      <c r="GFC1" s="184"/>
      <c r="GFD1" s="184"/>
      <c r="GFE1" s="184"/>
      <c r="GFF1" s="184"/>
      <c r="GFG1" s="184"/>
      <c r="GFH1" s="184"/>
      <c r="GFI1" s="184"/>
      <c r="GFJ1" s="184"/>
      <c r="GFK1" s="184"/>
      <c r="GFL1" s="184"/>
      <c r="GFM1" s="184"/>
      <c r="GFN1" s="184"/>
      <c r="GFO1" s="184"/>
      <c r="GFP1" s="184"/>
      <c r="GFQ1" s="184"/>
      <c r="GFR1" s="184"/>
      <c r="GFS1" s="184"/>
      <c r="GFT1" s="184"/>
      <c r="GFU1" s="184"/>
      <c r="GFV1" s="184"/>
      <c r="GFW1" s="184"/>
      <c r="GFX1" s="184"/>
      <c r="GFY1" s="184"/>
      <c r="GFZ1" s="184"/>
      <c r="GGA1" s="184"/>
      <c r="GGB1" s="184"/>
      <c r="GGC1" s="184"/>
      <c r="GGD1" s="184"/>
      <c r="GGE1" s="184"/>
      <c r="GGF1" s="184"/>
      <c r="GGG1" s="184"/>
      <c r="GGH1" s="184"/>
      <c r="GGI1" s="184"/>
      <c r="GGJ1" s="184"/>
      <c r="GGK1" s="184"/>
      <c r="GGL1" s="184"/>
      <c r="GGM1" s="184"/>
      <c r="GGN1" s="184"/>
      <c r="GGO1" s="184"/>
      <c r="GGP1" s="184"/>
      <c r="GGQ1" s="184"/>
      <c r="GGR1" s="184"/>
      <c r="GGS1" s="184"/>
      <c r="GGT1" s="184"/>
      <c r="GGU1" s="184"/>
      <c r="GGV1" s="184"/>
      <c r="GGW1" s="184"/>
      <c r="GGX1" s="184"/>
      <c r="GGY1" s="184"/>
      <c r="GGZ1" s="184"/>
      <c r="GHA1" s="184"/>
      <c r="GHB1" s="184"/>
      <c r="GHC1" s="184"/>
      <c r="GHD1" s="184"/>
      <c r="GHE1" s="184"/>
      <c r="GHF1" s="184"/>
      <c r="GHG1" s="184"/>
      <c r="GHH1" s="184"/>
      <c r="GHI1" s="184"/>
      <c r="GHJ1" s="184"/>
      <c r="GHK1" s="184"/>
      <c r="GHL1" s="184"/>
      <c r="GHM1" s="184"/>
      <c r="GHN1" s="184"/>
      <c r="GHO1" s="184"/>
      <c r="GHP1" s="184"/>
      <c r="GHQ1" s="184"/>
      <c r="GHR1" s="184"/>
      <c r="GHS1" s="184"/>
      <c r="GHT1" s="184"/>
      <c r="GHU1" s="184"/>
      <c r="GHV1" s="184"/>
      <c r="GHW1" s="184"/>
      <c r="GHX1" s="184"/>
      <c r="GHY1" s="184"/>
      <c r="GHZ1" s="184"/>
      <c r="GIA1" s="184"/>
      <c r="GIB1" s="184"/>
      <c r="GIC1" s="184"/>
      <c r="GID1" s="184"/>
      <c r="GIE1" s="184"/>
      <c r="GIF1" s="184"/>
      <c r="GIG1" s="184"/>
      <c r="GIH1" s="184"/>
      <c r="GII1" s="184"/>
      <c r="GIJ1" s="184"/>
      <c r="GIK1" s="184"/>
      <c r="GIL1" s="184"/>
      <c r="GIM1" s="184"/>
      <c r="GIN1" s="184"/>
      <c r="GIO1" s="184"/>
      <c r="GIP1" s="184"/>
      <c r="GIQ1" s="184"/>
      <c r="GIR1" s="184"/>
      <c r="GIS1" s="184"/>
      <c r="GIT1" s="184"/>
      <c r="GIU1" s="184"/>
      <c r="GIV1" s="184"/>
      <c r="GIW1" s="184"/>
      <c r="GIX1" s="184"/>
      <c r="GIY1" s="184"/>
      <c r="GIZ1" s="184"/>
      <c r="GJA1" s="184"/>
      <c r="GJB1" s="184"/>
      <c r="GJC1" s="184"/>
      <c r="GJD1" s="184"/>
      <c r="GJE1" s="184"/>
      <c r="GJF1" s="184"/>
      <c r="GJG1" s="184"/>
      <c r="GJH1" s="184"/>
      <c r="GJI1" s="184"/>
      <c r="GJJ1" s="184"/>
      <c r="GJK1" s="184"/>
      <c r="GJL1" s="184"/>
      <c r="GJM1" s="184"/>
      <c r="GJN1" s="184"/>
      <c r="GJO1" s="184"/>
      <c r="GJP1" s="184"/>
      <c r="GJQ1" s="184"/>
      <c r="GJR1" s="184"/>
      <c r="GJS1" s="184"/>
      <c r="GJT1" s="184"/>
      <c r="GJU1" s="184"/>
      <c r="GJV1" s="184"/>
      <c r="GJW1" s="184"/>
      <c r="GJX1" s="184"/>
      <c r="GJY1" s="184"/>
      <c r="GJZ1" s="184"/>
      <c r="GKA1" s="184"/>
      <c r="GKB1" s="184"/>
      <c r="GKC1" s="184"/>
      <c r="GKD1" s="184"/>
      <c r="GKE1" s="184"/>
      <c r="GKF1" s="184"/>
      <c r="GKG1" s="184"/>
      <c r="GKH1" s="184"/>
      <c r="GKI1" s="184"/>
      <c r="GKJ1" s="184"/>
      <c r="GKK1" s="184"/>
      <c r="GKL1" s="184"/>
      <c r="GKM1" s="184"/>
      <c r="GKN1" s="184"/>
      <c r="GKO1" s="184"/>
      <c r="GKP1" s="184"/>
      <c r="GKQ1" s="184"/>
      <c r="GKR1" s="184"/>
      <c r="GKS1" s="184"/>
      <c r="GKT1" s="184"/>
      <c r="GKU1" s="184"/>
      <c r="GKV1" s="184"/>
      <c r="GKW1" s="184"/>
      <c r="GKX1" s="184"/>
      <c r="GKY1" s="184"/>
      <c r="GKZ1" s="184"/>
      <c r="GLA1" s="184"/>
      <c r="GLB1" s="184"/>
      <c r="GLC1" s="184"/>
      <c r="GLD1" s="184"/>
      <c r="GLE1" s="184"/>
      <c r="GLF1" s="184"/>
      <c r="GLG1" s="184"/>
      <c r="GLH1" s="184"/>
      <c r="GLI1" s="184"/>
      <c r="GLJ1" s="184"/>
      <c r="GLK1" s="184"/>
      <c r="GLL1" s="184"/>
      <c r="GLM1" s="184"/>
      <c r="GLN1" s="184"/>
      <c r="GLO1" s="184"/>
      <c r="GLP1" s="184"/>
      <c r="GLQ1" s="184"/>
      <c r="GLR1" s="184"/>
      <c r="GLS1" s="184"/>
      <c r="GLT1" s="184"/>
      <c r="GLU1" s="184"/>
      <c r="GLV1" s="184"/>
      <c r="GLW1" s="184"/>
      <c r="GLX1" s="184"/>
      <c r="GLY1" s="184"/>
      <c r="GLZ1" s="184"/>
      <c r="GMA1" s="184"/>
      <c r="GMB1" s="184"/>
      <c r="GMC1" s="184"/>
      <c r="GMD1" s="184"/>
      <c r="GME1" s="184"/>
      <c r="GMF1" s="184"/>
      <c r="GMG1" s="184"/>
      <c r="GMH1" s="184"/>
      <c r="GMI1" s="184"/>
      <c r="GMJ1" s="184"/>
      <c r="GMK1" s="184"/>
      <c r="GML1" s="184"/>
      <c r="GMM1" s="184"/>
      <c r="GMN1" s="184"/>
      <c r="GMO1" s="184"/>
      <c r="GMP1" s="184"/>
      <c r="GMQ1" s="184"/>
      <c r="GMR1" s="184"/>
      <c r="GMS1" s="184"/>
      <c r="GMT1" s="184"/>
      <c r="GMU1" s="184"/>
      <c r="GMV1" s="184"/>
      <c r="GMW1" s="184"/>
      <c r="GMX1" s="184"/>
      <c r="GMY1" s="184"/>
      <c r="GMZ1" s="184"/>
      <c r="GNA1" s="184"/>
      <c r="GNB1" s="184"/>
      <c r="GNC1" s="184"/>
      <c r="GND1" s="184"/>
      <c r="GNE1" s="184"/>
      <c r="GNF1" s="184"/>
      <c r="GNG1" s="184"/>
      <c r="GNH1" s="184"/>
      <c r="GNI1" s="184"/>
      <c r="GNJ1" s="184"/>
      <c r="GNK1" s="184"/>
      <c r="GNL1" s="184"/>
      <c r="GNM1" s="184"/>
      <c r="GNN1" s="184"/>
      <c r="GNO1" s="184"/>
      <c r="GNP1" s="184"/>
      <c r="GNQ1" s="184"/>
      <c r="GNR1" s="184"/>
      <c r="GNS1" s="184"/>
      <c r="GNT1" s="184"/>
      <c r="GNU1" s="184"/>
      <c r="GNV1" s="184"/>
      <c r="GNW1" s="184"/>
      <c r="GNX1" s="184"/>
      <c r="GNY1" s="184"/>
      <c r="GNZ1" s="184"/>
      <c r="GOA1" s="184"/>
      <c r="GOB1" s="184"/>
      <c r="GOC1" s="184"/>
      <c r="GOD1" s="184"/>
      <c r="GOE1" s="184"/>
      <c r="GOF1" s="184"/>
      <c r="GOG1" s="184"/>
      <c r="GOH1" s="184"/>
      <c r="GOI1" s="184"/>
      <c r="GOJ1" s="184"/>
      <c r="GOK1" s="184"/>
      <c r="GOL1" s="184"/>
      <c r="GOM1" s="184"/>
      <c r="GON1" s="184"/>
      <c r="GOO1" s="184"/>
      <c r="GOP1" s="184"/>
      <c r="GOQ1" s="184"/>
      <c r="GOR1" s="184"/>
      <c r="GOS1" s="184"/>
      <c r="GOT1" s="184"/>
      <c r="GOU1" s="184"/>
      <c r="GOV1" s="184"/>
      <c r="GOW1" s="184"/>
      <c r="GOX1" s="184"/>
      <c r="GOY1" s="184"/>
      <c r="GOZ1" s="184"/>
      <c r="GPA1" s="184"/>
      <c r="GPB1" s="184"/>
      <c r="GPC1" s="184"/>
      <c r="GPD1" s="184"/>
      <c r="GPE1" s="184"/>
      <c r="GPF1" s="184"/>
      <c r="GPG1" s="184"/>
      <c r="GPH1" s="184"/>
      <c r="GPI1" s="184"/>
      <c r="GPJ1" s="184"/>
      <c r="GPK1" s="184"/>
      <c r="GPL1" s="184"/>
      <c r="GPM1" s="184"/>
      <c r="GPN1" s="184"/>
      <c r="GPO1" s="184"/>
      <c r="GPP1" s="184"/>
      <c r="GPQ1" s="184"/>
      <c r="GPR1" s="184"/>
      <c r="GPS1" s="184"/>
      <c r="GPT1" s="184"/>
      <c r="GPU1" s="184"/>
      <c r="GPV1" s="184"/>
      <c r="GPW1" s="184"/>
      <c r="GPX1" s="184"/>
      <c r="GPY1" s="184"/>
      <c r="GPZ1" s="184"/>
      <c r="GQA1" s="184"/>
      <c r="GQB1" s="184"/>
      <c r="GQC1" s="184"/>
      <c r="GQD1" s="184"/>
      <c r="GQE1" s="184"/>
      <c r="GQF1" s="184"/>
      <c r="GQG1" s="184"/>
      <c r="GQH1" s="184"/>
      <c r="GQI1" s="184"/>
      <c r="GQJ1" s="184"/>
      <c r="GQK1" s="184"/>
      <c r="GQL1" s="184"/>
      <c r="GQM1" s="184"/>
      <c r="GQN1" s="184"/>
      <c r="GQO1" s="184"/>
      <c r="GQP1" s="184"/>
      <c r="GQQ1" s="184"/>
      <c r="GQR1" s="184"/>
      <c r="GQS1" s="184"/>
      <c r="GQT1" s="184"/>
      <c r="GQU1" s="184"/>
      <c r="GQV1" s="184"/>
      <c r="GQW1" s="184"/>
      <c r="GQX1" s="184"/>
      <c r="GQY1" s="184"/>
      <c r="GQZ1" s="184"/>
      <c r="GRA1" s="184"/>
      <c r="GRB1" s="184"/>
      <c r="GRC1" s="184"/>
      <c r="GRD1" s="184"/>
      <c r="GRE1" s="184"/>
      <c r="GRF1" s="184"/>
      <c r="GRG1" s="184"/>
      <c r="GRH1" s="184"/>
      <c r="GRI1" s="184"/>
      <c r="GRJ1" s="184"/>
      <c r="GRK1" s="184"/>
      <c r="GRL1" s="184"/>
      <c r="GRM1" s="184"/>
      <c r="GRN1" s="184"/>
      <c r="GRO1" s="184"/>
      <c r="GRP1" s="184"/>
      <c r="GRQ1" s="184"/>
      <c r="GRR1" s="184"/>
      <c r="GRS1" s="184"/>
      <c r="GRT1" s="184"/>
      <c r="GRU1" s="184"/>
      <c r="GRV1" s="184"/>
      <c r="GRW1" s="184"/>
      <c r="GRX1" s="184"/>
      <c r="GRY1" s="184"/>
      <c r="GRZ1" s="184"/>
      <c r="GSA1" s="184"/>
      <c r="GSB1" s="184"/>
      <c r="GSC1" s="184"/>
      <c r="GSD1" s="184"/>
      <c r="GSE1" s="184"/>
      <c r="GSF1" s="184"/>
      <c r="GSG1" s="184"/>
      <c r="GSH1" s="184"/>
      <c r="GSI1" s="184"/>
      <c r="GSJ1" s="184"/>
      <c r="GSK1" s="184"/>
      <c r="GSL1" s="184"/>
      <c r="GSM1" s="184"/>
      <c r="GSN1" s="184"/>
      <c r="GSO1" s="184"/>
      <c r="GSP1" s="184"/>
      <c r="GSQ1" s="184"/>
      <c r="GSR1" s="184"/>
      <c r="GSS1" s="184"/>
      <c r="GST1" s="184"/>
      <c r="GSU1" s="184"/>
      <c r="GSV1" s="184"/>
      <c r="GSW1" s="184"/>
      <c r="GSX1" s="184"/>
      <c r="GSY1" s="184"/>
      <c r="GSZ1" s="184"/>
      <c r="GTA1" s="184"/>
      <c r="GTB1" s="184"/>
      <c r="GTC1" s="184"/>
      <c r="GTD1" s="184"/>
      <c r="GTE1" s="184"/>
      <c r="GTF1" s="184"/>
      <c r="GTG1" s="184"/>
      <c r="GTH1" s="184"/>
      <c r="GTI1" s="184"/>
      <c r="GTJ1" s="184"/>
      <c r="GTK1" s="184"/>
      <c r="GTL1" s="184"/>
      <c r="GTM1" s="184"/>
      <c r="GTN1" s="184"/>
      <c r="GTO1" s="184"/>
      <c r="GTP1" s="184"/>
      <c r="GTQ1" s="184"/>
      <c r="GTR1" s="184"/>
      <c r="GTS1" s="184"/>
      <c r="GTT1" s="184"/>
      <c r="GTU1" s="184"/>
      <c r="GTV1" s="184"/>
      <c r="GTW1" s="184"/>
      <c r="GTX1" s="184"/>
      <c r="GTY1" s="184"/>
      <c r="GTZ1" s="184"/>
      <c r="GUA1" s="184"/>
      <c r="GUB1" s="184"/>
      <c r="GUC1" s="184"/>
      <c r="GUD1" s="184"/>
      <c r="GUE1" s="184"/>
      <c r="GUF1" s="184"/>
      <c r="GUG1" s="184"/>
      <c r="GUH1" s="184"/>
      <c r="GUI1" s="184"/>
      <c r="GUJ1" s="184"/>
      <c r="GUK1" s="184"/>
      <c r="GUL1" s="184"/>
      <c r="GUM1" s="184"/>
      <c r="GUN1" s="184"/>
      <c r="GUO1" s="184"/>
      <c r="GUP1" s="184"/>
      <c r="GUQ1" s="184"/>
      <c r="GUR1" s="184"/>
      <c r="GUS1" s="184"/>
      <c r="GUT1" s="184"/>
      <c r="GUU1" s="184"/>
      <c r="GUV1" s="184"/>
      <c r="GUW1" s="184"/>
      <c r="GUX1" s="184"/>
      <c r="GUY1" s="184"/>
      <c r="GUZ1" s="184"/>
      <c r="GVA1" s="184"/>
      <c r="GVB1" s="184"/>
      <c r="GVC1" s="184"/>
      <c r="GVD1" s="184"/>
      <c r="GVE1" s="184"/>
      <c r="GVF1" s="184"/>
      <c r="GVG1" s="184"/>
      <c r="GVH1" s="184"/>
      <c r="GVI1" s="184"/>
      <c r="GVJ1" s="184"/>
      <c r="GVK1" s="184"/>
      <c r="GVL1" s="184"/>
      <c r="GVM1" s="184"/>
      <c r="GVN1" s="184"/>
      <c r="GVO1" s="184"/>
      <c r="GVP1" s="184"/>
      <c r="GVQ1" s="184"/>
      <c r="GVR1" s="184"/>
      <c r="GVS1" s="184"/>
      <c r="GVT1" s="184"/>
      <c r="GVU1" s="184"/>
      <c r="GVV1" s="184"/>
      <c r="GVW1" s="184"/>
      <c r="GVX1" s="184"/>
      <c r="GVY1" s="184"/>
      <c r="GVZ1" s="184"/>
      <c r="GWA1" s="184"/>
      <c r="GWB1" s="184"/>
      <c r="GWC1" s="184"/>
      <c r="GWD1" s="184"/>
      <c r="GWE1" s="184"/>
      <c r="GWF1" s="184"/>
      <c r="GWG1" s="184"/>
      <c r="GWH1" s="184"/>
      <c r="GWI1" s="184"/>
      <c r="GWJ1" s="184"/>
      <c r="GWK1" s="184"/>
      <c r="GWL1" s="184"/>
      <c r="GWM1" s="184"/>
      <c r="GWN1" s="184"/>
      <c r="GWO1" s="184"/>
      <c r="GWP1" s="184"/>
      <c r="GWQ1" s="184"/>
      <c r="GWR1" s="184"/>
      <c r="GWS1" s="184"/>
      <c r="GWT1" s="184"/>
      <c r="GWU1" s="184"/>
      <c r="GWV1" s="184"/>
      <c r="GWW1" s="184"/>
      <c r="GWX1" s="184"/>
      <c r="GWY1" s="184"/>
      <c r="GWZ1" s="184"/>
      <c r="GXA1" s="184"/>
      <c r="GXB1" s="184"/>
      <c r="GXC1" s="184"/>
      <c r="GXD1" s="184"/>
      <c r="GXE1" s="184"/>
      <c r="GXF1" s="184"/>
      <c r="GXG1" s="184"/>
      <c r="GXH1" s="184"/>
      <c r="GXI1" s="184"/>
      <c r="GXJ1" s="184"/>
      <c r="GXK1" s="184"/>
      <c r="GXL1" s="184"/>
      <c r="GXM1" s="184"/>
      <c r="GXN1" s="184"/>
      <c r="GXO1" s="184"/>
      <c r="GXP1" s="184"/>
      <c r="GXQ1" s="184"/>
      <c r="GXR1" s="184"/>
      <c r="GXS1" s="184"/>
      <c r="GXT1" s="184"/>
      <c r="GXU1" s="184"/>
      <c r="GXV1" s="184"/>
      <c r="GXW1" s="184"/>
      <c r="GXX1" s="184"/>
      <c r="GXY1" s="184"/>
      <c r="GXZ1" s="184"/>
      <c r="GYA1" s="184"/>
      <c r="GYB1" s="184"/>
      <c r="GYC1" s="184"/>
      <c r="GYD1" s="184"/>
      <c r="GYE1" s="184"/>
      <c r="GYF1" s="184"/>
      <c r="GYG1" s="184"/>
      <c r="GYH1" s="184"/>
      <c r="GYI1" s="184"/>
      <c r="GYJ1" s="184"/>
      <c r="GYK1" s="184"/>
      <c r="GYL1" s="184"/>
      <c r="GYM1" s="184"/>
      <c r="GYN1" s="184"/>
      <c r="GYO1" s="184"/>
      <c r="GYP1" s="184"/>
      <c r="GYQ1" s="184"/>
      <c r="GYR1" s="184"/>
      <c r="GYS1" s="184"/>
      <c r="GYT1" s="184"/>
      <c r="GYU1" s="184"/>
      <c r="GYV1" s="184"/>
      <c r="GYW1" s="184"/>
      <c r="GYX1" s="184"/>
      <c r="GYY1" s="184"/>
      <c r="GYZ1" s="184"/>
      <c r="GZA1" s="184"/>
      <c r="GZB1" s="184"/>
      <c r="GZC1" s="184"/>
      <c r="GZD1" s="184"/>
      <c r="GZE1" s="184"/>
      <c r="GZF1" s="184"/>
      <c r="GZG1" s="184"/>
      <c r="GZH1" s="184"/>
      <c r="GZI1" s="184"/>
      <c r="GZJ1" s="184"/>
      <c r="GZK1" s="184"/>
      <c r="GZL1" s="184"/>
      <c r="GZM1" s="184"/>
      <c r="GZN1" s="184"/>
      <c r="GZO1" s="184"/>
      <c r="GZP1" s="184"/>
      <c r="GZQ1" s="184"/>
      <c r="GZR1" s="184"/>
      <c r="GZS1" s="184"/>
      <c r="GZT1" s="184"/>
      <c r="GZU1" s="184"/>
      <c r="GZV1" s="184"/>
      <c r="GZW1" s="184"/>
      <c r="GZX1" s="184"/>
      <c r="GZY1" s="184"/>
      <c r="GZZ1" s="184"/>
      <c r="HAA1" s="184"/>
      <c r="HAB1" s="184"/>
      <c r="HAC1" s="184"/>
      <c r="HAD1" s="184"/>
      <c r="HAE1" s="184"/>
      <c r="HAF1" s="184"/>
      <c r="HAG1" s="184"/>
      <c r="HAH1" s="184"/>
      <c r="HAI1" s="184"/>
      <c r="HAJ1" s="184"/>
      <c r="HAK1" s="184"/>
      <c r="HAL1" s="184"/>
      <c r="HAM1" s="184"/>
      <c r="HAN1" s="184"/>
      <c r="HAO1" s="184"/>
      <c r="HAP1" s="184"/>
      <c r="HAQ1" s="184"/>
      <c r="HAR1" s="184"/>
      <c r="HAS1" s="184"/>
      <c r="HAT1" s="184"/>
      <c r="HAU1" s="184"/>
      <c r="HAV1" s="184"/>
      <c r="HAW1" s="184"/>
      <c r="HAX1" s="184"/>
      <c r="HAY1" s="184"/>
      <c r="HAZ1" s="184"/>
      <c r="HBA1" s="184"/>
      <c r="HBB1" s="184"/>
      <c r="HBC1" s="184"/>
      <c r="HBD1" s="184"/>
      <c r="HBE1" s="184"/>
      <c r="HBF1" s="184"/>
      <c r="HBG1" s="184"/>
      <c r="HBH1" s="184"/>
      <c r="HBI1" s="184"/>
      <c r="HBJ1" s="184"/>
      <c r="HBK1" s="184"/>
      <c r="HBL1" s="184"/>
      <c r="HBM1" s="184"/>
      <c r="HBN1" s="184"/>
      <c r="HBO1" s="184"/>
      <c r="HBP1" s="184"/>
      <c r="HBQ1" s="184"/>
      <c r="HBR1" s="184"/>
      <c r="HBS1" s="184"/>
      <c r="HBT1" s="184"/>
      <c r="HBU1" s="184"/>
      <c r="HBV1" s="184"/>
      <c r="HBW1" s="184"/>
      <c r="HBX1" s="184"/>
      <c r="HBY1" s="184"/>
      <c r="HBZ1" s="184"/>
      <c r="HCA1" s="184"/>
      <c r="HCB1" s="184"/>
      <c r="HCC1" s="184"/>
      <c r="HCD1" s="184"/>
      <c r="HCE1" s="184"/>
      <c r="HCF1" s="184"/>
      <c r="HCG1" s="184"/>
      <c r="HCH1" s="184"/>
      <c r="HCI1" s="184"/>
      <c r="HCJ1" s="184"/>
      <c r="HCK1" s="184"/>
      <c r="HCL1" s="184"/>
      <c r="HCM1" s="184"/>
      <c r="HCN1" s="184"/>
      <c r="HCO1" s="184"/>
      <c r="HCP1" s="184"/>
      <c r="HCQ1" s="184"/>
      <c r="HCR1" s="184"/>
      <c r="HCS1" s="184"/>
      <c r="HCT1" s="184"/>
      <c r="HCU1" s="184"/>
      <c r="HCV1" s="184"/>
      <c r="HCW1" s="184"/>
      <c r="HCX1" s="184"/>
      <c r="HCY1" s="184"/>
      <c r="HCZ1" s="184"/>
      <c r="HDA1" s="184"/>
      <c r="HDB1" s="184"/>
      <c r="HDC1" s="184"/>
      <c r="HDD1" s="184"/>
      <c r="HDE1" s="184"/>
      <c r="HDF1" s="184"/>
      <c r="HDG1" s="184"/>
      <c r="HDH1" s="184"/>
      <c r="HDI1" s="184"/>
      <c r="HDJ1" s="184"/>
      <c r="HDK1" s="184"/>
      <c r="HDL1" s="184"/>
      <c r="HDM1" s="184"/>
      <c r="HDN1" s="184"/>
      <c r="HDO1" s="184"/>
      <c r="HDP1" s="184"/>
      <c r="HDQ1" s="184"/>
      <c r="HDR1" s="184"/>
      <c r="HDS1" s="184"/>
      <c r="HDT1" s="184"/>
      <c r="HDU1" s="184"/>
      <c r="HDV1" s="184"/>
      <c r="HDW1" s="184"/>
      <c r="HDX1" s="184"/>
      <c r="HDY1" s="184"/>
      <c r="HDZ1" s="184"/>
      <c r="HEA1" s="184"/>
      <c r="HEB1" s="184"/>
      <c r="HEC1" s="184"/>
      <c r="HED1" s="184"/>
      <c r="HEE1" s="184"/>
      <c r="HEF1" s="184"/>
      <c r="HEG1" s="184"/>
      <c r="HEH1" s="184"/>
      <c r="HEI1" s="184"/>
      <c r="HEJ1" s="184"/>
      <c r="HEK1" s="184"/>
      <c r="HEL1" s="184"/>
      <c r="HEM1" s="184"/>
      <c r="HEN1" s="184"/>
      <c r="HEO1" s="184"/>
      <c r="HEP1" s="184"/>
      <c r="HEQ1" s="184"/>
      <c r="HER1" s="184"/>
      <c r="HES1" s="184"/>
      <c r="HET1" s="184"/>
      <c r="HEU1" s="184"/>
      <c r="HEV1" s="184"/>
      <c r="HEW1" s="184"/>
      <c r="HEX1" s="184"/>
      <c r="HEY1" s="184"/>
      <c r="HEZ1" s="184"/>
      <c r="HFA1" s="184"/>
      <c r="HFB1" s="184"/>
      <c r="HFC1" s="184"/>
      <c r="HFD1" s="184"/>
      <c r="HFE1" s="184"/>
      <c r="HFF1" s="184"/>
      <c r="HFG1" s="184"/>
      <c r="HFH1" s="184"/>
      <c r="HFI1" s="184"/>
      <c r="HFJ1" s="184"/>
      <c r="HFK1" s="184"/>
      <c r="HFL1" s="184"/>
      <c r="HFM1" s="184"/>
      <c r="HFN1" s="184"/>
      <c r="HFO1" s="184"/>
      <c r="HFP1" s="184"/>
      <c r="HFQ1" s="184"/>
      <c r="HFR1" s="184"/>
      <c r="HFS1" s="184"/>
      <c r="HFT1" s="184"/>
      <c r="HFU1" s="184"/>
      <c r="HFV1" s="184"/>
      <c r="HFW1" s="184"/>
      <c r="HFX1" s="184"/>
      <c r="HFY1" s="184"/>
      <c r="HFZ1" s="184"/>
      <c r="HGA1" s="184"/>
      <c r="HGB1" s="184"/>
      <c r="HGC1" s="184"/>
      <c r="HGD1" s="184"/>
      <c r="HGE1" s="184"/>
      <c r="HGF1" s="184"/>
      <c r="HGG1" s="184"/>
      <c r="HGH1" s="184"/>
      <c r="HGI1" s="184"/>
      <c r="HGJ1" s="184"/>
      <c r="HGK1" s="184"/>
      <c r="HGL1" s="184"/>
      <c r="HGM1" s="184"/>
      <c r="HGN1" s="184"/>
      <c r="HGO1" s="184"/>
      <c r="HGP1" s="184"/>
      <c r="HGQ1" s="184"/>
      <c r="HGR1" s="184"/>
      <c r="HGS1" s="184"/>
      <c r="HGT1" s="184"/>
      <c r="HGU1" s="184"/>
      <c r="HGV1" s="184"/>
      <c r="HGW1" s="184"/>
      <c r="HGX1" s="184"/>
      <c r="HGY1" s="184"/>
      <c r="HGZ1" s="184"/>
      <c r="HHA1" s="184"/>
      <c r="HHB1" s="184"/>
      <c r="HHC1" s="184"/>
      <c r="HHD1" s="184"/>
      <c r="HHE1" s="184"/>
      <c r="HHF1" s="184"/>
      <c r="HHG1" s="184"/>
      <c r="HHH1" s="184"/>
      <c r="HHI1" s="184"/>
      <c r="HHJ1" s="184"/>
      <c r="HHK1" s="184"/>
      <c r="HHL1" s="184"/>
      <c r="HHM1" s="184"/>
      <c r="HHN1" s="184"/>
      <c r="HHO1" s="184"/>
      <c r="HHP1" s="184"/>
      <c r="HHQ1" s="184"/>
      <c r="HHR1" s="184"/>
      <c r="HHS1" s="184"/>
      <c r="HHT1" s="184"/>
      <c r="HHU1" s="184"/>
      <c r="HHV1" s="184"/>
      <c r="HHW1" s="184"/>
      <c r="HHX1" s="184"/>
      <c r="HHY1" s="184"/>
      <c r="HHZ1" s="184"/>
      <c r="HIA1" s="184"/>
      <c r="HIB1" s="184"/>
      <c r="HIC1" s="184"/>
      <c r="HID1" s="184"/>
      <c r="HIE1" s="184"/>
      <c r="HIF1" s="184"/>
      <c r="HIG1" s="184"/>
      <c r="HIH1" s="184"/>
      <c r="HII1" s="184"/>
      <c r="HIJ1" s="184"/>
      <c r="HIK1" s="184"/>
      <c r="HIL1" s="184"/>
      <c r="HIM1" s="184"/>
      <c r="HIN1" s="184"/>
      <c r="HIO1" s="184"/>
      <c r="HIP1" s="184"/>
      <c r="HIQ1" s="184"/>
      <c r="HIR1" s="184"/>
      <c r="HIS1" s="184"/>
      <c r="HIT1" s="184"/>
      <c r="HIU1" s="184"/>
      <c r="HIV1" s="184"/>
      <c r="HIW1" s="184"/>
      <c r="HIX1" s="184"/>
      <c r="HIY1" s="184"/>
      <c r="HIZ1" s="184"/>
      <c r="HJA1" s="184"/>
      <c r="HJB1" s="184"/>
      <c r="HJC1" s="184"/>
      <c r="HJD1" s="184"/>
      <c r="HJE1" s="184"/>
      <c r="HJF1" s="184"/>
      <c r="HJG1" s="184"/>
      <c r="HJH1" s="184"/>
      <c r="HJI1" s="184"/>
      <c r="HJJ1" s="184"/>
      <c r="HJK1" s="184"/>
      <c r="HJL1" s="184"/>
      <c r="HJM1" s="184"/>
      <c r="HJN1" s="184"/>
      <c r="HJO1" s="184"/>
      <c r="HJP1" s="184"/>
      <c r="HJQ1" s="184"/>
      <c r="HJR1" s="184"/>
      <c r="HJS1" s="184"/>
      <c r="HJT1" s="184"/>
      <c r="HJU1" s="184"/>
      <c r="HJV1" s="184"/>
      <c r="HJW1" s="184"/>
      <c r="HJX1" s="184"/>
      <c r="HJY1" s="184"/>
      <c r="HJZ1" s="184"/>
      <c r="HKA1" s="184"/>
      <c r="HKB1" s="184"/>
      <c r="HKC1" s="184"/>
      <c r="HKD1" s="184"/>
      <c r="HKE1" s="184"/>
      <c r="HKF1" s="184"/>
      <c r="HKG1" s="184"/>
      <c r="HKH1" s="184"/>
      <c r="HKI1" s="184"/>
      <c r="HKJ1" s="184"/>
      <c r="HKK1" s="184"/>
      <c r="HKL1" s="184"/>
      <c r="HKM1" s="184"/>
      <c r="HKN1" s="184"/>
      <c r="HKO1" s="184"/>
      <c r="HKP1" s="184"/>
      <c r="HKQ1" s="184"/>
      <c r="HKR1" s="184"/>
      <c r="HKS1" s="184"/>
      <c r="HKT1" s="184"/>
      <c r="HKU1" s="184"/>
      <c r="HKV1" s="184"/>
      <c r="HKW1" s="184"/>
      <c r="HKX1" s="184"/>
      <c r="HKY1" s="184"/>
      <c r="HKZ1" s="184"/>
      <c r="HLA1" s="184"/>
      <c r="HLB1" s="184"/>
      <c r="HLC1" s="184"/>
      <c r="HLD1" s="184"/>
      <c r="HLE1" s="184"/>
      <c r="HLF1" s="184"/>
      <c r="HLG1" s="184"/>
      <c r="HLH1" s="184"/>
      <c r="HLI1" s="184"/>
      <c r="HLJ1" s="184"/>
      <c r="HLK1" s="184"/>
      <c r="HLL1" s="184"/>
      <c r="HLM1" s="184"/>
      <c r="HLN1" s="184"/>
      <c r="HLO1" s="184"/>
      <c r="HLP1" s="184"/>
      <c r="HLQ1" s="184"/>
      <c r="HLR1" s="184"/>
      <c r="HLS1" s="184"/>
      <c r="HLT1" s="184"/>
      <c r="HLU1" s="184"/>
      <c r="HLV1" s="184"/>
      <c r="HLW1" s="184"/>
      <c r="HLX1" s="184"/>
      <c r="HLY1" s="184"/>
      <c r="HLZ1" s="184"/>
      <c r="HMA1" s="184"/>
      <c r="HMB1" s="184"/>
      <c r="HMC1" s="184"/>
      <c r="HMD1" s="184"/>
      <c r="HME1" s="184"/>
      <c r="HMF1" s="184"/>
      <c r="HMG1" s="184"/>
      <c r="HMH1" s="184"/>
      <c r="HMI1" s="184"/>
      <c r="HMJ1" s="184"/>
      <c r="HMK1" s="184"/>
      <c r="HML1" s="184"/>
      <c r="HMM1" s="184"/>
      <c r="HMN1" s="184"/>
      <c r="HMO1" s="184"/>
      <c r="HMP1" s="184"/>
      <c r="HMQ1" s="184"/>
      <c r="HMR1" s="184"/>
      <c r="HMS1" s="184"/>
      <c r="HMT1" s="184"/>
      <c r="HMU1" s="184"/>
      <c r="HMV1" s="184"/>
      <c r="HMW1" s="184"/>
      <c r="HMX1" s="184"/>
      <c r="HMY1" s="184"/>
      <c r="HMZ1" s="184"/>
      <c r="HNA1" s="184"/>
      <c r="HNB1" s="184"/>
      <c r="HNC1" s="184"/>
      <c r="HND1" s="184"/>
      <c r="HNE1" s="184"/>
      <c r="HNF1" s="184"/>
      <c r="HNG1" s="184"/>
      <c r="HNH1" s="184"/>
      <c r="HNI1" s="184"/>
      <c r="HNJ1" s="184"/>
      <c r="HNK1" s="184"/>
      <c r="HNL1" s="184"/>
      <c r="HNM1" s="184"/>
      <c r="HNN1" s="184"/>
      <c r="HNO1" s="184"/>
      <c r="HNP1" s="184"/>
      <c r="HNQ1" s="184"/>
      <c r="HNR1" s="184"/>
      <c r="HNS1" s="184"/>
      <c r="HNT1" s="184"/>
      <c r="HNU1" s="184"/>
      <c r="HNV1" s="184"/>
      <c r="HNW1" s="184"/>
      <c r="HNX1" s="184"/>
      <c r="HNY1" s="184"/>
      <c r="HNZ1" s="184"/>
      <c r="HOA1" s="184"/>
      <c r="HOB1" s="184"/>
      <c r="HOC1" s="184"/>
      <c r="HOD1" s="184"/>
      <c r="HOE1" s="184"/>
      <c r="HOF1" s="184"/>
      <c r="HOG1" s="184"/>
      <c r="HOH1" s="184"/>
      <c r="HOI1" s="184"/>
      <c r="HOJ1" s="184"/>
      <c r="HOK1" s="184"/>
      <c r="HOL1" s="184"/>
      <c r="HOM1" s="184"/>
      <c r="HON1" s="184"/>
      <c r="HOO1" s="184"/>
      <c r="HOP1" s="184"/>
      <c r="HOQ1" s="184"/>
      <c r="HOR1" s="184"/>
      <c r="HOS1" s="184"/>
      <c r="HOT1" s="184"/>
      <c r="HOU1" s="184"/>
      <c r="HOV1" s="184"/>
      <c r="HOW1" s="184"/>
      <c r="HOX1" s="184"/>
      <c r="HOY1" s="184"/>
      <c r="HOZ1" s="184"/>
      <c r="HPA1" s="184"/>
      <c r="HPB1" s="184"/>
      <c r="HPC1" s="184"/>
      <c r="HPD1" s="184"/>
      <c r="HPE1" s="184"/>
      <c r="HPF1" s="184"/>
      <c r="HPG1" s="184"/>
      <c r="HPH1" s="184"/>
      <c r="HPI1" s="184"/>
      <c r="HPJ1" s="184"/>
      <c r="HPK1" s="184"/>
      <c r="HPL1" s="184"/>
      <c r="HPM1" s="184"/>
      <c r="HPN1" s="184"/>
      <c r="HPO1" s="184"/>
      <c r="HPP1" s="184"/>
      <c r="HPQ1" s="184"/>
      <c r="HPR1" s="184"/>
      <c r="HPS1" s="184"/>
      <c r="HPT1" s="184"/>
      <c r="HPU1" s="184"/>
      <c r="HPV1" s="184"/>
      <c r="HPW1" s="184"/>
      <c r="HPX1" s="184"/>
      <c r="HPY1" s="184"/>
      <c r="HPZ1" s="184"/>
      <c r="HQA1" s="184"/>
      <c r="HQB1" s="184"/>
      <c r="HQC1" s="184"/>
      <c r="HQD1" s="184"/>
      <c r="HQE1" s="184"/>
      <c r="HQF1" s="184"/>
      <c r="HQG1" s="184"/>
      <c r="HQH1" s="184"/>
      <c r="HQI1" s="184"/>
      <c r="HQJ1" s="184"/>
      <c r="HQK1" s="184"/>
      <c r="HQL1" s="184"/>
      <c r="HQM1" s="184"/>
      <c r="HQN1" s="184"/>
      <c r="HQO1" s="184"/>
      <c r="HQP1" s="184"/>
      <c r="HQQ1" s="184"/>
      <c r="HQR1" s="184"/>
      <c r="HQS1" s="184"/>
      <c r="HQT1" s="184"/>
      <c r="HQU1" s="184"/>
      <c r="HQV1" s="184"/>
      <c r="HQW1" s="184"/>
      <c r="HQX1" s="184"/>
      <c r="HQY1" s="184"/>
      <c r="HQZ1" s="184"/>
      <c r="HRA1" s="184"/>
      <c r="HRB1" s="184"/>
      <c r="HRC1" s="184"/>
      <c r="HRD1" s="184"/>
      <c r="HRE1" s="184"/>
      <c r="HRF1" s="184"/>
      <c r="HRG1" s="184"/>
      <c r="HRH1" s="184"/>
      <c r="HRI1" s="184"/>
      <c r="HRJ1" s="184"/>
      <c r="HRK1" s="184"/>
      <c r="HRL1" s="184"/>
      <c r="HRM1" s="184"/>
      <c r="HRN1" s="184"/>
      <c r="HRO1" s="184"/>
      <c r="HRP1" s="184"/>
      <c r="HRQ1" s="184"/>
      <c r="HRR1" s="184"/>
      <c r="HRS1" s="184"/>
      <c r="HRT1" s="184"/>
      <c r="HRU1" s="184"/>
      <c r="HRV1" s="184"/>
      <c r="HRW1" s="184"/>
      <c r="HRX1" s="184"/>
      <c r="HRY1" s="184"/>
      <c r="HRZ1" s="184"/>
      <c r="HSA1" s="184"/>
      <c r="HSB1" s="184"/>
      <c r="HSC1" s="184"/>
      <c r="HSD1" s="184"/>
      <c r="HSE1" s="184"/>
      <c r="HSF1" s="184"/>
      <c r="HSG1" s="184"/>
      <c r="HSH1" s="184"/>
      <c r="HSI1" s="184"/>
      <c r="HSJ1" s="184"/>
      <c r="HSK1" s="184"/>
      <c r="HSL1" s="184"/>
      <c r="HSM1" s="184"/>
      <c r="HSN1" s="184"/>
      <c r="HSO1" s="184"/>
      <c r="HSP1" s="184"/>
      <c r="HSQ1" s="184"/>
      <c r="HSR1" s="184"/>
      <c r="HSS1" s="184"/>
      <c r="HST1" s="184"/>
      <c r="HSU1" s="184"/>
      <c r="HSV1" s="184"/>
      <c r="HSW1" s="184"/>
      <c r="HSX1" s="184"/>
      <c r="HSY1" s="184"/>
      <c r="HSZ1" s="184"/>
      <c r="HTA1" s="184"/>
      <c r="HTB1" s="184"/>
      <c r="HTC1" s="184"/>
      <c r="HTD1" s="184"/>
      <c r="HTE1" s="184"/>
      <c r="HTF1" s="184"/>
      <c r="HTG1" s="184"/>
      <c r="HTH1" s="184"/>
      <c r="HTI1" s="184"/>
      <c r="HTJ1" s="184"/>
      <c r="HTK1" s="184"/>
      <c r="HTL1" s="184"/>
      <c r="HTM1" s="184"/>
      <c r="HTN1" s="184"/>
      <c r="HTO1" s="184"/>
      <c r="HTP1" s="184"/>
      <c r="HTQ1" s="184"/>
      <c r="HTR1" s="184"/>
      <c r="HTS1" s="184"/>
      <c r="HTT1" s="184"/>
      <c r="HTU1" s="184"/>
      <c r="HTV1" s="184"/>
      <c r="HTW1" s="184"/>
      <c r="HTX1" s="184"/>
      <c r="HTY1" s="184"/>
      <c r="HTZ1" s="184"/>
      <c r="HUA1" s="184"/>
      <c r="HUB1" s="184"/>
      <c r="HUC1" s="184"/>
      <c r="HUD1" s="184"/>
      <c r="HUE1" s="184"/>
      <c r="HUF1" s="184"/>
      <c r="HUG1" s="184"/>
      <c r="HUH1" s="184"/>
      <c r="HUI1" s="184"/>
      <c r="HUJ1" s="184"/>
      <c r="HUK1" s="184"/>
      <c r="HUL1" s="184"/>
      <c r="HUM1" s="184"/>
      <c r="HUN1" s="184"/>
      <c r="HUO1" s="184"/>
      <c r="HUP1" s="184"/>
      <c r="HUQ1" s="184"/>
      <c r="HUR1" s="184"/>
      <c r="HUS1" s="184"/>
      <c r="HUT1" s="184"/>
      <c r="HUU1" s="184"/>
      <c r="HUV1" s="184"/>
      <c r="HUW1" s="184"/>
      <c r="HUX1" s="184"/>
      <c r="HUY1" s="184"/>
      <c r="HUZ1" s="184"/>
      <c r="HVA1" s="184"/>
      <c r="HVB1" s="184"/>
      <c r="HVC1" s="184"/>
      <c r="HVD1" s="184"/>
      <c r="HVE1" s="184"/>
      <c r="HVF1" s="184"/>
      <c r="HVG1" s="184"/>
      <c r="HVH1" s="184"/>
      <c r="HVI1" s="184"/>
      <c r="HVJ1" s="184"/>
      <c r="HVK1" s="184"/>
      <c r="HVL1" s="184"/>
      <c r="HVM1" s="184"/>
      <c r="HVN1" s="184"/>
      <c r="HVO1" s="184"/>
      <c r="HVP1" s="184"/>
      <c r="HVQ1" s="184"/>
      <c r="HVR1" s="184"/>
      <c r="HVS1" s="184"/>
      <c r="HVT1" s="184"/>
      <c r="HVU1" s="184"/>
      <c r="HVV1" s="184"/>
      <c r="HVW1" s="184"/>
      <c r="HVX1" s="184"/>
      <c r="HVY1" s="184"/>
      <c r="HVZ1" s="184"/>
      <c r="HWA1" s="184"/>
      <c r="HWB1" s="184"/>
      <c r="HWC1" s="184"/>
      <c r="HWD1" s="184"/>
      <c r="HWE1" s="184"/>
      <c r="HWF1" s="184"/>
      <c r="HWG1" s="184"/>
      <c r="HWH1" s="184"/>
      <c r="HWI1" s="184"/>
      <c r="HWJ1" s="184"/>
      <c r="HWK1" s="184"/>
      <c r="HWL1" s="184"/>
      <c r="HWM1" s="184"/>
      <c r="HWN1" s="184"/>
      <c r="HWO1" s="184"/>
      <c r="HWP1" s="184"/>
      <c r="HWQ1" s="184"/>
      <c r="HWR1" s="184"/>
      <c r="HWS1" s="184"/>
      <c r="HWT1" s="184"/>
      <c r="HWU1" s="184"/>
      <c r="HWV1" s="184"/>
      <c r="HWW1" s="184"/>
      <c r="HWX1" s="184"/>
      <c r="HWY1" s="184"/>
      <c r="HWZ1" s="184"/>
      <c r="HXA1" s="184"/>
      <c r="HXB1" s="184"/>
      <c r="HXC1" s="184"/>
      <c r="HXD1" s="184"/>
      <c r="HXE1" s="184"/>
      <c r="HXF1" s="184"/>
      <c r="HXG1" s="184"/>
      <c r="HXH1" s="184"/>
      <c r="HXI1" s="184"/>
      <c r="HXJ1" s="184"/>
      <c r="HXK1" s="184"/>
      <c r="HXL1" s="184"/>
      <c r="HXM1" s="184"/>
      <c r="HXN1" s="184"/>
      <c r="HXO1" s="184"/>
      <c r="HXP1" s="184"/>
      <c r="HXQ1" s="184"/>
      <c r="HXR1" s="184"/>
      <c r="HXS1" s="184"/>
      <c r="HXT1" s="184"/>
      <c r="HXU1" s="184"/>
      <c r="HXV1" s="184"/>
      <c r="HXW1" s="184"/>
      <c r="HXX1" s="184"/>
      <c r="HXY1" s="184"/>
      <c r="HXZ1" s="184"/>
      <c r="HYA1" s="184"/>
      <c r="HYB1" s="184"/>
      <c r="HYC1" s="184"/>
      <c r="HYD1" s="184"/>
      <c r="HYE1" s="184"/>
      <c r="HYF1" s="184"/>
      <c r="HYG1" s="184"/>
      <c r="HYH1" s="184"/>
      <c r="HYI1" s="184"/>
      <c r="HYJ1" s="184"/>
      <c r="HYK1" s="184"/>
      <c r="HYL1" s="184"/>
      <c r="HYM1" s="184"/>
      <c r="HYN1" s="184"/>
      <c r="HYO1" s="184"/>
      <c r="HYP1" s="184"/>
      <c r="HYQ1" s="184"/>
      <c r="HYR1" s="184"/>
      <c r="HYS1" s="184"/>
      <c r="HYT1" s="184"/>
      <c r="HYU1" s="184"/>
      <c r="HYV1" s="184"/>
      <c r="HYW1" s="184"/>
      <c r="HYX1" s="184"/>
      <c r="HYY1" s="184"/>
      <c r="HYZ1" s="184"/>
      <c r="HZA1" s="184"/>
      <c r="HZB1" s="184"/>
      <c r="HZC1" s="184"/>
      <c r="HZD1" s="184"/>
      <c r="HZE1" s="184"/>
      <c r="HZF1" s="184"/>
      <c r="HZG1" s="184"/>
      <c r="HZH1" s="184"/>
      <c r="HZI1" s="184"/>
      <c r="HZJ1" s="184"/>
      <c r="HZK1" s="184"/>
      <c r="HZL1" s="184"/>
      <c r="HZM1" s="184"/>
      <c r="HZN1" s="184"/>
      <c r="HZO1" s="184"/>
      <c r="HZP1" s="184"/>
      <c r="HZQ1" s="184"/>
      <c r="HZR1" s="184"/>
      <c r="HZS1" s="184"/>
      <c r="HZT1" s="184"/>
      <c r="HZU1" s="184"/>
      <c r="HZV1" s="184"/>
      <c r="HZW1" s="184"/>
      <c r="HZX1" s="184"/>
      <c r="HZY1" s="184"/>
      <c r="HZZ1" s="184"/>
      <c r="IAA1" s="184"/>
      <c r="IAB1" s="184"/>
      <c r="IAC1" s="184"/>
      <c r="IAD1" s="184"/>
      <c r="IAE1" s="184"/>
      <c r="IAF1" s="184"/>
      <c r="IAG1" s="184"/>
      <c r="IAH1" s="184"/>
      <c r="IAI1" s="184"/>
      <c r="IAJ1" s="184"/>
      <c r="IAK1" s="184"/>
      <c r="IAL1" s="184"/>
      <c r="IAM1" s="184"/>
      <c r="IAN1" s="184"/>
      <c r="IAO1" s="184"/>
      <c r="IAP1" s="184"/>
      <c r="IAQ1" s="184"/>
      <c r="IAR1" s="184"/>
      <c r="IAS1" s="184"/>
      <c r="IAT1" s="184"/>
      <c r="IAU1" s="184"/>
      <c r="IAV1" s="184"/>
      <c r="IAW1" s="184"/>
      <c r="IAX1" s="184"/>
      <c r="IAY1" s="184"/>
      <c r="IAZ1" s="184"/>
      <c r="IBA1" s="184"/>
      <c r="IBB1" s="184"/>
      <c r="IBC1" s="184"/>
      <c r="IBD1" s="184"/>
      <c r="IBE1" s="184"/>
      <c r="IBF1" s="184"/>
      <c r="IBG1" s="184"/>
      <c r="IBH1" s="184"/>
      <c r="IBI1" s="184"/>
      <c r="IBJ1" s="184"/>
      <c r="IBK1" s="184"/>
      <c r="IBL1" s="184"/>
      <c r="IBM1" s="184"/>
      <c r="IBN1" s="184"/>
      <c r="IBO1" s="184"/>
      <c r="IBP1" s="184"/>
      <c r="IBQ1" s="184"/>
      <c r="IBR1" s="184"/>
      <c r="IBS1" s="184"/>
      <c r="IBT1" s="184"/>
      <c r="IBU1" s="184"/>
      <c r="IBV1" s="184"/>
      <c r="IBW1" s="184"/>
      <c r="IBX1" s="184"/>
      <c r="IBY1" s="184"/>
      <c r="IBZ1" s="184"/>
      <c r="ICA1" s="184"/>
      <c r="ICB1" s="184"/>
      <c r="ICC1" s="184"/>
      <c r="ICD1" s="184"/>
      <c r="ICE1" s="184"/>
      <c r="ICF1" s="184"/>
      <c r="ICG1" s="184"/>
      <c r="ICH1" s="184"/>
      <c r="ICI1" s="184"/>
      <c r="ICJ1" s="184"/>
      <c r="ICK1" s="184"/>
      <c r="ICL1" s="184"/>
      <c r="ICM1" s="184"/>
      <c r="ICN1" s="184"/>
      <c r="ICO1" s="184"/>
      <c r="ICP1" s="184"/>
      <c r="ICQ1" s="184"/>
      <c r="ICR1" s="184"/>
      <c r="ICS1" s="184"/>
      <c r="ICT1" s="184"/>
      <c r="ICU1" s="184"/>
      <c r="ICV1" s="184"/>
      <c r="ICW1" s="184"/>
      <c r="ICX1" s="184"/>
      <c r="ICY1" s="184"/>
      <c r="ICZ1" s="184"/>
      <c r="IDA1" s="184"/>
      <c r="IDB1" s="184"/>
      <c r="IDC1" s="184"/>
      <c r="IDD1" s="184"/>
      <c r="IDE1" s="184"/>
      <c r="IDF1" s="184"/>
      <c r="IDG1" s="184"/>
      <c r="IDH1" s="184"/>
      <c r="IDI1" s="184"/>
      <c r="IDJ1" s="184"/>
      <c r="IDK1" s="184"/>
      <c r="IDL1" s="184"/>
      <c r="IDM1" s="184"/>
      <c r="IDN1" s="184"/>
      <c r="IDO1" s="184"/>
      <c r="IDP1" s="184"/>
      <c r="IDQ1" s="184"/>
      <c r="IDR1" s="184"/>
      <c r="IDS1" s="184"/>
      <c r="IDT1" s="184"/>
      <c r="IDU1" s="184"/>
      <c r="IDV1" s="184"/>
      <c r="IDW1" s="184"/>
      <c r="IDX1" s="184"/>
      <c r="IDY1" s="184"/>
      <c r="IDZ1" s="184"/>
      <c r="IEA1" s="184"/>
      <c r="IEB1" s="184"/>
      <c r="IEC1" s="184"/>
      <c r="IED1" s="184"/>
      <c r="IEE1" s="184"/>
      <c r="IEF1" s="184"/>
      <c r="IEG1" s="184"/>
      <c r="IEH1" s="184"/>
      <c r="IEI1" s="184"/>
      <c r="IEJ1" s="184"/>
      <c r="IEK1" s="184"/>
      <c r="IEL1" s="184"/>
      <c r="IEM1" s="184"/>
      <c r="IEN1" s="184"/>
      <c r="IEO1" s="184"/>
      <c r="IEP1" s="184"/>
      <c r="IEQ1" s="184"/>
      <c r="IER1" s="184"/>
      <c r="IES1" s="184"/>
      <c r="IET1" s="184"/>
      <c r="IEU1" s="184"/>
      <c r="IEV1" s="184"/>
      <c r="IEW1" s="184"/>
      <c r="IEX1" s="184"/>
      <c r="IEY1" s="184"/>
      <c r="IEZ1" s="184"/>
      <c r="IFA1" s="184"/>
      <c r="IFB1" s="184"/>
      <c r="IFC1" s="184"/>
      <c r="IFD1" s="184"/>
      <c r="IFE1" s="184"/>
      <c r="IFF1" s="184"/>
      <c r="IFG1" s="184"/>
      <c r="IFH1" s="184"/>
      <c r="IFI1" s="184"/>
      <c r="IFJ1" s="184"/>
      <c r="IFK1" s="184"/>
      <c r="IFL1" s="184"/>
      <c r="IFM1" s="184"/>
      <c r="IFN1" s="184"/>
      <c r="IFO1" s="184"/>
      <c r="IFP1" s="184"/>
      <c r="IFQ1" s="184"/>
      <c r="IFR1" s="184"/>
      <c r="IFS1" s="184"/>
      <c r="IFT1" s="184"/>
      <c r="IFU1" s="184"/>
      <c r="IFV1" s="184"/>
      <c r="IFW1" s="184"/>
      <c r="IFX1" s="184"/>
      <c r="IFY1" s="184"/>
      <c r="IFZ1" s="184"/>
      <c r="IGA1" s="184"/>
      <c r="IGB1" s="184"/>
      <c r="IGC1" s="184"/>
      <c r="IGD1" s="184"/>
      <c r="IGE1" s="184"/>
      <c r="IGF1" s="184"/>
      <c r="IGG1" s="184"/>
      <c r="IGH1" s="184"/>
      <c r="IGI1" s="184"/>
      <c r="IGJ1" s="184"/>
      <c r="IGK1" s="184"/>
      <c r="IGL1" s="184"/>
      <c r="IGM1" s="184"/>
      <c r="IGN1" s="184"/>
      <c r="IGO1" s="184"/>
      <c r="IGP1" s="184"/>
      <c r="IGQ1" s="184"/>
      <c r="IGR1" s="184"/>
      <c r="IGS1" s="184"/>
      <c r="IGT1" s="184"/>
      <c r="IGU1" s="184"/>
      <c r="IGV1" s="184"/>
      <c r="IGW1" s="184"/>
      <c r="IGX1" s="184"/>
      <c r="IGY1" s="184"/>
      <c r="IGZ1" s="184"/>
      <c r="IHA1" s="184"/>
      <c r="IHB1" s="184"/>
      <c r="IHC1" s="184"/>
      <c r="IHD1" s="184"/>
      <c r="IHE1" s="184"/>
      <c r="IHF1" s="184"/>
      <c r="IHG1" s="184"/>
      <c r="IHH1" s="184"/>
      <c r="IHI1" s="184"/>
      <c r="IHJ1" s="184"/>
      <c r="IHK1" s="184"/>
      <c r="IHL1" s="184"/>
      <c r="IHM1" s="184"/>
      <c r="IHN1" s="184"/>
      <c r="IHO1" s="184"/>
      <c r="IHP1" s="184"/>
      <c r="IHQ1" s="184"/>
      <c r="IHR1" s="184"/>
      <c r="IHS1" s="184"/>
      <c r="IHT1" s="184"/>
      <c r="IHU1" s="184"/>
      <c r="IHV1" s="184"/>
      <c r="IHW1" s="184"/>
      <c r="IHX1" s="184"/>
      <c r="IHY1" s="184"/>
      <c r="IHZ1" s="184"/>
      <c r="IIA1" s="184"/>
      <c r="IIB1" s="184"/>
      <c r="IIC1" s="184"/>
      <c r="IID1" s="184"/>
      <c r="IIE1" s="184"/>
      <c r="IIF1" s="184"/>
      <c r="IIG1" s="184"/>
      <c r="IIH1" s="184"/>
      <c r="III1" s="184"/>
      <c r="IIJ1" s="184"/>
      <c r="IIK1" s="184"/>
      <c r="IIL1" s="184"/>
      <c r="IIM1" s="184"/>
      <c r="IIN1" s="184"/>
      <c r="IIO1" s="184"/>
      <c r="IIP1" s="184"/>
      <c r="IIQ1" s="184"/>
      <c r="IIR1" s="184"/>
      <c r="IIS1" s="184"/>
      <c r="IIT1" s="184"/>
      <c r="IIU1" s="184"/>
      <c r="IIV1" s="184"/>
      <c r="IIW1" s="184"/>
      <c r="IIX1" s="184"/>
      <c r="IIY1" s="184"/>
      <c r="IIZ1" s="184"/>
      <c r="IJA1" s="184"/>
      <c r="IJB1" s="184"/>
      <c r="IJC1" s="184"/>
      <c r="IJD1" s="184"/>
      <c r="IJE1" s="184"/>
      <c r="IJF1" s="184"/>
      <c r="IJG1" s="184"/>
      <c r="IJH1" s="184"/>
      <c r="IJI1" s="184"/>
      <c r="IJJ1" s="184"/>
      <c r="IJK1" s="184"/>
      <c r="IJL1" s="184"/>
      <c r="IJM1" s="184"/>
      <c r="IJN1" s="184"/>
      <c r="IJO1" s="184"/>
      <c r="IJP1" s="184"/>
      <c r="IJQ1" s="184"/>
      <c r="IJR1" s="184"/>
      <c r="IJS1" s="184"/>
      <c r="IJT1" s="184"/>
      <c r="IJU1" s="184"/>
      <c r="IJV1" s="184"/>
      <c r="IJW1" s="184"/>
      <c r="IJX1" s="184"/>
      <c r="IJY1" s="184"/>
      <c r="IJZ1" s="184"/>
      <c r="IKA1" s="184"/>
      <c r="IKB1" s="184"/>
      <c r="IKC1" s="184"/>
      <c r="IKD1" s="184"/>
      <c r="IKE1" s="184"/>
      <c r="IKF1" s="184"/>
      <c r="IKG1" s="184"/>
      <c r="IKH1" s="184"/>
      <c r="IKI1" s="184"/>
      <c r="IKJ1" s="184"/>
      <c r="IKK1" s="184"/>
      <c r="IKL1" s="184"/>
      <c r="IKM1" s="184"/>
      <c r="IKN1" s="184"/>
      <c r="IKO1" s="184"/>
      <c r="IKP1" s="184"/>
      <c r="IKQ1" s="184"/>
      <c r="IKR1" s="184"/>
      <c r="IKS1" s="184"/>
      <c r="IKT1" s="184"/>
      <c r="IKU1" s="184"/>
      <c r="IKV1" s="184"/>
      <c r="IKW1" s="184"/>
      <c r="IKX1" s="184"/>
      <c r="IKY1" s="184"/>
      <c r="IKZ1" s="184"/>
      <c r="ILA1" s="184"/>
      <c r="ILB1" s="184"/>
      <c r="ILC1" s="184"/>
      <c r="ILD1" s="184"/>
      <c r="ILE1" s="184"/>
      <c r="ILF1" s="184"/>
      <c r="ILG1" s="184"/>
      <c r="ILH1" s="184"/>
      <c r="ILI1" s="184"/>
      <c r="ILJ1" s="184"/>
      <c r="ILK1" s="184"/>
      <c r="ILL1" s="184"/>
      <c r="ILM1" s="184"/>
      <c r="ILN1" s="184"/>
      <c r="ILO1" s="184"/>
      <c r="ILP1" s="184"/>
      <c r="ILQ1" s="184"/>
      <c r="ILR1" s="184"/>
      <c r="ILS1" s="184"/>
      <c r="ILT1" s="184"/>
      <c r="ILU1" s="184"/>
      <c r="ILV1" s="184"/>
      <c r="ILW1" s="184"/>
      <c r="ILX1" s="184"/>
      <c r="ILY1" s="184"/>
      <c r="ILZ1" s="184"/>
      <c r="IMA1" s="184"/>
      <c r="IMB1" s="184"/>
      <c r="IMC1" s="184"/>
      <c r="IMD1" s="184"/>
      <c r="IME1" s="184"/>
      <c r="IMF1" s="184"/>
      <c r="IMG1" s="184"/>
      <c r="IMH1" s="184"/>
      <c r="IMI1" s="184"/>
      <c r="IMJ1" s="184"/>
      <c r="IMK1" s="184"/>
      <c r="IML1" s="184"/>
      <c r="IMM1" s="184"/>
      <c r="IMN1" s="184"/>
      <c r="IMO1" s="184"/>
      <c r="IMP1" s="184"/>
      <c r="IMQ1" s="184"/>
      <c r="IMR1" s="184"/>
      <c r="IMS1" s="184"/>
      <c r="IMT1" s="184"/>
      <c r="IMU1" s="184"/>
      <c r="IMV1" s="184"/>
      <c r="IMW1" s="184"/>
      <c r="IMX1" s="184"/>
      <c r="IMY1" s="184"/>
      <c r="IMZ1" s="184"/>
      <c r="INA1" s="184"/>
      <c r="INB1" s="184"/>
      <c r="INC1" s="184"/>
      <c r="IND1" s="184"/>
      <c r="INE1" s="184"/>
      <c r="INF1" s="184"/>
      <c r="ING1" s="184"/>
      <c r="INH1" s="184"/>
      <c r="INI1" s="184"/>
      <c r="INJ1" s="184"/>
      <c r="INK1" s="184"/>
      <c r="INL1" s="184"/>
      <c r="INM1" s="184"/>
      <c r="INN1" s="184"/>
      <c r="INO1" s="184"/>
      <c r="INP1" s="184"/>
      <c r="INQ1" s="184"/>
      <c r="INR1" s="184"/>
      <c r="INS1" s="184"/>
      <c r="INT1" s="184"/>
      <c r="INU1" s="184"/>
      <c r="INV1" s="184"/>
      <c r="INW1" s="184"/>
      <c r="INX1" s="184"/>
      <c r="INY1" s="184"/>
      <c r="INZ1" s="184"/>
      <c r="IOA1" s="184"/>
      <c r="IOB1" s="184"/>
      <c r="IOC1" s="184"/>
      <c r="IOD1" s="184"/>
      <c r="IOE1" s="184"/>
      <c r="IOF1" s="184"/>
      <c r="IOG1" s="184"/>
      <c r="IOH1" s="184"/>
      <c r="IOI1" s="184"/>
      <c r="IOJ1" s="184"/>
      <c r="IOK1" s="184"/>
      <c r="IOL1" s="184"/>
      <c r="IOM1" s="184"/>
      <c r="ION1" s="184"/>
      <c r="IOO1" s="184"/>
      <c r="IOP1" s="184"/>
      <c r="IOQ1" s="184"/>
      <c r="IOR1" s="184"/>
      <c r="IOS1" s="184"/>
      <c r="IOT1" s="184"/>
      <c r="IOU1" s="184"/>
      <c r="IOV1" s="184"/>
      <c r="IOW1" s="184"/>
      <c r="IOX1" s="184"/>
      <c r="IOY1" s="184"/>
      <c r="IOZ1" s="184"/>
      <c r="IPA1" s="184"/>
      <c r="IPB1" s="184"/>
      <c r="IPC1" s="184"/>
      <c r="IPD1" s="184"/>
      <c r="IPE1" s="184"/>
      <c r="IPF1" s="184"/>
      <c r="IPG1" s="184"/>
      <c r="IPH1" s="184"/>
      <c r="IPI1" s="184"/>
      <c r="IPJ1" s="184"/>
      <c r="IPK1" s="184"/>
      <c r="IPL1" s="184"/>
      <c r="IPM1" s="184"/>
      <c r="IPN1" s="184"/>
      <c r="IPO1" s="184"/>
      <c r="IPP1" s="184"/>
      <c r="IPQ1" s="184"/>
      <c r="IPR1" s="184"/>
      <c r="IPS1" s="184"/>
      <c r="IPT1" s="184"/>
      <c r="IPU1" s="184"/>
      <c r="IPV1" s="184"/>
      <c r="IPW1" s="184"/>
      <c r="IPX1" s="184"/>
      <c r="IPY1" s="184"/>
      <c r="IPZ1" s="184"/>
      <c r="IQA1" s="184"/>
      <c r="IQB1" s="184"/>
      <c r="IQC1" s="184"/>
      <c r="IQD1" s="184"/>
      <c r="IQE1" s="184"/>
      <c r="IQF1" s="184"/>
      <c r="IQG1" s="184"/>
      <c r="IQH1" s="184"/>
      <c r="IQI1" s="184"/>
      <c r="IQJ1" s="184"/>
      <c r="IQK1" s="184"/>
      <c r="IQL1" s="184"/>
      <c r="IQM1" s="184"/>
      <c r="IQN1" s="184"/>
      <c r="IQO1" s="184"/>
      <c r="IQP1" s="184"/>
      <c r="IQQ1" s="184"/>
      <c r="IQR1" s="184"/>
      <c r="IQS1" s="184"/>
      <c r="IQT1" s="184"/>
      <c r="IQU1" s="184"/>
      <c r="IQV1" s="184"/>
      <c r="IQW1" s="184"/>
      <c r="IQX1" s="184"/>
      <c r="IQY1" s="184"/>
      <c r="IQZ1" s="184"/>
      <c r="IRA1" s="184"/>
      <c r="IRB1" s="184"/>
      <c r="IRC1" s="184"/>
      <c r="IRD1" s="184"/>
      <c r="IRE1" s="184"/>
      <c r="IRF1" s="184"/>
      <c r="IRG1" s="184"/>
      <c r="IRH1" s="184"/>
      <c r="IRI1" s="184"/>
      <c r="IRJ1" s="184"/>
      <c r="IRK1" s="184"/>
      <c r="IRL1" s="184"/>
      <c r="IRM1" s="184"/>
      <c r="IRN1" s="184"/>
      <c r="IRO1" s="184"/>
      <c r="IRP1" s="184"/>
      <c r="IRQ1" s="184"/>
      <c r="IRR1" s="184"/>
      <c r="IRS1" s="184"/>
      <c r="IRT1" s="184"/>
      <c r="IRU1" s="184"/>
      <c r="IRV1" s="184"/>
      <c r="IRW1" s="184"/>
      <c r="IRX1" s="184"/>
      <c r="IRY1" s="184"/>
      <c r="IRZ1" s="184"/>
      <c r="ISA1" s="184"/>
      <c r="ISB1" s="184"/>
      <c r="ISC1" s="184"/>
      <c r="ISD1" s="184"/>
      <c r="ISE1" s="184"/>
      <c r="ISF1" s="184"/>
      <c r="ISG1" s="184"/>
      <c r="ISH1" s="184"/>
      <c r="ISI1" s="184"/>
      <c r="ISJ1" s="184"/>
      <c r="ISK1" s="184"/>
      <c r="ISL1" s="184"/>
      <c r="ISM1" s="184"/>
      <c r="ISN1" s="184"/>
      <c r="ISO1" s="184"/>
      <c r="ISP1" s="184"/>
      <c r="ISQ1" s="184"/>
      <c r="ISR1" s="184"/>
      <c r="ISS1" s="184"/>
      <c r="IST1" s="184"/>
      <c r="ISU1" s="184"/>
      <c r="ISV1" s="184"/>
      <c r="ISW1" s="184"/>
      <c r="ISX1" s="184"/>
      <c r="ISY1" s="184"/>
      <c r="ISZ1" s="184"/>
      <c r="ITA1" s="184"/>
      <c r="ITB1" s="184"/>
      <c r="ITC1" s="184"/>
      <c r="ITD1" s="184"/>
      <c r="ITE1" s="184"/>
      <c r="ITF1" s="184"/>
      <c r="ITG1" s="184"/>
      <c r="ITH1" s="184"/>
      <c r="ITI1" s="184"/>
      <c r="ITJ1" s="184"/>
      <c r="ITK1" s="184"/>
      <c r="ITL1" s="184"/>
      <c r="ITM1" s="184"/>
      <c r="ITN1" s="184"/>
      <c r="ITO1" s="184"/>
      <c r="ITP1" s="184"/>
      <c r="ITQ1" s="184"/>
      <c r="ITR1" s="184"/>
      <c r="ITS1" s="184"/>
      <c r="ITT1" s="184"/>
      <c r="ITU1" s="184"/>
      <c r="ITV1" s="184"/>
      <c r="ITW1" s="184"/>
      <c r="ITX1" s="184"/>
      <c r="ITY1" s="184"/>
      <c r="ITZ1" s="184"/>
      <c r="IUA1" s="184"/>
      <c r="IUB1" s="184"/>
      <c r="IUC1" s="184"/>
      <c r="IUD1" s="184"/>
      <c r="IUE1" s="184"/>
      <c r="IUF1" s="184"/>
      <c r="IUG1" s="184"/>
      <c r="IUH1" s="184"/>
      <c r="IUI1" s="184"/>
      <c r="IUJ1" s="184"/>
      <c r="IUK1" s="184"/>
      <c r="IUL1" s="184"/>
      <c r="IUM1" s="184"/>
      <c r="IUN1" s="184"/>
      <c r="IUO1" s="184"/>
      <c r="IUP1" s="184"/>
      <c r="IUQ1" s="184"/>
      <c r="IUR1" s="184"/>
      <c r="IUS1" s="184"/>
      <c r="IUT1" s="184"/>
      <c r="IUU1" s="184"/>
      <c r="IUV1" s="184"/>
      <c r="IUW1" s="184"/>
      <c r="IUX1" s="184"/>
      <c r="IUY1" s="184"/>
      <c r="IUZ1" s="184"/>
      <c r="IVA1" s="184"/>
      <c r="IVB1" s="184"/>
      <c r="IVC1" s="184"/>
      <c r="IVD1" s="184"/>
      <c r="IVE1" s="184"/>
      <c r="IVF1" s="184"/>
      <c r="IVG1" s="184"/>
      <c r="IVH1" s="184"/>
      <c r="IVI1" s="184"/>
      <c r="IVJ1" s="184"/>
      <c r="IVK1" s="184"/>
      <c r="IVL1" s="184"/>
      <c r="IVM1" s="184"/>
      <c r="IVN1" s="184"/>
      <c r="IVO1" s="184"/>
      <c r="IVP1" s="184"/>
      <c r="IVQ1" s="184"/>
      <c r="IVR1" s="184"/>
      <c r="IVS1" s="184"/>
      <c r="IVT1" s="184"/>
      <c r="IVU1" s="184"/>
      <c r="IVV1" s="184"/>
      <c r="IVW1" s="184"/>
      <c r="IVX1" s="184"/>
      <c r="IVY1" s="184"/>
      <c r="IVZ1" s="184"/>
      <c r="IWA1" s="184"/>
      <c r="IWB1" s="184"/>
      <c r="IWC1" s="184"/>
      <c r="IWD1" s="184"/>
      <c r="IWE1" s="184"/>
      <c r="IWF1" s="184"/>
      <c r="IWG1" s="184"/>
      <c r="IWH1" s="184"/>
      <c r="IWI1" s="184"/>
      <c r="IWJ1" s="184"/>
      <c r="IWK1" s="184"/>
      <c r="IWL1" s="184"/>
      <c r="IWM1" s="184"/>
      <c r="IWN1" s="184"/>
      <c r="IWO1" s="184"/>
      <c r="IWP1" s="184"/>
      <c r="IWQ1" s="184"/>
      <c r="IWR1" s="184"/>
      <c r="IWS1" s="184"/>
      <c r="IWT1" s="184"/>
      <c r="IWU1" s="184"/>
      <c r="IWV1" s="184"/>
      <c r="IWW1" s="184"/>
      <c r="IWX1" s="184"/>
      <c r="IWY1" s="184"/>
      <c r="IWZ1" s="184"/>
      <c r="IXA1" s="184"/>
      <c r="IXB1" s="184"/>
      <c r="IXC1" s="184"/>
      <c r="IXD1" s="184"/>
      <c r="IXE1" s="184"/>
      <c r="IXF1" s="184"/>
      <c r="IXG1" s="184"/>
      <c r="IXH1" s="184"/>
      <c r="IXI1" s="184"/>
      <c r="IXJ1" s="184"/>
      <c r="IXK1" s="184"/>
      <c r="IXL1" s="184"/>
      <c r="IXM1" s="184"/>
      <c r="IXN1" s="184"/>
      <c r="IXO1" s="184"/>
      <c r="IXP1" s="184"/>
      <c r="IXQ1" s="184"/>
      <c r="IXR1" s="184"/>
      <c r="IXS1" s="184"/>
      <c r="IXT1" s="184"/>
      <c r="IXU1" s="184"/>
      <c r="IXV1" s="184"/>
      <c r="IXW1" s="184"/>
      <c r="IXX1" s="184"/>
      <c r="IXY1" s="184"/>
      <c r="IXZ1" s="184"/>
      <c r="IYA1" s="184"/>
      <c r="IYB1" s="184"/>
      <c r="IYC1" s="184"/>
      <c r="IYD1" s="184"/>
      <c r="IYE1" s="184"/>
      <c r="IYF1" s="184"/>
      <c r="IYG1" s="184"/>
      <c r="IYH1" s="184"/>
      <c r="IYI1" s="184"/>
      <c r="IYJ1" s="184"/>
      <c r="IYK1" s="184"/>
      <c r="IYL1" s="184"/>
      <c r="IYM1" s="184"/>
      <c r="IYN1" s="184"/>
      <c r="IYO1" s="184"/>
      <c r="IYP1" s="184"/>
      <c r="IYQ1" s="184"/>
      <c r="IYR1" s="184"/>
      <c r="IYS1" s="184"/>
      <c r="IYT1" s="184"/>
      <c r="IYU1" s="184"/>
      <c r="IYV1" s="184"/>
      <c r="IYW1" s="184"/>
      <c r="IYX1" s="184"/>
      <c r="IYY1" s="184"/>
      <c r="IYZ1" s="184"/>
      <c r="IZA1" s="184"/>
      <c r="IZB1" s="184"/>
      <c r="IZC1" s="184"/>
      <c r="IZD1" s="184"/>
      <c r="IZE1" s="184"/>
      <c r="IZF1" s="184"/>
      <c r="IZG1" s="184"/>
      <c r="IZH1" s="184"/>
      <c r="IZI1" s="184"/>
      <c r="IZJ1" s="184"/>
      <c r="IZK1" s="184"/>
      <c r="IZL1" s="184"/>
      <c r="IZM1" s="184"/>
      <c r="IZN1" s="184"/>
      <c r="IZO1" s="184"/>
      <c r="IZP1" s="184"/>
      <c r="IZQ1" s="184"/>
      <c r="IZR1" s="184"/>
      <c r="IZS1" s="184"/>
      <c r="IZT1" s="184"/>
      <c r="IZU1" s="184"/>
      <c r="IZV1" s="184"/>
      <c r="IZW1" s="184"/>
      <c r="IZX1" s="184"/>
      <c r="IZY1" s="184"/>
      <c r="IZZ1" s="184"/>
      <c r="JAA1" s="184"/>
      <c r="JAB1" s="184"/>
      <c r="JAC1" s="184"/>
      <c r="JAD1" s="184"/>
      <c r="JAE1" s="184"/>
      <c r="JAF1" s="184"/>
      <c r="JAG1" s="184"/>
      <c r="JAH1" s="184"/>
      <c r="JAI1" s="184"/>
      <c r="JAJ1" s="184"/>
      <c r="JAK1" s="184"/>
      <c r="JAL1" s="184"/>
      <c r="JAM1" s="184"/>
      <c r="JAN1" s="184"/>
      <c r="JAO1" s="184"/>
      <c r="JAP1" s="184"/>
      <c r="JAQ1" s="184"/>
      <c r="JAR1" s="184"/>
      <c r="JAS1" s="184"/>
      <c r="JAT1" s="184"/>
      <c r="JAU1" s="184"/>
      <c r="JAV1" s="184"/>
      <c r="JAW1" s="184"/>
      <c r="JAX1" s="184"/>
      <c r="JAY1" s="184"/>
      <c r="JAZ1" s="184"/>
      <c r="JBA1" s="184"/>
      <c r="JBB1" s="184"/>
      <c r="JBC1" s="184"/>
      <c r="JBD1" s="184"/>
      <c r="JBE1" s="184"/>
      <c r="JBF1" s="184"/>
      <c r="JBG1" s="184"/>
      <c r="JBH1" s="184"/>
      <c r="JBI1" s="184"/>
      <c r="JBJ1" s="184"/>
      <c r="JBK1" s="184"/>
      <c r="JBL1" s="184"/>
      <c r="JBM1" s="184"/>
      <c r="JBN1" s="184"/>
      <c r="JBO1" s="184"/>
      <c r="JBP1" s="184"/>
      <c r="JBQ1" s="184"/>
      <c r="JBR1" s="184"/>
      <c r="JBS1" s="184"/>
      <c r="JBT1" s="184"/>
      <c r="JBU1" s="184"/>
      <c r="JBV1" s="184"/>
      <c r="JBW1" s="184"/>
      <c r="JBX1" s="184"/>
      <c r="JBY1" s="184"/>
      <c r="JBZ1" s="184"/>
      <c r="JCA1" s="184"/>
      <c r="JCB1" s="184"/>
      <c r="JCC1" s="184"/>
      <c r="JCD1" s="184"/>
      <c r="JCE1" s="184"/>
      <c r="JCF1" s="184"/>
      <c r="JCG1" s="184"/>
      <c r="JCH1" s="184"/>
      <c r="JCI1" s="184"/>
      <c r="JCJ1" s="184"/>
      <c r="JCK1" s="184"/>
      <c r="JCL1" s="184"/>
      <c r="JCM1" s="184"/>
      <c r="JCN1" s="184"/>
      <c r="JCO1" s="184"/>
      <c r="JCP1" s="184"/>
      <c r="JCQ1" s="184"/>
      <c r="JCR1" s="184"/>
      <c r="JCS1" s="184"/>
      <c r="JCT1" s="184"/>
      <c r="JCU1" s="184"/>
      <c r="JCV1" s="184"/>
      <c r="JCW1" s="184"/>
      <c r="JCX1" s="184"/>
      <c r="JCY1" s="184"/>
      <c r="JCZ1" s="184"/>
      <c r="JDA1" s="184"/>
      <c r="JDB1" s="184"/>
      <c r="JDC1" s="184"/>
      <c r="JDD1" s="184"/>
      <c r="JDE1" s="184"/>
      <c r="JDF1" s="184"/>
      <c r="JDG1" s="184"/>
      <c r="JDH1" s="184"/>
      <c r="JDI1" s="184"/>
      <c r="JDJ1" s="184"/>
      <c r="JDK1" s="184"/>
      <c r="JDL1" s="184"/>
      <c r="JDM1" s="184"/>
      <c r="JDN1" s="184"/>
      <c r="JDO1" s="184"/>
      <c r="JDP1" s="184"/>
      <c r="JDQ1" s="184"/>
      <c r="JDR1" s="184"/>
      <c r="JDS1" s="184"/>
      <c r="JDT1" s="184"/>
      <c r="JDU1" s="184"/>
      <c r="JDV1" s="184"/>
      <c r="JDW1" s="184"/>
      <c r="JDX1" s="184"/>
      <c r="JDY1" s="184"/>
      <c r="JDZ1" s="184"/>
      <c r="JEA1" s="184"/>
      <c r="JEB1" s="184"/>
      <c r="JEC1" s="184"/>
      <c r="JED1" s="184"/>
      <c r="JEE1" s="184"/>
      <c r="JEF1" s="184"/>
      <c r="JEG1" s="184"/>
      <c r="JEH1" s="184"/>
      <c r="JEI1" s="184"/>
      <c r="JEJ1" s="184"/>
      <c r="JEK1" s="184"/>
      <c r="JEL1" s="184"/>
      <c r="JEM1" s="184"/>
      <c r="JEN1" s="184"/>
      <c r="JEO1" s="184"/>
      <c r="JEP1" s="184"/>
      <c r="JEQ1" s="184"/>
      <c r="JER1" s="184"/>
      <c r="JES1" s="184"/>
      <c r="JET1" s="184"/>
      <c r="JEU1" s="184"/>
      <c r="JEV1" s="184"/>
      <c r="JEW1" s="184"/>
      <c r="JEX1" s="184"/>
      <c r="JEY1" s="184"/>
      <c r="JEZ1" s="184"/>
      <c r="JFA1" s="184"/>
      <c r="JFB1" s="184"/>
      <c r="JFC1" s="184"/>
      <c r="JFD1" s="184"/>
      <c r="JFE1" s="184"/>
      <c r="JFF1" s="184"/>
      <c r="JFG1" s="184"/>
      <c r="JFH1" s="184"/>
      <c r="JFI1" s="184"/>
      <c r="JFJ1" s="184"/>
      <c r="JFK1" s="184"/>
      <c r="JFL1" s="184"/>
      <c r="JFM1" s="184"/>
      <c r="JFN1" s="184"/>
      <c r="JFO1" s="184"/>
      <c r="JFP1" s="184"/>
      <c r="JFQ1" s="184"/>
      <c r="JFR1" s="184"/>
      <c r="JFS1" s="184"/>
      <c r="JFT1" s="184"/>
      <c r="JFU1" s="184"/>
      <c r="JFV1" s="184"/>
      <c r="JFW1" s="184"/>
      <c r="JFX1" s="184"/>
      <c r="JFY1" s="184"/>
      <c r="JFZ1" s="184"/>
      <c r="JGA1" s="184"/>
      <c r="JGB1" s="184"/>
      <c r="JGC1" s="184"/>
      <c r="JGD1" s="184"/>
      <c r="JGE1" s="184"/>
      <c r="JGF1" s="184"/>
      <c r="JGG1" s="184"/>
      <c r="JGH1" s="184"/>
      <c r="JGI1" s="184"/>
      <c r="JGJ1" s="184"/>
      <c r="JGK1" s="184"/>
      <c r="JGL1" s="184"/>
      <c r="JGM1" s="184"/>
      <c r="JGN1" s="184"/>
      <c r="JGO1" s="184"/>
      <c r="JGP1" s="184"/>
      <c r="JGQ1" s="184"/>
      <c r="JGR1" s="184"/>
      <c r="JGS1" s="184"/>
      <c r="JGT1" s="184"/>
      <c r="JGU1" s="184"/>
      <c r="JGV1" s="184"/>
      <c r="JGW1" s="184"/>
      <c r="JGX1" s="184"/>
      <c r="JGY1" s="184"/>
      <c r="JGZ1" s="184"/>
      <c r="JHA1" s="184"/>
      <c r="JHB1" s="184"/>
      <c r="JHC1" s="184"/>
      <c r="JHD1" s="184"/>
      <c r="JHE1" s="184"/>
      <c r="JHF1" s="184"/>
      <c r="JHG1" s="184"/>
      <c r="JHH1" s="184"/>
      <c r="JHI1" s="184"/>
      <c r="JHJ1" s="184"/>
      <c r="JHK1" s="184"/>
      <c r="JHL1" s="184"/>
      <c r="JHM1" s="184"/>
      <c r="JHN1" s="184"/>
      <c r="JHO1" s="184"/>
      <c r="JHP1" s="184"/>
      <c r="JHQ1" s="184"/>
      <c r="JHR1" s="184"/>
      <c r="JHS1" s="184"/>
      <c r="JHT1" s="184"/>
      <c r="JHU1" s="184"/>
      <c r="JHV1" s="184"/>
      <c r="JHW1" s="184"/>
      <c r="JHX1" s="184"/>
      <c r="JHY1" s="184"/>
      <c r="JHZ1" s="184"/>
      <c r="JIA1" s="184"/>
      <c r="JIB1" s="184"/>
      <c r="JIC1" s="184"/>
      <c r="JID1" s="184"/>
      <c r="JIE1" s="184"/>
      <c r="JIF1" s="184"/>
      <c r="JIG1" s="184"/>
      <c r="JIH1" s="184"/>
      <c r="JII1" s="184"/>
      <c r="JIJ1" s="184"/>
      <c r="JIK1" s="184"/>
      <c r="JIL1" s="184"/>
      <c r="JIM1" s="184"/>
      <c r="JIN1" s="184"/>
      <c r="JIO1" s="184"/>
      <c r="JIP1" s="184"/>
      <c r="JIQ1" s="184"/>
      <c r="JIR1" s="184"/>
      <c r="JIS1" s="184"/>
      <c r="JIT1" s="184"/>
      <c r="JIU1" s="184"/>
      <c r="JIV1" s="184"/>
      <c r="JIW1" s="184"/>
      <c r="JIX1" s="184"/>
      <c r="JIY1" s="184"/>
      <c r="JIZ1" s="184"/>
      <c r="JJA1" s="184"/>
      <c r="JJB1" s="184"/>
      <c r="JJC1" s="184"/>
      <c r="JJD1" s="184"/>
      <c r="JJE1" s="184"/>
      <c r="JJF1" s="184"/>
      <c r="JJG1" s="184"/>
      <c r="JJH1" s="184"/>
      <c r="JJI1" s="184"/>
      <c r="JJJ1" s="184"/>
      <c r="JJK1" s="184"/>
      <c r="JJL1" s="184"/>
      <c r="JJM1" s="184"/>
      <c r="JJN1" s="184"/>
      <c r="JJO1" s="184"/>
      <c r="JJP1" s="184"/>
      <c r="JJQ1" s="184"/>
      <c r="JJR1" s="184"/>
      <c r="JJS1" s="184"/>
      <c r="JJT1" s="184"/>
      <c r="JJU1" s="184"/>
      <c r="JJV1" s="184"/>
      <c r="JJW1" s="184"/>
      <c r="JJX1" s="184"/>
      <c r="JJY1" s="184"/>
      <c r="JJZ1" s="184"/>
      <c r="JKA1" s="184"/>
      <c r="JKB1" s="184"/>
      <c r="JKC1" s="184"/>
      <c r="JKD1" s="184"/>
      <c r="JKE1" s="184"/>
      <c r="JKF1" s="184"/>
      <c r="JKG1" s="184"/>
      <c r="JKH1" s="184"/>
      <c r="JKI1" s="184"/>
      <c r="JKJ1" s="184"/>
      <c r="JKK1" s="184"/>
      <c r="JKL1" s="184"/>
      <c r="JKM1" s="184"/>
      <c r="JKN1" s="184"/>
      <c r="JKO1" s="184"/>
      <c r="JKP1" s="184"/>
      <c r="JKQ1" s="184"/>
      <c r="JKR1" s="184"/>
      <c r="JKS1" s="184"/>
      <c r="JKT1" s="184"/>
      <c r="JKU1" s="184"/>
      <c r="JKV1" s="184"/>
      <c r="JKW1" s="184"/>
      <c r="JKX1" s="184"/>
      <c r="JKY1" s="184"/>
      <c r="JKZ1" s="184"/>
      <c r="JLA1" s="184"/>
      <c r="JLB1" s="184"/>
      <c r="JLC1" s="184"/>
      <c r="JLD1" s="184"/>
      <c r="JLE1" s="184"/>
      <c r="JLF1" s="184"/>
      <c r="JLG1" s="184"/>
      <c r="JLH1" s="184"/>
      <c r="JLI1" s="184"/>
      <c r="JLJ1" s="184"/>
      <c r="JLK1" s="184"/>
      <c r="JLL1" s="184"/>
      <c r="JLM1" s="184"/>
      <c r="JLN1" s="184"/>
      <c r="JLO1" s="184"/>
      <c r="JLP1" s="184"/>
      <c r="JLQ1" s="184"/>
      <c r="JLR1" s="184"/>
      <c r="JLS1" s="184"/>
      <c r="JLT1" s="184"/>
      <c r="JLU1" s="184"/>
      <c r="JLV1" s="184"/>
      <c r="JLW1" s="184"/>
      <c r="JLX1" s="184"/>
      <c r="JLY1" s="184"/>
      <c r="JLZ1" s="184"/>
      <c r="JMA1" s="184"/>
      <c r="JMB1" s="184"/>
      <c r="JMC1" s="184"/>
      <c r="JMD1" s="184"/>
      <c r="JME1" s="184"/>
      <c r="JMF1" s="184"/>
      <c r="JMG1" s="184"/>
      <c r="JMH1" s="184"/>
      <c r="JMI1" s="184"/>
      <c r="JMJ1" s="184"/>
      <c r="JMK1" s="184"/>
      <c r="JML1" s="184"/>
      <c r="JMM1" s="184"/>
      <c r="JMN1" s="184"/>
      <c r="JMO1" s="184"/>
      <c r="JMP1" s="184"/>
      <c r="JMQ1" s="184"/>
      <c r="JMR1" s="184"/>
      <c r="JMS1" s="184"/>
      <c r="JMT1" s="184"/>
      <c r="JMU1" s="184"/>
      <c r="JMV1" s="184"/>
      <c r="JMW1" s="184"/>
      <c r="JMX1" s="184"/>
      <c r="JMY1" s="184"/>
      <c r="JMZ1" s="184"/>
      <c r="JNA1" s="184"/>
      <c r="JNB1" s="184"/>
      <c r="JNC1" s="184"/>
      <c r="JND1" s="184"/>
      <c r="JNE1" s="184"/>
      <c r="JNF1" s="184"/>
      <c r="JNG1" s="184"/>
      <c r="JNH1" s="184"/>
      <c r="JNI1" s="184"/>
      <c r="JNJ1" s="184"/>
      <c r="JNK1" s="184"/>
      <c r="JNL1" s="184"/>
      <c r="JNM1" s="184"/>
      <c r="JNN1" s="184"/>
      <c r="JNO1" s="184"/>
      <c r="JNP1" s="184"/>
      <c r="JNQ1" s="184"/>
      <c r="JNR1" s="184"/>
      <c r="JNS1" s="184"/>
      <c r="JNT1" s="184"/>
      <c r="JNU1" s="184"/>
      <c r="JNV1" s="184"/>
      <c r="JNW1" s="184"/>
      <c r="JNX1" s="184"/>
      <c r="JNY1" s="184"/>
      <c r="JNZ1" s="184"/>
      <c r="JOA1" s="184"/>
      <c r="JOB1" s="184"/>
      <c r="JOC1" s="184"/>
      <c r="JOD1" s="184"/>
      <c r="JOE1" s="184"/>
      <c r="JOF1" s="184"/>
      <c r="JOG1" s="184"/>
      <c r="JOH1" s="184"/>
      <c r="JOI1" s="184"/>
      <c r="JOJ1" s="184"/>
      <c r="JOK1" s="184"/>
      <c r="JOL1" s="184"/>
      <c r="JOM1" s="184"/>
      <c r="JON1" s="184"/>
      <c r="JOO1" s="184"/>
      <c r="JOP1" s="184"/>
      <c r="JOQ1" s="184"/>
      <c r="JOR1" s="184"/>
      <c r="JOS1" s="184"/>
      <c r="JOT1" s="184"/>
      <c r="JOU1" s="184"/>
      <c r="JOV1" s="184"/>
      <c r="JOW1" s="184"/>
      <c r="JOX1" s="184"/>
      <c r="JOY1" s="184"/>
      <c r="JOZ1" s="184"/>
      <c r="JPA1" s="184"/>
      <c r="JPB1" s="184"/>
      <c r="JPC1" s="184"/>
      <c r="JPD1" s="184"/>
      <c r="JPE1" s="184"/>
      <c r="JPF1" s="184"/>
      <c r="JPG1" s="184"/>
      <c r="JPH1" s="184"/>
      <c r="JPI1" s="184"/>
      <c r="JPJ1" s="184"/>
      <c r="JPK1" s="184"/>
      <c r="JPL1" s="184"/>
      <c r="JPM1" s="184"/>
      <c r="JPN1" s="184"/>
      <c r="JPO1" s="184"/>
      <c r="JPP1" s="184"/>
      <c r="JPQ1" s="184"/>
      <c r="JPR1" s="184"/>
      <c r="JPS1" s="184"/>
      <c r="JPT1" s="184"/>
      <c r="JPU1" s="184"/>
      <c r="JPV1" s="184"/>
      <c r="JPW1" s="184"/>
      <c r="JPX1" s="184"/>
      <c r="JPY1" s="184"/>
      <c r="JPZ1" s="184"/>
      <c r="JQA1" s="184"/>
      <c r="JQB1" s="184"/>
      <c r="JQC1" s="184"/>
      <c r="JQD1" s="184"/>
      <c r="JQE1" s="184"/>
      <c r="JQF1" s="184"/>
      <c r="JQG1" s="184"/>
      <c r="JQH1" s="184"/>
      <c r="JQI1" s="184"/>
      <c r="JQJ1" s="184"/>
      <c r="JQK1" s="184"/>
      <c r="JQL1" s="184"/>
      <c r="JQM1" s="184"/>
      <c r="JQN1" s="184"/>
      <c r="JQO1" s="184"/>
      <c r="JQP1" s="184"/>
      <c r="JQQ1" s="184"/>
      <c r="JQR1" s="184"/>
      <c r="JQS1" s="184"/>
      <c r="JQT1" s="184"/>
      <c r="JQU1" s="184"/>
      <c r="JQV1" s="184"/>
      <c r="JQW1" s="184"/>
      <c r="JQX1" s="184"/>
      <c r="JQY1" s="184"/>
      <c r="JQZ1" s="184"/>
      <c r="JRA1" s="184"/>
      <c r="JRB1" s="184"/>
      <c r="JRC1" s="184"/>
      <c r="JRD1" s="184"/>
      <c r="JRE1" s="184"/>
      <c r="JRF1" s="184"/>
      <c r="JRG1" s="184"/>
      <c r="JRH1" s="184"/>
      <c r="JRI1" s="184"/>
      <c r="JRJ1" s="184"/>
      <c r="JRK1" s="184"/>
      <c r="JRL1" s="184"/>
      <c r="JRM1" s="184"/>
      <c r="JRN1" s="184"/>
      <c r="JRO1" s="184"/>
      <c r="JRP1" s="184"/>
      <c r="JRQ1" s="184"/>
      <c r="JRR1" s="184"/>
      <c r="JRS1" s="184"/>
      <c r="JRT1" s="184"/>
      <c r="JRU1" s="184"/>
      <c r="JRV1" s="184"/>
      <c r="JRW1" s="184"/>
      <c r="JRX1" s="184"/>
      <c r="JRY1" s="184"/>
      <c r="JRZ1" s="184"/>
      <c r="JSA1" s="184"/>
      <c r="JSB1" s="184"/>
      <c r="JSC1" s="184"/>
      <c r="JSD1" s="184"/>
      <c r="JSE1" s="184"/>
      <c r="JSF1" s="184"/>
      <c r="JSG1" s="184"/>
      <c r="JSH1" s="184"/>
      <c r="JSI1" s="184"/>
      <c r="JSJ1" s="184"/>
      <c r="JSK1" s="184"/>
      <c r="JSL1" s="184"/>
      <c r="JSM1" s="184"/>
      <c r="JSN1" s="184"/>
      <c r="JSO1" s="184"/>
      <c r="JSP1" s="184"/>
      <c r="JSQ1" s="184"/>
      <c r="JSR1" s="184"/>
      <c r="JSS1" s="184"/>
      <c r="JST1" s="184"/>
      <c r="JSU1" s="184"/>
      <c r="JSV1" s="184"/>
      <c r="JSW1" s="184"/>
      <c r="JSX1" s="184"/>
      <c r="JSY1" s="184"/>
      <c r="JSZ1" s="184"/>
      <c r="JTA1" s="184"/>
      <c r="JTB1" s="184"/>
      <c r="JTC1" s="184"/>
      <c r="JTD1" s="184"/>
      <c r="JTE1" s="184"/>
      <c r="JTF1" s="184"/>
      <c r="JTG1" s="184"/>
      <c r="JTH1" s="184"/>
      <c r="JTI1" s="184"/>
      <c r="JTJ1" s="184"/>
      <c r="JTK1" s="184"/>
      <c r="JTL1" s="184"/>
      <c r="JTM1" s="184"/>
      <c r="JTN1" s="184"/>
      <c r="JTO1" s="184"/>
      <c r="JTP1" s="184"/>
      <c r="JTQ1" s="184"/>
      <c r="JTR1" s="184"/>
      <c r="JTS1" s="184"/>
      <c r="JTT1" s="184"/>
      <c r="JTU1" s="184"/>
      <c r="JTV1" s="184"/>
      <c r="JTW1" s="184"/>
      <c r="JTX1" s="184"/>
      <c r="JTY1" s="184"/>
      <c r="JTZ1" s="184"/>
      <c r="JUA1" s="184"/>
      <c r="JUB1" s="184"/>
      <c r="JUC1" s="184"/>
      <c r="JUD1" s="184"/>
      <c r="JUE1" s="184"/>
      <c r="JUF1" s="184"/>
      <c r="JUG1" s="184"/>
      <c r="JUH1" s="184"/>
      <c r="JUI1" s="184"/>
      <c r="JUJ1" s="184"/>
      <c r="JUK1" s="184"/>
      <c r="JUL1" s="184"/>
      <c r="JUM1" s="184"/>
      <c r="JUN1" s="184"/>
      <c r="JUO1" s="184"/>
      <c r="JUP1" s="184"/>
      <c r="JUQ1" s="184"/>
      <c r="JUR1" s="184"/>
      <c r="JUS1" s="184"/>
      <c r="JUT1" s="184"/>
      <c r="JUU1" s="184"/>
      <c r="JUV1" s="184"/>
      <c r="JUW1" s="184"/>
      <c r="JUX1" s="184"/>
      <c r="JUY1" s="184"/>
      <c r="JUZ1" s="184"/>
      <c r="JVA1" s="184"/>
      <c r="JVB1" s="184"/>
      <c r="JVC1" s="184"/>
      <c r="JVD1" s="184"/>
      <c r="JVE1" s="184"/>
      <c r="JVF1" s="184"/>
      <c r="JVG1" s="184"/>
      <c r="JVH1" s="184"/>
      <c r="JVI1" s="184"/>
      <c r="JVJ1" s="184"/>
      <c r="JVK1" s="184"/>
      <c r="JVL1" s="184"/>
      <c r="JVM1" s="184"/>
      <c r="JVN1" s="184"/>
      <c r="JVO1" s="184"/>
      <c r="JVP1" s="184"/>
      <c r="JVQ1" s="184"/>
      <c r="JVR1" s="184"/>
      <c r="JVS1" s="184"/>
      <c r="JVT1" s="184"/>
      <c r="JVU1" s="184"/>
      <c r="JVV1" s="184"/>
      <c r="JVW1" s="184"/>
      <c r="JVX1" s="184"/>
      <c r="JVY1" s="184"/>
      <c r="JVZ1" s="184"/>
      <c r="JWA1" s="184"/>
      <c r="JWB1" s="184"/>
      <c r="JWC1" s="184"/>
      <c r="JWD1" s="184"/>
      <c r="JWE1" s="184"/>
      <c r="JWF1" s="184"/>
      <c r="JWG1" s="184"/>
      <c r="JWH1" s="184"/>
      <c r="JWI1" s="184"/>
      <c r="JWJ1" s="184"/>
      <c r="JWK1" s="184"/>
      <c r="JWL1" s="184"/>
      <c r="JWM1" s="184"/>
      <c r="JWN1" s="184"/>
      <c r="JWO1" s="184"/>
      <c r="JWP1" s="184"/>
      <c r="JWQ1" s="184"/>
      <c r="JWR1" s="184"/>
      <c r="JWS1" s="184"/>
      <c r="JWT1" s="184"/>
      <c r="JWU1" s="184"/>
      <c r="JWV1" s="184"/>
      <c r="JWW1" s="184"/>
      <c r="JWX1" s="184"/>
      <c r="JWY1" s="184"/>
      <c r="JWZ1" s="184"/>
      <c r="JXA1" s="184"/>
      <c r="JXB1" s="184"/>
      <c r="JXC1" s="184"/>
      <c r="JXD1" s="184"/>
      <c r="JXE1" s="184"/>
      <c r="JXF1" s="184"/>
      <c r="JXG1" s="184"/>
      <c r="JXH1" s="184"/>
      <c r="JXI1" s="184"/>
      <c r="JXJ1" s="184"/>
      <c r="JXK1" s="184"/>
      <c r="JXL1" s="184"/>
      <c r="JXM1" s="184"/>
      <c r="JXN1" s="184"/>
      <c r="JXO1" s="184"/>
      <c r="JXP1" s="184"/>
      <c r="JXQ1" s="184"/>
      <c r="JXR1" s="184"/>
      <c r="JXS1" s="184"/>
      <c r="JXT1" s="184"/>
      <c r="JXU1" s="184"/>
      <c r="JXV1" s="184"/>
      <c r="JXW1" s="184"/>
      <c r="JXX1" s="184"/>
      <c r="JXY1" s="184"/>
      <c r="JXZ1" s="184"/>
      <c r="JYA1" s="184"/>
      <c r="JYB1" s="184"/>
      <c r="JYC1" s="184"/>
      <c r="JYD1" s="184"/>
      <c r="JYE1" s="184"/>
      <c r="JYF1" s="184"/>
      <c r="JYG1" s="184"/>
      <c r="JYH1" s="184"/>
      <c r="JYI1" s="184"/>
      <c r="JYJ1" s="184"/>
      <c r="JYK1" s="184"/>
      <c r="JYL1" s="184"/>
      <c r="JYM1" s="184"/>
      <c r="JYN1" s="184"/>
      <c r="JYO1" s="184"/>
      <c r="JYP1" s="184"/>
      <c r="JYQ1" s="184"/>
      <c r="JYR1" s="184"/>
      <c r="JYS1" s="184"/>
      <c r="JYT1" s="184"/>
      <c r="JYU1" s="184"/>
      <c r="JYV1" s="184"/>
      <c r="JYW1" s="184"/>
      <c r="JYX1" s="184"/>
      <c r="JYY1" s="184"/>
      <c r="JYZ1" s="184"/>
      <c r="JZA1" s="184"/>
      <c r="JZB1" s="184"/>
      <c r="JZC1" s="184"/>
      <c r="JZD1" s="184"/>
      <c r="JZE1" s="184"/>
      <c r="JZF1" s="184"/>
      <c r="JZG1" s="184"/>
      <c r="JZH1" s="184"/>
      <c r="JZI1" s="184"/>
      <c r="JZJ1" s="184"/>
      <c r="JZK1" s="184"/>
      <c r="JZL1" s="184"/>
      <c r="JZM1" s="184"/>
      <c r="JZN1" s="184"/>
      <c r="JZO1" s="184"/>
      <c r="JZP1" s="184"/>
      <c r="JZQ1" s="184"/>
      <c r="JZR1" s="184"/>
      <c r="JZS1" s="184"/>
      <c r="JZT1" s="184"/>
      <c r="JZU1" s="184"/>
      <c r="JZV1" s="184"/>
      <c r="JZW1" s="184"/>
      <c r="JZX1" s="184"/>
      <c r="JZY1" s="184"/>
      <c r="JZZ1" s="184"/>
      <c r="KAA1" s="184"/>
      <c r="KAB1" s="184"/>
      <c r="KAC1" s="184"/>
      <c r="KAD1" s="184"/>
      <c r="KAE1" s="184"/>
      <c r="KAF1" s="184"/>
      <c r="KAG1" s="184"/>
      <c r="KAH1" s="184"/>
      <c r="KAI1" s="184"/>
      <c r="KAJ1" s="184"/>
      <c r="KAK1" s="184"/>
      <c r="KAL1" s="184"/>
      <c r="KAM1" s="184"/>
      <c r="KAN1" s="184"/>
      <c r="KAO1" s="184"/>
      <c r="KAP1" s="184"/>
      <c r="KAQ1" s="184"/>
      <c r="KAR1" s="184"/>
      <c r="KAS1" s="184"/>
      <c r="KAT1" s="184"/>
      <c r="KAU1" s="184"/>
      <c r="KAV1" s="184"/>
      <c r="KAW1" s="184"/>
      <c r="KAX1" s="184"/>
      <c r="KAY1" s="184"/>
      <c r="KAZ1" s="184"/>
      <c r="KBA1" s="184"/>
      <c r="KBB1" s="184"/>
      <c r="KBC1" s="184"/>
      <c r="KBD1" s="184"/>
      <c r="KBE1" s="184"/>
      <c r="KBF1" s="184"/>
      <c r="KBG1" s="184"/>
      <c r="KBH1" s="184"/>
      <c r="KBI1" s="184"/>
      <c r="KBJ1" s="184"/>
      <c r="KBK1" s="184"/>
      <c r="KBL1" s="184"/>
      <c r="KBM1" s="184"/>
      <c r="KBN1" s="184"/>
      <c r="KBO1" s="184"/>
      <c r="KBP1" s="184"/>
      <c r="KBQ1" s="184"/>
      <c r="KBR1" s="184"/>
      <c r="KBS1" s="184"/>
      <c r="KBT1" s="184"/>
      <c r="KBU1" s="184"/>
      <c r="KBV1" s="184"/>
      <c r="KBW1" s="184"/>
      <c r="KBX1" s="184"/>
      <c r="KBY1" s="184"/>
      <c r="KBZ1" s="184"/>
      <c r="KCA1" s="184"/>
      <c r="KCB1" s="184"/>
      <c r="KCC1" s="184"/>
      <c r="KCD1" s="184"/>
      <c r="KCE1" s="184"/>
      <c r="KCF1" s="184"/>
      <c r="KCG1" s="184"/>
      <c r="KCH1" s="184"/>
      <c r="KCI1" s="184"/>
      <c r="KCJ1" s="184"/>
      <c r="KCK1" s="184"/>
      <c r="KCL1" s="184"/>
      <c r="KCM1" s="184"/>
      <c r="KCN1" s="184"/>
      <c r="KCO1" s="184"/>
      <c r="KCP1" s="184"/>
      <c r="KCQ1" s="184"/>
      <c r="KCR1" s="184"/>
      <c r="KCS1" s="184"/>
      <c r="KCT1" s="184"/>
      <c r="KCU1" s="184"/>
      <c r="KCV1" s="184"/>
      <c r="KCW1" s="184"/>
      <c r="KCX1" s="184"/>
      <c r="KCY1" s="184"/>
      <c r="KCZ1" s="184"/>
      <c r="KDA1" s="184"/>
      <c r="KDB1" s="184"/>
      <c r="KDC1" s="184"/>
      <c r="KDD1" s="184"/>
      <c r="KDE1" s="184"/>
      <c r="KDF1" s="184"/>
      <c r="KDG1" s="184"/>
      <c r="KDH1" s="184"/>
      <c r="KDI1" s="184"/>
      <c r="KDJ1" s="184"/>
      <c r="KDK1" s="184"/>
      <c r="KDL1" s="184"/>
      <c r="KDM1" s="184"/>
      <c r="KDN1" s="184"/>
      <c r="KDO1" s="184"/>
      <c r="KDP1" s="184"/>
      <c r="KDQ1" s="184"/>
      <c r="KDR1" s="184"/>
      <c r="KDS1" s="184"/>
      <c r="KDT1" s="184"/>
      <c r="KDU1" s="184"/>
      <c r="KDV1" s="184"/>
      <c r="KDW1" s="184"/>
      <c r="KDX1" s="184"/>
      <c r="KDY1" s="184"/>
      <c r="KDZ1" s="184"/>
      <c r="KEA1" s="184"/>
      <c r="KEB1" s="184"/>
      <c r="KEC1" s="184"/>
      <c r="KED1" s="184"/>
      <c r="KEE1" s="184"/>
      <c r="KEF1" s="184"/>
      <c r="KEG1" s="184"/>
      <c r="KEH1" s="184"/>
      <c r="KEI1" s="184"/>
      <c r="KEJ1" s="184"/>
      <c r="KEK1" s="184"/>
      <c r="KEL1" s="184"/>
      <c r="KEM1" s="184"/>
      <c r="KEN1" s="184"/>
      <c r="KEO1" s="184"/>
      <c r="KEP1" s="184"/>
      <c r="KEQ1" s="184"/>
      <c r="KER1" s="184"/>
      <c r="KES1" s="184"/>
      <c r="KET1" s="184"/>
      <c r="KEU1" s="184"/>
      <c r="KEV1" s="184"/>
      <c r="KEW1" s="184"/>
      <c r="KEX1" s="184"/>
      <c r="KEY1" s="184"/>
      <c r="KEZ1" s="184"/>
      <c r="KFA1" s="184"/>
      <c r="KFB1" s="184"/>
      <c r="KFC1" s="184"/>
      <c r="KFD1" s="184"/>
      <c r="KFE1" s="184"/>
      <c r="KFF1" s="184"/>
      <c r="KFG1" s="184"/>
      <c r="KFH1" s="184"/>
      <c r="KFI1" s="184"/>
      <c r="KFJ1" s="184"/>
      <c r="KFK1" s="184"/>
      <c r="KFL1" s="184"/>
      <c r="KFM1" s="184"/>
      <c r="KFN1" s="184"/>
      <c r="KFO1" s="184"/>
      <c r="KFP1" s="184"/>
      <c r="KFQ1" s="184"/>
      <c r="KFR1" s="184"/>
      <c r="KFS1" s="184"/>
      <c r="KFT1" s="184"/>
      <c r="KFU1" s="184"/>
      <c r="KFV1" s="184"/>
      <c r="KFW1" s="184"/>
      <c r="KFX1" s="184"/>
      <c r="KFY1" s="184"/>
      <c r="KFZ1" s="184"/>
      <c r="KGA1" s="184"/>
      <c r="KGB1" s="184"/>
      <c r="KGC1" s="184"/>
      <c r="KGD1" s="184"/>
      <c r="KGE1" s="184"/>
      <c r="KGF1" s="184"/>
      <c r="KGG1" s="184"/>
      <c r="KGH1" s="184"/>
      <c r="KGI1" s="184"/>
      <c r="KGJ1" s="184"/>
      <c r="KGK1" s="184"/>
      <c r="KGL1" s="184"/>
      <c r="KGM1" s="184"/>
      <c r="KGN1" s="184"/>
      <c r="KGO1" s="184"/>
      <c r="KGP1" s="184"/>
      <c r="KGQ1" s="184"/>
      <c r="KGR1" s="184"/>
      <c r="KGS1" s="184"/>
      <c r="KGT1" s="184"/>
      <c r="KGU1" s="184"/>
      <c r="KGV1" s="184"/>
      <c r="KGW1" s="184"/>
      <c r="KGX1" s="184"/>
      <c r="KGY1" s="184"/>
      <c r="KGZ1" s="184"/>
      <c r="KHA1" s="184"/>
      <c r="KHB1" s="184"/>
      <c r="KHC1" s="184"/>
      <c r="KHD1" s="184"/>
      <c r="KHE1" s="184"/>
      <c r="KHF1" s="184"/>
      <c r="KHG1" s="184"/>
      <c r="KHH1" s="184"/>
      <c r="KHI1" s="184"/>
      <c r="KHJ1" s="184"/>
      <c r="KHK1" s="184"/>
      <c r="KHL1" s="184"/>
      <c r="KHM1" s="184"/>
      <c r="KHN1" s="184"/>
      <c r="KHO1" s="184"/>
      <c r="KHP1" s="184"/>
      <c r="KHQ1" s="184"/>
      <c r="KHR1" s="184"/>
      <c r="KHS1" s="184"/>
      <c r="KHT1" s="184"/>
      <c r="KHU1" s="184"/>
      <c r="KHV1" s="184"/>
      <c r="KHW1" s="184"/>
      <c r="KHX1" s="184"/>
      <c r="KHY1" s="184"/>
      <c r="KHZ1" s="184"/>
      <c r="KIA1" s="184"/>
      <c r="KIB1" s="184"/>
      <c r="KIC1" s="184"/>
      <c r="KID1" s="184"/>
      <c r="KIE1" s="184"/>
      <c r="KIF1" s="184"/>
      <c r="KIG1" s="184"/>
      <c r="KIH1" s="184"/>
      <c r="KII1" s="184"/>
      <c r="KIJ1" s="184"/>
      <c r="KIK1" s="184"/>
      <c r="KIL1" s="184"/>
      <c r="KIM1" s="184"/>
      <c r="KIN1" s="184"/>
      <c r="KIO1" s="184"/>
      <c r="KIP1" s="184"/>
      <c r="KIQ1" s="184"/>
      <c r="KIR1" s="184"/>
      <c r="KIS1" s="184"/>
      <c r="KIT1" s="184"/>
      <c r="KIU1" s="184"/>
      <c r="KIV1" s="184"/>
      <c r="KIW1" s="184"/>
      <c r="KIX1" s="184"/>
      <c r="KIY1" s="184"/>
      <c r="KIZ1" s="184"/>
      <c r="KJA1" s="184"/>
      <c r="KJB1" s="184"/>
      <c r="KJC1" s="184"/>
      <c r="KJD1" s="184"/>
      <c r="KJE1" s="184"/>
      <c r="KJF1" s="184"/>
      <c r="KJG1" s="184"/>
      <c r="KJH1" s="184"/>
      <c r="KJI1" s="184"/>
      <c r="KJJ1" s="184"/>
      <c r="KJK1" s="184"/>
      <c r="KJL1" s="184"/>
      <c r="KJM1" s="184"/>
      <c r="KJN1" s="184"/>
      <c r="KJO1" s="184"/>
      <c r="KJP1" s="184"/>
      <c r="KJQ1" s="184"/>
      <c r="KJR1" s="184"/>
      <c r="KJS1" s="184"/>
      <c r="KJT1" s="184"/>
      <c r="KJU1" s="184"/>
      <c r="KJV1" s="184"/>
      <c r="KJW1" s="184"/>
      <c r="KJX1" s="184"/>
      <c r="KJY1" s="184"/>
      <c r="KJZ1" s="184"/>
      <c r="KKA1" s="184"/>
      <c r="KKB1" s="184"/>
      <c r="KKC1" s="184"/>
      <c r="KKD1" s="184"/>
      <c r="KKE1" s="184"/>
      <c r="KKF1" s="184"/>
      <c r="KKG1" s="184"/>
      <c r="KKH1" s="184"/>
      <c r="KKI1" s="184"/>
      <c r="KKJ1" s="184"/>
      <c r="KKK1" s="184"/>
      <c r="KKL1" s="184"/>
      <c r="KKM1" s="184"/>
      <c r="KKN1" s="184"/>
      <c r="KKO1" s="184"/>
      <c r="KKP1" s="184"/>
      <c r="KKQ1" s="184"/>
      <c r="KKR1" s="184"/>
      <c r="KKS1" s="184"/>
      <c r="KKT1" s="184"/>
      <c r="KKU1" s="184"/>
      <c r="KKV1" s="184"/>
      <c r="KKW1" s="184"/>
      <c r="KKX1" s="184"/>
      <c r="KKY1" s="184"/>
      <c r="KKZ1" s="184"/>
      <c r="KLA1" s="184"/>
      <c r="KLB1" s="184"/>
      <c r="KLC1" s="184"/>
      <c r="KLD1" s="184"/>
      <c r="KLE1" s="184"/>
      <c r="KLF1" s="184"/>
      <c r="KLG1" s="184"/>
      <c r="KLH1" s="184"/>
      <c r="KLI1" s="184"/>
      <c r="KLJ1" s="184"/>
      <c r="KLK1" s="184"/>
      <c r="KLL1" s="184"/>
      <c r="KLM1" s="184"/>
      <c r="KLN1" s="184"/>
      <c r="KLO1" s="184"/>
      <c r="KLP1" s="184"/>
      <c r="KLQ1" s="184"/>
      <c r="KLR1" s="184"/>
      <c r="KLS1" s="184"/>
      <c r="KLT1" s="184"/>
      <c r="KLU1" s="184"/>
      <c r="KLV1" s="184"/>
      <c r="KLW1" s="184"/>
      <c r="KLX1" s="184"/>
      <c r="KLY1" s="184"/>
      <c r="KLZ1" s="184"/>
      <c r="KMA1" s="184"/>
      <c r="KMB1" s="184"/>
      <c r="KMC1" s="184"/>
      <c r="KMD1" s="184"/>
      <c r="KME1" s="184"/>
      <c r="KMF1" s="184"/>
      <c r="KMG1" s="184"/>
      <c r="KMH1" s="184"/>
      <c r="KMI1" s="184"/>
      <c r="KMJ1" s="184"/>
      <c r="KMK1" s="184"/>
      <c r="KML1" s="184"/>
      <c r="KMM1" s="184"/>
      <c r="KMN1" s="184"/>
      <c r="KMO1" s="184"/>
      <c r="KMP1" s="184"/>
      <c r="KMQ1" s="184"/>
      <c r="KMR1" s="184"/>
      <c r="KMS1" s="184"/>
      <c r="KMT1" s="184"/>
      <c r="KMU1" s="184"/>
      <c r="KMV1" s="184"/>
      <c r="KMW1" s="184"/>
      <c r="KMX1" s="184"/>
      <c r="KMY1" s="184"/>
      <c r="KMZ1" s="184"/>
      <c r="KNA1" s="184"/>
      <c r="KNB1" s="184"/>
      <c r="KNC1" s="184"/>
      <c r="KND1" s="184"/>
      <c r="KNE1" s="184"/>
      <c r="KNF1" s="184"/>
      <c r="KNG1" s="184"/>
      <c r="KNH1" s="184"/>
      <c r="KNI1" s="184"/>
      <c r="KNJ1" s="184"/>
      <c r="KNK1" s="184"/>
      <c r="KNL1" s="184"/>
      <c r="KNM1" s="184"/>
      <c r="KNN1" s="184"/>
      <c r="KNO1" s="184"/>
      <c r="KNP1" s="184"/>
      <c r="KNQ1" s="184"/>
      <c r="KNR1" s="184"/>
      <c r="KNS1" s="184"/>
      <c r="KNT1" s="184"/>
      <c r="KNU1" s="184"/>
      <c r="KNV1" s="184"/>
      <c r="KNW1" s="184"/>
      <c r="KNX1" s="184"/>
      <c r="KNY1" s="184"/>
      <c r="KNZ1" s="184"/>
      <c r="KOA1" s="184"/>
      <c r="KOB1" s="184"/>
      <c r="KOC1" s="184"/>
      <c r="KOD1" s="184"/>
      <c r="KOE1" s="184"/>
      <c r="KOF1" s="184"/>
      <c r="KOG1" s="184"/>
      <c r="KOH1" s="184"/>
      <c r="KOI1" s="184"/>
      <c r="KOJ1" s="184"/>
      <c r="KOK1" s="184"/>
      <c r="KOL1" s="184"/>
      <c r="KOM1" s="184"/>
      <c r="KON1" s="184"/>
      <c r="KOO1" s="184"/>
      <c r="KOP1" s="184"/>
      <c r="KOQ1" s="184"/>
      <c r="KOR1" s="184"/>
      <c r="KOS1" s="184"/>
      <c r="KOT1" s="184"/>
      <c r="KOU1" s="184"/>
      <c r="KOV1" s="184"/>
      <c r="KOW1" s="184"/>
      <c r="KOX1" s="184"/>
      <c r="KOY1" s="184"/>
      <c r="KOZ1" s="184"/>
      <c r="KPA1" s="184"/>
      <c r="KPB1" s="184"/>
      <c r="KPC1" s="184"/>
      <c r="KPD1" s="184"/>
      <c r="KPE1" s="184"/>
      <c r="KPF1" s="184"/>
      <c r="KPG1" s="184"/>
      <c r="KPH1" s="184"/>
      <c r="KPI1" s="184"/>
      <c r="KPJ1" s="184"/>
      <c r="KPK1" s="184"/>
      <c r="KPL1" s="184"/>
      <c r="KPM1" s="184"/>
      <c r="KPN1" s="184"/>
      <c r="KPO1" s="184"/>
      <c r="KPP1" s="184"/>
      <c r="KPQ1" s="184"/>
      <c r="KPR1" s="184"/>
      <c r="KPS1" s="184"/>
      <c r="KPT1" s="184"/>
      <c r="KPU1" s="184"/>
      <c r="KPV1" s="184"/>
      <c r="KPW1" s="184"/>
      <c r="KPX1" s="184"/>
      <c r="KPY1" s="184"/>
      <c r="KPZ1" s="184"/>
      <c r="KQA1" s="184"/>
      <c r="KQB1" s="184"/>
      <c r="KQC1" s="184"/>
      <c r="KQD1" s="184"/>
      <c r="KQE1" s="184"/>
      <c r="KQF1" s="184"/>
      <c r="KQG1" s="184"/>
      <c r="KQH1" s="184"/>
      <c r="KQI1" s="184"/>
      <c r="KQJ1" s="184"/>
      <c r="KQK1" s="184"/>
      <c r="KQL1" s="184"/>
      <c r="KQM1" s="184"/>
      <c r="KQN1" s="184"/>
      <c r="KQO1" s="184"/>
      <c r="KQP1" s="184"/>
      <c r="KQQ1" s="184"/>
      <c r="KQR1" s="184"/>
      <c r="KQS1" s="184"/>
      <c r="KQT1" s="184"/>
      <c r="KQU1" s="184"/>
      <c r="KQV1" s="184"/>
      <c r="KQW1" s="184"/>
      <c r="KQX1" s="184"/>
      <c r="KQY1" s="184"/>
      <c r="KQZ1" s="184"/>
      <c r="KRA1" s="184"/>
      <c r="KRB1" s="184"/>
      <c r="KRC1" s="184"/>
      <c r="KRD1" s="184"/>
      <c r="KRE1" s="184"/>
      <c r="KRF1" s="184"/>
      <c r="KRG1" s="184"/>
      <c r="KRH1" s="184"/>
      <c r="KRI1" s="184"/>
      <c r="KRJ1" s="184"/>
      <c r="KRK1" s="184"/>
      <c r="KRL1" s="184"/>
      <c r="KRM1" s="184"/>
      <c r="KRN1" s="184"/>
      <c r="KRO1" s="184"/>
      <c r="KRP1" s="184"/>
      <c r="KRQ1" s="184"/>
      <c r="KRR1" s="184"/>
      <c r="KRS1" s="184"/>
      <c r="KRT1" s="184"/>
      <c r="KRU1" s="184"/>
      <c r="KRV1" s="184"/>
      <c r="KRW1" s="184"/>
      <c r="KRX1" s="184"/>
      <c r="KRY1" s="184"/>
      <c r="KRZ1" s="184"/>
      <c r="KSA1" s="184"/>
      <c r="KSB1" s="184"/>
      <c r="KSC1" s="184"/>
      <c r="KSD1" s="184"/>
      <c r="KSE1" s="184"/>
      <c r="KSF1" s="184"/>
      <c r="KSG1" s="184"/>
      <c r="KSH1" s="184"/>
      <c r="KSI1" s="184"/>
      <c r="KSJ1" s="184"/>
      <c r="KSK1" s="184"/>
      <c r="KSL1" s="184"/>
      <c r="KSM1" s="184"/>
      <c r="KSN1" s="184"/>
      <c r="KSO1" s="184"/>
      <c r="KSP1" s="184"/>
      <c r="KSQ1" s="184"/>
      <c r="KSR1" s="184"/>
      <c r="KSS1" s="184"/>
      <c r="KST1" s="184"/>
      <c r="KSU1" s="184"/>
      <c r="KSV1" s="184"/>
      <c r="KSW1" s="184"/>
      <c r="KSX1" s="184"/>
      <c r="KSY1" s="184"/>
      <c r="KSZ1" s="184"/>
      <c r="KTA1" s="184"/>
      <c r="KTB1" s="184"/>
      <c r="KTC1" s="184"/>
      <c r="KTD1" s="184"/>
      <c r="KTE1" s="184"/>
      <c r="KTF1" s="184"/>
      <c r="KTG1" s="184"/>
      <c r="KTH1" s="184"/>
      <c r="KTI1" s="184"/>
      <c r="KTJ1" s="184"/>
      <c r="KTK1" s="184"/>
      <c r="KTL1" s="184"/>
      <c r="KTM1" s="184"/>
      <c r="KTN1" s="184"/>
      <c r="KTO1" s="184"/>
      <c r="KTP1" s="184"/>
      <c r="KTQ1" s="184"/>
      <c r="KTR1" s="184"/>
      <c r="KTS1" s="184"/>
      <c r="KTT1" s="184"/>
      <c r="KTU1" s="184"/>
      <c r="KTV1" s="184"/>
      <c r="KTW1" s="184"/>
      <c r="KTX1" s="184"/>
      <c r="KTY1" s="184"/>
      <c r="KTZ1" s="184"/>
      <c r="KUA1" s="184"/>
      <c r="KUB1" s="184"/>
      <c r="KUC1" s="184"/>
      <c r="KUD1" s="184"/>
      <c r="KUE1" s="184"/>
      <c r="KUF1" s="184"/>
      <c r="KUG1" s="184"/>
      <c r="KUH1" s="184"/>
      <c r="KUI1" s="184"/>
      <c r="KUJ1" s="184"/>
      <c r="KUK1" s="184"/>
      <c r="KUL1" s="184"/>
      <c r="KUM1" s="184"/>
      <c r="KUN1" s="184"/>
      <c r="KUO1" s="184"/>
      <c r="KUP1" s="184"/>
      <c r="KUQ1" s="184"/>
      <c r="KUR1" s="184"/>
      <c r="KUS1" s="184"/>
      <c r="KUT1" s="184"/>
      <c r="KUU1" s="184"/>
      <c r="KUV1" s="184"/>
      <c r="KUW1" s="184"/>
      <c r="KUX1" s="184"/>
      <c r="KUY1" s="184"/>
      <c r="KUZ1" s="184"/>
      <c r="KVA1" s="184"/>
      <c r="KVB1" s="184"/>
      <c r="KVC1" s="184"/>
      <c r="KVD1" s="184"/>
      <c r="KVE1" s="184"/>
      <c r="KVF1" s="184"/>
      <c r="KVG1" s="184"/>
      <c r="KVH1" s="184"/>
      <c r="KVI1" s="184"/>
      <c r="KVJ1" s="184"/>
      <c r="KVK1" s="184"/>
      <c r="KVL1" s="184"/>
      <c r="KVM1" s="184"/>
      <c r="KVN1" s="184"/>
      <c r="KVO1" s="184"/>
      <c r="KVP1" s="184"/>
      <c r="KVQ1" s="184"/>
      <c r="KVR1" s="184"/>
      <c r="KVS1" s="184"/>
      <c r="KVT1" s="184"/>
      <c r="KVU1" s="184"/>
      <c r="KVV1" s="184"/>
      <c r="KVW1" s="184"/>
      <c r="KVX1" s="184"/>
      <c r="KVY1" s="184"/>
      <c r="KVZ1" s="184"/>
      <c r="KWA1" s="184"/>
      <c r="KWB1" s="184"/>
      <c r="KWC1" s="184"/>
      <c r="KWD1" s="184"/>
      <c r="KWE1" s="184"/>
      <c r="KWF1" s="184"/>
      <c r="KWG1" s="184"/>
      <c r="KWH1" s="184"/>
      <c r="KWI1" s="184"/>
      <c r="KWJ1" s="184"/>
      <c r="KWK1" s="184"/>
      <c r="KWL1" s="184"/>
      <c r="KWM1" s="184"/>
      <c r="KWN1" s="184"/>
      <c r="KWO1" s="184"/>
      <c r="KWP1" s="184"/>
      <c r="KWQ1" s="184"/>
      <c r="KWR1" s="184"/>
      <c r="KWS1" s="184"/>
      <c r="KWT1" s="184"/>
      <c r="KWU1" s="184"/>
      <c r="KWV1" s="184"/>
      <c r="KWW1" s="184"/>
      <c r="KWX1" s="184"/>
      <c r="KWY1" s="184"/>
      <c r="KWZ1" s="184"/>
      <c r="KXA1" s="184"/>
      <c r="KXB1" s="184"/>
      <c r="KXC1" s="184"/>
      <c r="KXD1" s="184"/>
      <c r="KXE1" s="184"/>
      <c r="KXF1" s="184"/>
      <c r="KXG1" s="184"/>
      <c r="KXH1" s="184"/>
      <c r="KXI1" s="184"/>
      <c r="KXJ1" s="184"/>
      <c r="KXK1" s="184"/>
      <c r="KXL1" s="184"/>
      <c r="KXM1" s="184"/>
      <c r="KXN1" s="184"/>
      <c r="KXO1" s="184"/>
      <c r="KXP1" s="184"/>
      <c r="KXQ1" s="184"/>
      <c r="KXR1" s="184"/>
      <c r="KXS1" s="184"/>
      <c r="KXT1" s="184"/>
      <c r="KXU1" s="184"/>
      <c r="KXV1" s="184"/>
      <c r="KXW1" s="184"/>
      <c r="KXX1" s="184"/>
      <c r="KXY1" s="184"/>
      <c r="KXZ1" s="184"/>
      <c r="KYA1" s="184"/>
      <c r="KYB1" s="184"/>
      <c r="KYC1" s="184"/>
      <c r="KYD1" s="184"/>
      <c r="KYE1" s="184"/>
      <c r="KYF1" s="184"/>
      <c r="KYG1" s="184"/>
      <c r="KYH1" s="184"/>
      <c r="KYI1" s="184"/>
      <c r="KYJ1" s="184"/>
      <c r="KYK1" s="184"/>
      <c r="KYL1" s="184"/>
      <c r="KYM1" s="184"/>
      <c r="KYN1" s="184"/>
      <c r="KYO1" s="184"/>
      <c r="KYP1" s="184"/>
      <c r="KYQ1" s="184"/>
      <c r="KYR1" s="184"/>
      <c r="KYS1" s="184"/>
      <c r="KYT1" s="184"/>
      <c r="KYU1" s="184"/>
      <c r="KYV1" s="184"/>
      <c r="KYW1" s="184"/>
      <c r="KYX1" s="184"/>
      <c r="KYY1" s="184"/>
      <c r="KYZ1" s="184"/>
      <c r="KZA1" s="184"/>
      <c r="KZB1" s="184"/>
      <c r="KZC1" s="184"/>
      <c r="KZD1" s="184"/>
      <c r="KZE1" s="184"/>
      <c r="KZF1" s="184"/>
      <c r="KZG1" s="184"/>
      <c r="KZH1" s="184"/>
      <c r="KZI1" s="184"/>
      <c r="KZJ1" s="184"/>
      <c r="KZK1" s="184"/>
      <c r="KZL1" s="184"/>
      <c r="KZM1" s="184"/>
      <c r="KZN1" s="184"/>
      <c r="KZO1" s="184"/>
      <c r="KZP1" s="184"/>
      <c r="KZQ1" s="184"/>
      <c r="KZR1" s="184"/>
      <c r="KZS1" s="184"/>
      <c r="KZT1" s="184"/>
      <c r="KZU1" s="184"/>
      <c r="KZV1" s="184"/>
      <c r="KZW1" s="184"/>
      <c r="KZX1" s="184"/>
      <c r="KZY1" s="184"/>
      <c r="KZZ1" s="184"/>
      <c r="LAA1" s="184"/>
      <c r="LAB1" s="184"/>
      <c r="LAC1" s="184"/>
      <c r="LAD1" s="184"/>
      <c r="LAE1" s="184"/>
      <c r="LAF1" s="184"/>
      <c r="LAG1" s="184"/>
      <c r="LAH1" s="184"/>
      <c r="LAI1" s="184"/>
      <c r="LAJ1" s="184"/>
      <c r="LAK1" s="184"/>
      <c r="LAL1" s="184"/>
      <c r="LAM1" s="184"/>
      <c r="LAN1" s="184"/>
      <c r="LAO1" s="184"/>
      <c r="LAP1" s="184"/>
      <c r="LAQ1" s="184"/>
      <c r="LAR1" s="184"/>
      <c r="LAS1" s="184"/>
      <c r="LAT1" s="184"/>
      <c r="LAU1" s="184"/>
      <c r="LAV1" s="184"/>
      <c r="LAW1" s="184"/>
      <c r="LAX1" s="184"/>
      <c r="LAY1" s="184"/>
      <c r="LAZ1" s="184"/>
      <c r="LBA1" s="184"/>
      <c r="LBB1" s="184"/>
      <c r="LBC1" s="184"/>
      <c r="LBD1" s="184"/>
      <c r="LBE1" s="184"/>
      <c r="LBF1" s="184"/>
      <c r="LBG1" s="184"/>
      <c r="LBH1" s="184"/>
      <c r="LBI1" s="184"/>
      <c r="LBJ1" s="184"/>
      <c r="LBK1" s="184"/>
      <c r="LBL1" s="184"/>
      <c r="LBM1" s="184"/>
      <c r="LBN1" s="184"/>
      <c r="LBO1" s="184"/>
      <c r="LBP1" s="184"/>
      <c r="LBQ1" s="184"/>
      <c r="LBR1" s="184"/>
      <c r="LBS1" s="184"/>
      <c r="LBT1" s="184"/>
      <c r="LBU1" s="184"/>
      <c r="LBV1" s="184"/>
      <c r="LBW1" s="184"/>
      <c r="LBX1" s="184"/>
      <c r="LBY1" s="184"/>
      <c r="LBZ1" s="184"/>
      <c r="LCA1" s="184"/>
      <c r="LCB1" s="184"/>
      <c r="LCC1" s="184"/>
      <c r="LCD1" s="184"/>
      <c r="LCE1" s="184"/>
      <c r="LCF1" s="184"/>
      <c r="LCG1" s="184"/>
      <c r="LCH1" s="184"/>
      <c r="LCI1" s="184"/>
      <c r="LCJ1" s="184"/>
      <c r="LCK1" s="184"/>
      <c r="LCL1" s="184"/>
      <c r="LCM1" s="184"/>
      <c r="LCN1" s="184"/>
      <c r="LCO1" s="184"/>
      <c r="LCP1" s="184"/>
      <c r="LCQ1" s="184"/>
      <c r="LCR1" s="184"/>
      <c r="LCS1" s="184"/>
      <c r="LCT1" s="184"/>
      <c r="LCU1" s="184"/>
      <c r="LCV1" s="184"/>
      <c r="LCW1" s="184"/>
      <c r="LCX1" s="184"/>
      <c r="LCY1" s="184"/>
      <c r="LCZ1" s="184"/>
      <c r="LDA1" s="184"/>
      <c r="LDB1" s="184"/>
      <c r="LDC1" s="184"/>
      <c r="LDD1" s="184"/>
      <c r="LDE1" s="184"/>
      <c r="LDF1" s="184"/>
      <c r="LDG1" s="184"/>
      <c r="LDH1" s="184"/>
      <c r="LDI1" s="184"/>
      <c r="LDJ1" s="184"/>
      <c r="LDK1" s="184"/>
      <c r="LDL1" s="184"/>
      <c r="LDM1" s="184"/>
      <c r="LDN1" s="184"/>
      <c r="LDO1" s="184"/>
      <c r="LDP1" s="184"/>
      <c r="LDQ1" s="184"/>
      <c r="LDR1" s="184"/>
      <c r="LDS1" s="184"/>
      <c r="LDT1" s="184"/>
      <c r="LDU1" s="184"/>
      <c r="LDV1" s="184"/>
      <c r="LDW1" s="184"/>
      <c r="LDX1" s="184"/>
      <c r="LDY1" s="184"/>
      <c r="LDZ1" s="184"/>
      <c r="LEA1" s="184"/>
      <c r="LEB1" s="184"/>
      <c r="LEC1" s="184"/>
      <c r="LED1" s="184"/>
      <c r="LEE1" s="184"/>
      <c r="LEF1" s="184"/>
      <c r="LEG1" s="184"/>
      <c r="LEH1" s="184"/>
      <c r="LEI1" s="184"/>
      <c r="LEJ1" s="184"/>
      <c r="LEK1" s="184"/>
      <c r="LEL1" s="184"/>
      <c r="LEM1" s="184"/>
      <c r="LEN1" s="184"/>
      <c r="LEO1" s="184"/>
      <c r="LEP1" s="184"/>
      <c r="LEQ1" s="184"/>
      <c r="LER1" s="184"/>
      <c r="LES1" s="184"/>
      <c r="LET1" s="184"/>
      <c r="LEU1" s="184"/>
      <c r="LEV1" s="184"/>
      <c r="LEW1" s="184"/>
      <c r="LEX1" s="184"/>
      <c r="LEY1" s="184"/>
      <c r="LEZ1" s="184"/>
      <c r="LFA1" s="184"/>
      <c r="LFB1" s="184"/>
      <c r="LFC1" s="184"/>
      <c r="LFD1" s="184"/>
      <c r="LFE1" s="184"/>
      <c r="LFF1" s="184"/>
      <c r="LFG1" s="184"/>
      <c r="LFH1" s="184"/>
      <c r="LFI1" s="184"/>
      <c r="LFJ1" s="184"/>
      <c r="LFK1" s="184"/>
      <c r="LFL1" s="184"/>
      <c r="LFM1" s="184"/>
      <c r="LFN1" s="184"/>
      <c r="LFO1" s="184"/>
      <c r="LFP1" s="184"/>
      <c r="LFQ1" s="184"/>
      <c r="LFR1" s="184"/>
      <c r="LFS1" s="184"/>
      <c r="LFT1" s="184"/>
      <c r="LFU1" s="184"/>
      <c r="LFV1" s="184"/>
      <c r="LFW1" s="184"/>
      <c r="LFX1" s="184"/>
      <c r="LFY1" s="184"/>
      <c r="LFZ1" s="184"/>
      <c r="LGA1" s="184"/>
      <c r="LGB1" s="184"/>
      <c r="LGC1" s="184"/>
      <c r="LGD1" s="184"/>
      <c r="LGE1" s="184"/>
      <c r="LGF1" s="184"/>
      <c r="LGG1" s="184"/>
      <c r="LGH1" s="184"/>
      <c r="LGI1" s="184"/>
      <c r="LGJ1" s="184"/>
      <c r="LGK1" s="184"/>
      <c r="LGL1" s="184"/>
      <c r="LGM1" s="184"/>
      <c r="LGN1" s="184"/>
      <c r="LGO1" s="184"/>
      <c r="LGP1" s="184"/>
      <c r="LGQ1" s="184"/>
      <c r="LGR1" s="184"/>
      <c r="LGS1" s="184"/>
      <c r="LGT1" s="184"/>
      <c r="LGU1" s="184"/>
      <c r="LGV1" s="184"/>
      <c r="LGW1" s="184"/>
      <c r="LGX1" s="184"/>
      <c r="LGY1" s="184"/>
      <c r="LGZ1" s="184"/>
      <c r="LHA1" s="184"/>
      <c r="LHB1" s="184"/>
      <c r="LHC1" s="184"/>
      <c r="LHD1" s="184"/>
      <c r="LHE1" s="184"/>
      <c r="LHF1" s="184"/>
      <c r="LHG1" s="184"/>
      <c r="LHH1" s="184"/>
      <c r="LHI1" s="184"/>
      <c r="LHJ1" s="184"/>
      <c r="LHK1" s="184"/>
      <c r="LHL1" s="184"/>
      <c r="LHM1" s="184"/>
      <c r="LHN1" s="184"/>
      <c r="LHO1" s="184"/>
      <c r="LHP1" s="184"/>
      <c r="LHQ1" s="184"/>
      <c r="LHR1" s="184"/>
      <c r="LHS1" s="184"/>
      <c r="LHT1" s="184"/>
      <c r="LHU1" s="184"/>
      <c r="LHV1" s="184"/>
      <c r="LHW1" s="184"/>
      <c r="LHX1" s="184"/>
      <c r="LHY1" s="184"/>
      <c r="LHZ1" s="184"/>
      <c r="LIA1" s="184"/>
      <c r="LIB1" s="184"/>
      <c r="LIC1" s="184"/>
      <c r="LID1" s="184"/>
      <c r="LIE1" s="184"/>
      <c r="LIF1" s="184"/>
      <c r="LIG1" s="184"/>
      <c r="LIH1" s="184"/>
      <c r="LII1" s="184"/>
      <c r="LIJ1" s="184"/>
      <c r="LIK1" s="184"/>
      <c r="LIL1" s="184"/>
      <c r="LIM1" s="184"/>
      <c r="LIN1" s="184"/>
      <c r="LIO1" s="184"/>
      <c r="LIP1" s="184"/>
      <c r="LIQ1" s="184"/>
      <c r="LIR1" s="184"/>
      <c r="LIS1" s="184"/>
      <c r="LIT1" s="184"/>
      <c r="LIU1" s="184"/>
      <c r="LIV1" s="184"/>
      <c r="LIW1" s="184"/>
      <c r="LIX1" s="184"/>
      <c r="LIY1" s="184"/>
      <c r="LIZ1" s="184"/>
      <c r="LJA1" s="184"/>
      <c r="LJB1" s="184"/>
      <c r="LJC1" s="184"/>
      <c r="LJD1" s="184"/>
      <c r="LJE1" s="184"/>
      <c r="LJF1" s="184"/>
      <c r="LJG1" s="184"/>
      <c r="LJH1" s="184"/>
      <c r="LJI1" s="184"/>
      <c r="LJJ1" s="184"/>
      <c r="LJK1" s="184"/>
      <c r="LJL1" s="184"/>
      <c r="LJM1" s="184"/>
      <c r="LJN1" s="184"/>
      <c r="LJO1" s="184"/>
      <c r="LJP1" s="184"/>
      <c r="LJQ1" s="184"/>
      <c r="LJR1" s="184"/>
      <c r="LJS1" s="184"/>
      <c r="LJT1" s="184"/>
      <c r="LJU1" s="184"/>
      <c r="LJV1" s="184"/>
      <c r="LJW1" s="184"/>
      <c r="LJX1" s="184"/>
      <c r="LJY1" s="184"/>
      <c r="LJZ1" s="184"/>
      <c r="LKA1" s="184"/>
      <c r="LKB1" s="184"/>
      <c r="LKC1" s="184"/>
      <c r="LKD1" s="184"/>
      <c r="LKE1" s="184"/>
      <c r="LKF1" s="184"/>
      <c r="LKG1" s="184"/>
      <c r="LKH1" s="184"/>
      <c r="LKI1" s="184"/>
      <c r="LKJ1" s="184"/>
      <c r="LKK1" s="184"/>
      <c r="LKL1" s="184"/>
      <c r="LKM1" s="184"/>
      <c r="LKN1" s="184"/>
      <c r="LKO1" s="184"/>
      <c r="LKP1" s="184"/>
      <c r="LKQ1" s="184"/>
      <c r="LKR1" s="184"/>
      <c r="LKS1" s="184"/>
      <c r="LKT1" s="184"/>
      <c r="LKU1" s="184"/>
      <c r="LKV1" s="184"/>
      <c r="LKW1" s="184"/>
      <c r="LKX1" s="184"/>
      <c r="LKY1" s="184"/>
      <c r="LKZ1" s="184"/>
      <c r="LLA1" s="184"/>
      <c r="LLB1" s="184"/>
      <c r="LLC1" s="184"/>
      <c r="LLD1" s="184"/>
      <c r="LLE1" s="184"/>
      <c r="LLF1" s="184"/>
      <c r="LLG1" s="184"/>
      <c r="LLH1" s="184"/>
      <c r="LLI1" s="184"/>
      <c r="LLJ1" s="184"/>
      <c r="LLK1" s="184"/>
      <c r="LLL1" s="184"/>
      <c r="LLM1" s="184"/>
      <c r="LLN1" s="184"/>
      <c r="LLO1" s="184"/>
      <c r="LLP1" s="184"/>
      <c r="LLQ1" s="184"/>
      <c r="LLR1" s="184"/>
      <c r="LLS1" s="184"/>
      <c r="LLT1" s="184"/>
      <c r="LLU1" s="184"/>
      <c r="LLV1" s="184"/>
      <c r="LLW1" s="184"/>
      <c r="LLX1" s="184"/>
      <c r="LLY1" s="184"/>
      <c r="LLZ1" s="184"/>
      <c r="LMA1" s="184"/>
      <c r="LMB1" s="184"/>
      <c r="LMC1" s="184"/>
      <c r="LMD1" s="184"/>
      <c r="LME1" s="184"/>
      <c r="LMF1" s="184"/>
      <c r="LMG1" s="184"/>
      <c r="LMH1" s="184"/>
      <c r="LMI1" s="184"/>
      <c r="LMJ1" s="184"/>
      <c r="LMK1" s="184"/>
      <c r="LML1" s="184"/>
      <c r="LMM1" s="184"/>
      <c r="LMN1" s="184"/>
      <c r="LMO1" s="184"/>
      <c r="LMP1" s="184"/>
      <c r="LMQ1" s="184"/>
      <c r="LMR1" s="184"/>
      <c r="LMS1" s="184"/>
      <c r="LMT1" s="184"/>
      <c r="LMU1" s="184"/>
      <c r="LMV1" s="184"/>
      <c r="LMW1" s="184"/>
      <c r="LMX1" s="184"/>
      <c r="LMY1" s="184"/>
      <c r="LMZ1" s="184"/>
      <c r="LNA1" s="184"/>
      <c r="LNB1" s="184"/>
      <c r="LNC1" s="184"/>
      <c r="LND1" s="184"/>
      <c r="LNE1" s="184"/>
      <c r="LNF1" s="184"/>
      <c r="LNG1" s="184"/>
      <c r="LNH1" s="184"/>
      <c r="LNI1" s="184"/>
      <c r="LNJ1" s="184"/>
      <c r="LNK1" s="184"/>
      <c r="LNL1" s="184"/>
      <c r="LNM1" s="184"/>
      <c r="LNN1" s="184"/>
      <c r="LNO1" s="184"/>
      <c r="LNP1" s="184"/>
      <c r="LNQ1" s="184"/>
      <c r="LNR1" s="184"/>
      <c r="LNS1" s="184"/>
      <c r="LNT1" s="184"/>
      <c r="LNU1" s="184"/>
      <c r="LNV1" s="184"/>
      <c r="LNW1" s="184"/>
      <c r="LNX1" s="184"/>
      <c r="LNY1" s="184"/>
      <c r="LNZ1" s="184"/>
      <c r="LOA1" s="184"/>
      <c r="LOB1" s="184"/>
      <c r="LOC1" s="184"/>
      <c r="LOD1" s="184"/>
      <c r="LOE1" s="184"/>
      <c r="LOF1" s="184"/>
      <c r="LOG1" s="184"/>
      <c r="LOH1" s="184"/>
      <c r="LOI1" s="184"/>
      <c r="LOJ1" s="184"/>
      <c r="LOK1" s="184"/>
      <c r="LOL1" s="184"/>
      <c r="LOM1" s="184"/>
      <c r="LON1" s="184"/>
      <c r="LOO1" s="184"/>
      <c r="LOP1" s="184"/>
      <c r="LOQ1" s="184"/>
      <c r="LOR1" s="184"/>
      <c r="LOS1" s="184"/>
      <c r="LOT1" s="184"/>
      <c r="LOU1" s="184"/>
      <c r="LOV1" s="184"/>
      <c r="LOW1" s="184"/>
      <c r="LOX1" s="184"/>
      <c r="LOY1" s="184"/>
      <c r="LOZ1" s="184"/>
      <c r="LPA1" s="184"/>
      <c r="LPB1" s="184"/>
      <c r="LPC1" s="184"/>
      <c r="LPD1" s="184"/>
      <c r="LPE1" s="184"/>
      <c r="LPF1" s="184"/>
      <c r="LPG1" s="184"/>
      <c r="LPH1" s="184"/>
      <c r="LPI1" s="184"/>
      <c r="LPJ1" s="184"/>
      <c r="LPK1" s="184"/>
      <c r="LPL1" s="184"/>
      <c r="LPM1" s="184"/>
      <c r="LPN1" s="184"/>
      <c r="LPO1" s="184"/>
      <c r="LPP1" s="184"/>
      <c r="LPQ1" s="184"/>
      <c r="LPR1" s="184"/>
      <c r="LPS1" s="184"/>
      <c r="LPT1" s="184"/>
      <c r="LPU1" s="184"/>
      <c r="LPV1" s="184"/>
      <c r="LPW1" s="184"/>
      <c r="LPX1" s="184"/>
      <c r="LPY1" s="184"/>
      <c r="LPZ1" s="184"/>
      <c r="LQA1" s="184"/>
      <c r="LQB1" s="184"/>
      <c r="LQC1" s="184"/>
      <c r="LQD1" s="184"/>
      <c r="LQE1" s="184"/>
      <c r="LQF1" s="184"/>
      <c r="LQG1" s="184"/>
      <c r="LQH1" s="184"/>
      <c r="LQI1" s="184"/>
      <c r="LQJ1" s="184"/>
      <c r="LQK1" s="184"/>
      <c r="LQL1" s="184"/>
      <c r="LQM1" s="184"/>
      <c r="LQN1" s="184"/>
      <c r="LQO1" s="184"/>
      <c r="LQP1" s="184"/>
      <c r="LQQ1" s="184"/>
      <c r="LQR1" s="184"/>
      <c r="LQS1" s="184"/>
      <c r="LQT1" s="184"/>
      <c r="LQU1" s="184"/>
      <c r="LQV1" s="184"/>
      <c r="LQW1" s="184"/>
      <c r="LQX1" s="184"/>
      <c r="LQY1" s="184"/>
      <c r="LQZ1" s="184"/>
      <c r="LRA1" s="184"/>
      <c r="LRB1" s="184"/>
      <c r="LRC1" s="184"/>
      <c r="LRD1" s="184"/>
      <c r="LRE1" s="184"/>
      <c r="LRF1" s="184"/>
      <c r="LRG1" s="184"/>
      <c r="LRH1" s="184"/>
      <c r="LRI1" s="184"/>
      <c r="LRJ1" s="184"/>
      <c r="LRK1" s="184"/>
      <c r="LRL1" s="184"/>
      <c r="LRM1" s="184"/>
      <c r="LRN1" s="184"/>
      <c r="LRO1" s="184"/>
      <c r="LRP1" s="184"/>
      <c r="LRQ1" s="184"/>
      <c r="LRR1" s="184"/>
      <c r="LRS1" s="184"/>
      <c r="LRT1" s="184"/>
      <c r="LRU1" s="184"/>
      <c r="LRV1" s="184"/>
      <c r="LRW1" s="184"/>
      <c r="LRX1" s="184"/>
      <c r="LRY1" s="184"/>
      <c r="LRZ1" s="184"/>
      <c r="LSA1" s="184"/>
      <c r="LSB1" s="184"/>
      <c r="LSC1" s="184"/>
      <c r="LSD1" s="184"/>
      <c r="LSE1" s="184"/>
      <c r="LSF1" s="184"/>
      <c r="LSG1" s="184"/>
      <c r="LSH1" s="184"/>
      <c r="LSI1" s="184"/>
      <c r="LSJ1" s="184"/>
      <c r="LSK1" s="184"/>
      <c r="LSL1" s="184"/>
      <c r="LSM1" s="184"/>
      <c r="LSN1" s="184"/>
      <c r="LSO1" s="184"/>
      <c r="LSP1" s="184"/>
      <c r="LSQ1" s="184"/>
      <c r="LSR1" s="184"/>
      <c r="LSS1" s="184"/>
      <c r="LST1" s="184"/>
      <c r="LSU1" s="184"/>
      <c r="LSV1" s="184"/>
      <c r="LSW1" s="184"/>
      <c r="LSX1" s="184"/>
      <c r="LSY1" s="184"/>
      <c r="LSZ1" s="184"/>
      <c r="LTA1" s="184"/>
      <c r="LTB1" s="184"/>
      <c r="LTC1" s="184"/>
      <c r="LTD1" s="184"/>
      <c r="LTE1" s="184"/>
      <c r="LTF1" s="184"/>
      <c r="LTG1" s="184"/>
      <c r="LTH1" s="184"/>
      <c r="LTI1" s="184"/>
      <c r="LTJ1" s="184"/>
      <c r="LTK1" s="184"/>
      <c r="LTL1" s="184"/>
      <c r="LTM1" s="184"/>
      <c r="LTN1" s="184"/>
      <c r="LTO1" s="184"/>
      <c r="LTP1" s="184"/>
      <c r="LTQ1" s="184"/>
      <c r="LTR1" s="184"/>
      <c r="LTS1" s="184"/>
      <c r="LTT1" s="184"/>
      <c r="LTU1" s="184"/>
      <c r="LTV1" s="184"/>
      <c r="LTW1" s="184"/>
      <c r="LTX1" s="184"/>
      <c r="LTY1" s="184"/>
      <c r="LTZ1" s="184"/>
      <c r="LUA1" s="184"/>
      <c r="LUB1" s="184"/>
      <c r="LUC1" s="184"/>
      <c r="LUD1" s="184"/>
      <c r="LUE1" s="184"/>
      <c r="LUF1" s="184"/>
      <c r="LUG1" s="184"/>
      <c r="LUH1" s="184"/>
      <c r="LUI1" s="184"/>
      <c r="LUJ1" s="184"/>
      <c r="LUK1" s="184"/>
      <c r="LUL1" s="184"/>
      <c r="LUM1" s="184"/>
      <c r="LUN1" s="184"/>
      <c r="LUO1" s="184"/>
      <c r="LUP1" s="184"/>
      <c r="LUQ1" s="184"/>
      <c r="LUR1" s="184"/>
      <c r="LUS1" s="184"/>
      <c r="LUT1" s="184"/>
      <c r="LUU1" s="184"/>
      <c r="LUV1" s="184"/>
      <c r="LUW1" s="184"/>
      <c r="LUX1" s="184"/>
      <c r="LUY1" s="184"/>
      <c r="LUZ1" s="184"/>
      <c r="LVA1" s="184"/>
      <c r="LVB1" s="184"/>
      <c r="LVC1" s="184"/>
      <c r="LVD1" s="184"/>
      <c r="LVE1" s="184"/>
      <c r="LVF1" s="184"/>
      <c r="LVG1" s="184"/>
      <c r="LVH1" s="184"/>
      <c r="LVI1" s="184"/>
      <c r="LVJ1" s="184"/>
      <c r="LVK1" s="184"/>
      <c r="LVL1" s="184"/>
      <c r="LVM1" s="184"/>
      <c r="LVN1" s="184"/>
      <c r="LVO1" s="184"/>
      <c r="LVP1" s="184"/>
      <c r="LVQ1" s="184"/>
      <c r="LVR1" s="184"/>
      <c r="LVS1" s="184"/>
      <c r="LVT1" s="184"/>
      <c r="LVU1" s="184"/>
      <c r="LVV1" s="184"/>
      <c r="LVW1" s="184"/>
      <c r="LVX1" s="184"/>
      <c r="LVY1" s="184"/>
      <c r="LVZ1" s="184"/>
      <c r="LWA1" s="184"/>
      <c r="LWB1" s="184"/>
      <c r="LWC1" s="184"/>
      <c r="LWD1" s="184"/>
      <c r="LWE1" s="184"/>
      <c r="LWF1" s="184"/>
      <c r="LWG1" s="184"/>
      <c r="LWH1" s="184"/>
      <c r="LWI1" s="184"/>
      <c r="LWJ1" s="184"/>
      <c r="LWK1" s="184"/>
      <c r="LWL1" s="184"/>
      <c r="LWM1" s="184"/>
      <c r="LWN1" s="184"/>
      <c r="LWO1" s="184"/>
      <c r="LWP1" s="184"/>
      <c r="LWQ1" s="184"/>
      <c r="LWR1" s="184"/>
      <c r="LWS1" s="184"/>
      <c r="LWT1" s="184"/>
      <c r="LWU1" s="184"/>
      <c r="LWV1" s="184"/>
      <c r="LWW1" s="184"/>
      <c r="LWX1" s="184"/>
      <c r="LWY1" s="184"/>
      <c r="LWZ1" s="184"/>
      <c r="LXA1" s="184"/>
      <c r="LXB1" s="184"/>
      <c r="LXC1" s="184"/>
      <c r="LXD1" s="184"/>
      <c r="LXE1" s="184"/>
      <c r="LXF1" s="184"/>
      <c r="LXG1" s="184"/>
      <c r="LXH1" s="184"/>
      <c r="LXI1" s="184"/>
      <c r="LXJ1" s="184"/>
      <c r="LXK1" s="184"/>
      <c r="LXL1" s="184"/>
      <c r="LXM1" s="184"/>
      <c r="LXN1" s="184"/>
      <c r="LXO1" s="184"/>
      <c r="LXP1" s="184"/>
      <c r="LXQ1" s="184"/>
      <c r="LXR1" s="184"/>
      <c r="LXS1" s="184"/>
      <c r="LXT1" s="184"/>
      <c r="LXU1" s="184"/>
      <c r="LXV1" s="184"/>
      <c r="LXW1" s="184"/>
      <c r="LXX1" s="184"/>
      <c r="LXY1" s="184"/>
      <c r="LXZ1" s="184"/>
      <c r="LYA1" s="184"/>
      <c r="LYB1" s="184"/>
      <c r="LYC1" s="184"/>
      <c r="LYD1" s="184"/>
      <c r="LYE1" s="184"/>
      <c r="LYF1" s="184"/>
      <c r="LYG1" s="184"/>
      <c r="LYH1" s="184"/>
      <c r="LYI1" s="184"/>
      <c r="LYJ1" s="184"/>
      <c r="LYK1" s="184"/>
      <c r="LYL1" s="184"/>
      <c r="LYM1" s="184"/>
      <c r="LYN1" s="184"/>
      <c r="LYO1" s="184"/>
      <c r="LYP1" s="184"/>
      <c r="LYQ1" s="184"/>
      <c r="LYR1" s="184"/>
      <c r="LYS1" s="184"/>
      <c r="LYT1" s="184"/>
      <c r="LYU1" s="184"/>
      <c r="LYV1" s="184"/>
      <c r="LYW1" s="184"/>
      <c r="LYX1" s="184"/>
      <c r="LYY1" s="184"/>
      <c r="LYZ1" s="184"/>
      <c r="LZA1" s="184"/>
      <c r="LZB1" s="184"/>
      <c r="LZC1" s="184"/>
      <c r="LZD1" s="184"/>
      <c r="LZE1" s="184"/>
      <c r="LZF1" s="184"/>
      <c r="LZG1" s="184"/>
      <c r="LZH1" s="184"/>
      <c r="LZI1" s="184"/>
      <c r="LZJ1" s="184"/>
      <c r="LZK1" s="184"/>
      <c r="LZL1" s="184"/>
      <c r="LZM1" s="184"/>
      <c r="LZN1" s="184"/>
      <c r="LZO1" s="184"/>
      <c r="LZP1" s="184"/>
      <c r="LZQ1" s="184"/>
      <c r="LZR1" s="184"/>
      <c r="LZS1" s="184"/>
      <c r="LZT1" s="184"/>
      <c r="LZU1" s="184"/>
      <c r="LZV1" s="184"/>
      <c r="LZW1" s="184"/>
      <c r="LZX1" s="184"/>
      <c r="LZY1" s="184"/>
      <c r="LZZ1" s="184"/>
      <c r="MAA1" s="184"/>
      <c r="MAB1" s="184"/>
      <c r="MAC1" s="184"/>
      <c r="MAD1" s="184"/>
      <c r="MAE1" s="184"/>
      <c r="MAF1" s="184"/>
      <c r="MAG1" s="184"/>
      <c r="MAH1" s="184"/>
      <c r="MAI1" s="184"/>
      <c r="MAJ1" s="184"/>
      <c r="MAK1" s="184"/>
      <c r="MAL1" s="184"/>
      <c r="MAM1" s="184"/>
      <c r="MAN1" s="184"/>
      <c r="MAO1" s="184"/>
      <c r="MAP1" s="184"/>
      <c r="MAQ1" s="184"/>
      <c r="MAR1" s="184"/>
      <c r="MAS1" s="184"/>
      <c r="MAT1" s="184"/>
      <c r="MAU1" s="184"/>
      <c r="MAV1" s="184"/>
      <c r="MAW1" s="184"/>
      <c r="MAX1" s="184"/>
      <c r="MAY1" s="184"/>
      <c r="MAZ1" s="184"/>
      <c r="MBA1" s="184"/>
      <c r="MBB1" s="184"/>
      <c r="MBC1" s="184"/>
      <c r="MBD1" s="184"/>
      <c r="MBE1" s="184"/>
      <c r="MBF1" s="184"/>
      <c r="MBG1" s="184"/>
      <c r="MBH1" s="184"/>
      <c r="MBI1" s="184"/>
      <c r="MBJ1" s="184"/>
      <c r="MBK1" s="184"/>
      <c r="MBL1" s="184"/>
      <c r="MBM1" s="184"/>
      <c r="MBN1" s="184"/>
      <c r="MBO1" s="184"/>
      <c r="MBP1" s="184"/>
      <c r="MBQ1" s="184"/>
      <c r="MBR1" s="184"/>
      <c r="MBS1" s="184"/>
      <c r="MBT1" s="184"/>
      <c r="MBU1" s="184"/>
      <c r="MBV1" s="184"/>
      <c r="MBW1" s="184"/>
      <c r="MBX1" s="184"/>
      <c r="MBY1" s="184"/>
      <c r="MBZ1" s="184"/>
      <c r="MCA1" s="184"/>
      <c r="MCB1" s="184"/>
      <c r="MCC1" s="184"/>
      <c r="MCD1" s="184"/>
      <c r="MCE1" s="184"/>
      <c r="MCF1" s="184"/>
      <c r="MCG1" s="184"/>
      <c r="MCH1" s="184"/>
      <c r="MCI1" s="184"/>
      <c r="MCJ1" s="184"/>
      <c r="MCK1" s="184"/>
      <c r="MCL1" s="184"/>
      <c r="MCM1" s="184"/>
      <c r="MCN1" s="184"/>
      <c r="MCO1" s="184"/>
      <c r="MCP1" s="184"/>
      <c r="MCQ1" s="184"/>
      <c r="MCR1" s="184"/>
      <c r="MCS1" s="184"/>
      <c r="MCT1" s="184"/>
      <c r="MCU1" s="184"/>
      <c r="MCV1" s="184"/>
      <c r="MCW1" s="184"/>
      <c r="MCX1" s="184"/>
      <c r="MCY1" s="184"/>
      <c r="MCZ1" s="184"/>
      <c r="MDA1" s="184"/>
      <c r="MDB1" s="184"/>
      <c r="MDC1" s="184"/>
      <c r="MDD1" s="184"/>
      <c r="MDE1" s="184"/>
      <c r="MDF1" s="184"/>
      <c r="MDG1" s="184"/>
      <c r="MDH1" s="184"/>
      <c r="MDI1" s="184"/>
      <c r="MDJ1" s="184"/>
      <c r="MDK1" s="184"/>
      <c r="MDL1" s="184"/>
      <c r="MDM1" s="184"/>
      <c r="MDN1" s="184"/>
      <c r="MDO1" s="184"/>
      <c r="MDP1" s="184"/>
      <c r="MDQ1" s="184"/>
      <c r="MDR1" s="184"/>
      <c r="MDS1" s="184"/>
      <c r="MDT1" s="184"/>
      <c r="MDU1" s="184"/>
      <c r="MDV1" s="184"/>
      <c r="MDW1" s="184"/>
      <c r="MDX1" s="184"/>
      <c r="MDY1" s="184"/>
      <c r="MDZ1" s="184"/>
      <c r="MEA1" s="184"/>
      <c r="MEB1" s="184"/>
      <c r="MEC1" s="184"/>
      <c r="MED1" s="184"/>
      <c r="MEE1" s="184"/>
      <c r="MEF1" s="184"/>
      <c r="MEG1" s="184"/>
      <c r="MEH1" s="184"/>
      <c r="MEI1" s="184"/>
      <c r="MEJ1" s="184"/>
      <c r="MEK1" s="184"/>
      <c r="MEL1" s="184"/>
      <c r="MEM1" s="184"/>
      <c r="MEN1" s="184"/>
      <c r="MEO1" s="184"/>
      <c r="MEP1" s="184"/>
      <c r="MEQ1" s="184"/>
      <c r="MER1" s="184"/>
      <c r="MES1" s="184"/>
      <c r="MET1" s="184"/>
      <c r="MEU1" s="184"/>
      <c r="MEV1" s="184"/>
      <c r="MEW1" s="184"/>
      <c r="MEX1" s="184"/>
      <c r="MEY1" s="184"/>
      <c r="MEZ1" s="184"/>
      <c r="MFA1" s="184"/>
      <c r="MFB1" s="184"/>
      <c r="MFC1" s="184"/>
      <c r="MFD1" s="184"/>
      <c r="MFE1" s="184"/>
      <c r="MFF1" s="184"/>
      <c r="MFG1" s="184"/>
      <c r="MFH1" s="184"/>
      <c r="MFI1" s="184"/>
      <c r="MFJ1" s="184"/>
      <c r="MFK1" s="184"/>
      <c r="MFL1" s="184"/>
      <c r="MFM1" s="184"/>
      <c r="MFN1" s="184"/>
      <c r="MFO1" s="184"/>
      <c r="MFP1" s="184"/>
      <c r="MFQ1" s="184"/>
      <c r="MFR1" s="184"/>
      <c r="MFS1" s="184"/>
      <c r="MFT1" s="184"/>
      <c r="MFU1" s="184"/>
      <c r="MFV1" s="184"/>
      <c r="MFW1" s="184"/>
      <c r="MFX1" s="184"/>
      <c r="MFY1" s="184"/>
      <c r="MFZ1" s="184"/>
      <c r="MGA1" s="184"/>
      <c r="MGB1" s="184"/>
      <c r="MGC1" s="184"/>
      <c r="MGD1" s="184"/>
      <c r="MGE1" s="184"/>
      <c r="MGF1" s="184"/>
      <c r="MGG1" s="184"/>
      <c r="MGH1" s="184"/>
      <c r="MGI1" s="184"/>
      <c r="MGJ1" s="184"/>
      <c r="MGK1" s="184"/>
      <c r="MGL1" s="184"/>
      <c r="MGM1" s="184"/>
      <c r="MGN1" s="184"/>
      <c r="MGO1" s="184"/>
      <c r="MGP1" s="184"/>
      <c r="MGQ1" s="184"/>
      <c r="MGR1" s="184"/>
      <c r="MGS1" s="184"/>
      <c r="MGT1" s="184"/>
      <c r="MGU1" s="184"/>
      <c r="MGV1" s="184"/>
      <c r="MGW1" s="184"/>
      <c r="MGX1" s="184"/>
      <c r="MGY1" s="184"/>
      <c r="MGZ1" s="184"/>
      <c r="MHA1" s="184"/>
      <c r="MHB1" s="184"/>
      <c r="MHC1" s="184"/>
      <c r="MHD1" s="184"/>
      <c r="MHE1" s="184"/>
      <c r="MHF1" s="184"/>
      <c r="MHG1" s="184"/>
      <c r="MHH1" s="184"/>
      <c r="MHI1" s="184"/>
      <c r="MHJ1" s="184"/>
      <c r="MHK1" s="184"/>
      <c r="MHL1" s="184"/>
      <c r="MHM1" s="184"/>
      <c r="MHN1" s="184"/>
      <c r="MHO1" s="184"/>
      <c r="MHP1" s="184"/>
      <c r="MHQ1" s="184"/>
      <c r="MHR1" s="184"/>
      <c r="MHS1" s="184"/>
      <c r="MHT1" s="184"/>
      <c r="MHU1" s="184"/>
      <c r="MHV1" s="184"/>
      <c r="MHW1" s="184"/>
      <c r="MHX1" s="184"/>
      <c r="MHY1" s="184"/>
      <c r="MHZ1" s="184"/>
      <c r="MIA1" s="184"/>
      <c r="MIB1" s="184"/>
      <c r="MIC1" s="184"/>
      <c r="MID1" s="184"/>
      <c r="MIE1" s="184"/>
      <c r="MIF1" s="184"/>
      <c r="MIG1" s="184"/>
      <c r="MIH1" s="184"/>
      <c r="MII1" s="184"/>
      <c r="MIJ1" s="184"/>
      <c r="MIK1" s="184"/>
      <c r="MIL1" s="184"/>
      <c r="MIM1" s="184"/>
      <c r="MIN1" s="184"/>
      <c r="MIO1" s="184"/>
      <c r="MIP1" s="184"/>
      <c r="MIQ1" s="184"/>
      <c r="MIR1" s="184"/>
      <c r="MIS1" s="184"/>
      <c r="MIT1" s="184"/>
      <c r="MIU1" s="184"/>
      <c r="MIV1" s="184"/>
      <c r="MIW1" s="184"/>
      <c r="MIX1" s="184"/>
      <c r="MIY1" s="184"/>
      <c r="MIZ1" s="184"/>
      <c r="MJA1" s="184"/>
      <c r="MJB1" s="184"/>
      <c r="MJC1" s="184"/>
      <c r="MJD1" s="184"/>
      <c r="MJE1" s="184"/>
      <c r="MJF1" s="184"/>
      <c r="MJG1" s="184"/>
      <c r="MJH1" s="184"/>
      <c r="MJI1" s="184"/>
      <c r="MJJ1" s="184"/>
      <c r="MJK1" s="184"/>
      <c r="MJL1" s="184"/>
      <c r="MJM1" s="184"/>
      <c r="MJN1" s="184"/>
      <c r="MJO1" s="184"/>
      <c r="MJP1" s="184"/>
      <c r="MJQ1" s="184"/>
      <c r="MJR1" s="184"/>
      <c r="MJS1" s="184"/>
      <c r="MJT1" s="184"/>
      <c r="MJU1" s="184"/>
      <c r="MJV1" s="184"/>
      <c r="MJW1" s="184"/>
      <c r="MJX1" s="184"/>
      <c r="MJY1" s="184"/>
      <c r="MJZ1" s="184"/>
      <c r="MKA1" s="184"/>
      <c r="MKB1" s="184"/>
      <c r="MKC1" s="184"/>
      <c r="MKD1" s="184"/>
      <c r="MKE1" s="184"/>
      <c r="MKF1" s="184"/>
      <c r="MKG1" s="184"/>
      <c r="MKH1" s="184"/>
      <c r="MKI1" s="184"/>
      <c r="MKJ1" s="184"/>
      <c r="MKK1" s="184"/>
      <c r="MKL1" s="184"/>
      <c r="MKM1" s="184"/>
      <c r="MKN1" s="184"/>
      <c r="MKO1" s="184"/>
      <c r="MKP1" s="184"/>
      <c r="MKQ1" s="184"/>
      <c r="MKR1" s="184"/>
      <c r="MKS1" s="184"/>
      <c r="MKT1" s="184"/>
      <c r="MKU1" s="184"/>
      <c r="MKV1" s="184"/>
      <c r="MKW1" s="184"/>
      <c r="MKX1" s="184"/>
      <c r="MKY1" s="184"/>
      <c r="MKZ1" s="184"/>
      <c r="MLA1" s="184"/>
      <c r="MLB1" s="184"/>
      <c r="MLC1" s="184"/>
      <c r="MLD1" s="184"/>
      <c r="MLE1" s="184"/>
      <c r="MLF1" s="184"/>
      <c r="MLG1" s="184"/>
      <c r="MLH1" s="184"/>
      <c r="MLI1" s="184"/>
      <c r="MLJ1" s="184"/>
      <c r="MLK1" s="184"/>
      <c r="MLL1" s="184"/>
      <c r="MLM1" s="184"/>
      <c r="MLN1" s="184"/>
      <c r="MLO1" s="184"/>
      <c r="MLP1" s="184"/>
      <c r="MLQ1" s="184"/>
      <c r="MLR1" s="184"/>
      <c r="MLS1" s="184"/>
      <c r="MLT1" s="184"/>
      <c r="MLU1" s="184"/>
      <c r="MLV1" s="184"/>
      <c r="MLW1" s="184"/>
      <c r="MLX1" s="184"/>
      <c r="MLY1" s="184"/>
      <c r="MLZ1" s="184"/>
      <c r="MMA1" s="184"/>
      <c r="MMB1" s="184"/>
      <c r="MMC1" s="184"/>
      <c r="MMD1" s="184"/>
      <c r="MME1" s="184"/>
      <c r="MMF1" s="184"/>
      <c r="MMG1" s="184"/>
      <c r="MMH1" s="184"/>
      <c r="MMI1" s="184"/>
      <c r="MMJ1" s="184"/>
      <c r="MMK1" s="184"/>
      <c r="MML1" s="184"/>
      <c r="MMM1" s="184"/>
      <c r="MMN1" s="184"/>
      <c r="MMO1" s="184"/>
      <c r="MMP1" s="184"/>
      <c r="MMQ1" s="184"/>
      <c r="MMR1" s="184"/>
      <c r="MMS1" s="184"/>
      <c r="MMT1" s="184"/>
      <c r="MMU1" s="184"/>
      <c r="MMV1" s="184"/>
      <c r="MMW1" s="184"/>
      <c r="MMX1" s="184"/>
      <c r="MMY1" s="184"/>
      <c r="MMZ1" s="184"/>
      <c r="MNA1" s="184"/>
      <c r="MNB1" s="184"/>
      <c r="MNC1" s="184"/>
      <c r="MND1" s="184"/>
      <c r="MNE1" s="184"/>
      <c r="MNF1" s="184"/>
      <c r="MNG1" s="184"/>
      <c r="MNH1" s="184"/>
      <c r="MNI1" s="184"/>
      <c r="MNJ1" s="184"/>
      <c r="MNK1" s="184"/>
      <c r="MNL1" s="184"/>
      <c r="MNM1" s="184"/>
      <c r="MNN1" s="184"/>
      <c r="MNO1" s="184"/>
      <c r="MNP1" s="184"/>
      <c r="MNQ1" s="184"/>
      <c r="MNR1" s="184"/>
      <c r="MNS1" s="184"/>
      <c r="MNT1" s="184"/>
      <c r="MNU1" s="184"/>
      <c r="MNV1" s="184"/>
      <c r="MNW1" s="184"/>
      <c r="MNX1" s="184"/>
      <c r="MNY1" s="184"/>
      <c r="MNZ1" s="184"/>
      <c r="MOA1" s="184"/>
      <c r="MOB1" s="184"/>
      <c r="MOC1" s="184"/>
      <c r="MOD1" s="184"/>
      <c r="MOE1" s="184"/>
      <c r="MOF1" s="184"/>
      <c r="MOG1" s="184"/>
      <c r="MOH1" s="184"/>
      <c r="MOI1" s="184"/>
      <c r="MOJ1" s="184"/>
      <c r="MOK1" s="184"/>
      <c r="MOL1" s="184"/>
      <c r="MOM1" s="184"/>
      <c r="MON1" s="184"/>
      <c r="MOO1" s="184"/>
      <c r="MOP1" s="184"/>
      <c r="MOQ1" s="184"/>
      <c r="MOR1" s="184"/>
      <c r="MOS1" s="184"/>
      <c r="MOT1" s="184"/>
      <c r="MOU1" s="184"/>
      <c r="MOV1" s="184"/>
      <c r="MOW1" s="184"/>
      <c r="MOX1" s="184"/>
      <c r="MOY1" s="184"/>
      <c r="MOZ1" s="184"/>
      <c r="MPA1" s="184"/>
      <c r="MPB1" s="184"/>
      <c r="MPC1" s="184"/>
      <c r="MPD1" s="184"/>
      <c r="MPE1" s="184"/>
      <c r="MPF1" s="184"/>
      <c r="MPG1" s="184"/>
      <c r="MPH1" s="184"/>
      <c r="MPI1" s="184"/>
      <c r="MPJ1" s="184"/>
      <c r="MPK1" s="184"/>
      <c r="MPL1" s="184"/>
      <c r="MPM1" s="184"/>
      <c r="MPN1" s="184"/>
      <c r="MPO1" s="184"/>
      <c r="MPP1" s="184"/>
      <c r="MPQ1" s="184"/>
      <c r="MPR1" s="184"/>
      <c r="MPS1" s="184"/>
      <c r="MPT1" s="184"/>
      <c r="MPU1" s="184"/>
      <c r="MPV1" s="184"/>
      <c r="MPW1" s="184"/>
      <c r="MPX1" s="184"/>
      <c r="MPY1" s="184"/>
      <c r="MPZ1" s="184"/>
      <c r="MQA1" s="184"/>
      <c r="MQB1" s="184"/>
      <c r="MQC1" s="184"/>
      <c r="MQD1" s="184"/>
      <c r="MQE1" s="184"/>
      <c r="MQF1" s="184"/>
      <c r="MQG1" s="184"/>
      <c r="MQH1" s="184"/>
      <c r="MQI1" s="184"/>
      <c r="MQJ1" s="184"/>
      <c r="MQK1" s="184"/>
      <c r="MQL1" s="184"/>
      <c r="MQM1" s="184"/>
      <c r="MQN1" s="184"/>
      <c r="MQO1" s="184"/>
      <c r="MQP1" s="184"/>
      <c r="MQQ1" s="184"/>
      <c r="MQR1" s="184"/>
      <c r="MQS1" s="184"/>
      <c r="MQT1" s="184"/>
      <c r="MQU1" s="184"/>
      <c r="MQV1" s="184"/>
      <c r="MQW1" s="184"/>
      <c r="MQX1" s="184"/>
      <c r="MQY1" s="184"/>
      <c r="MQZ1" s="184"/>
      <c r="MRA1" s="184"/>
      <c r="MRB1" s="184"/>
      <c r="MRC1" s="184"/>
      <c r="MRD1" s="184"/>
      <c r="MRE1" s="184"/>
      <c r="MRF1" s="184"/>
      <c r="MRG1" s="184"/>
      <c r="MRH1" s="184"/>
      <c r="MRI1" s="184"/>
      <c r="MRJ1" s="184"/>
      <c r="MRK1" s="184"/>
      <c r="MRL1" s="184"/>
      <c r="MRM1" s="184"/>
      <c r="MRN1" s="184"/>
      <c r="MRO1" s="184"/>
      <c r="MRP1" s="184"/>
      <c r="MRQ1" s="184"/>
      <c r="MRR1" s="184"/>
      <c r="MRS1" s="184"/>
      <c r="MRT1" s="184"/>
      <c r="MRU1" s="184"/>
      <c r="MRV1" s="184"/>
      <c r="MRW1" s="184"/>
      <c r="MRX1" s="184"/>
      <c r="MRY1" s="184"/>
      <c r="MRZ1" s="184"/>
      <c r="MSA1" s="184"/>
      <c r="MSB1" s="184"/>
      <c r="MSC1" s="184"/>
      <c r="MSD1" s="184"/>
      <c r="MSE1" s="184"/>
      <c r="MSF1" s="184"/>
      <c r="MSG1" s="184"/>
      <c r="MSH1" s="184"/>
      <c r="MSI1" s="184"/>
      <c r="MSJ1" s="184"/>
      <c r="MSK1" s="184"/>
      <c r="MSL1" s="184"/>
      <c r="MSM1" s="184"/>
      <c r="MSN1" s="184"/>
      <c r="MSO1" s="184"/>
      <c r="MSP1" s="184"/>
      <c r="MSQ1" s="184"/>
      <c r="MSR1" s="184"/>
      <c r="MSS1" s="184"/>
      <c r="MST1" s="184"/>
      <c r="MSU1" s="184"/>
      <c r="MSV1" s="184"/>
      <c r="MSW1" s="184"/>
      <c r="MSX1" s="184"/>
      <c r="MSY1" s="184"/>
      <c r="MSZ1" s="184"/>
      <c r="MTA1" s="184"/>
      <c r="MTB1" s="184"/>
      <c r="MTC1" s="184"/>
      <c r="MTD1" s="184"/>
      <c r="MTE1" s="184"/>
      <c r="MTF1" s="184"/>
      <c r="MTG1" s="184"/>
      <c r="MTH1" s="184"/>
      <c r="MTI1" s="184"/>
      <c r="MTJ1" s="184"/>
      <c r="MTK1" s="184"/>
      <c r="MTL1" s="184"/>
      <c r="MTM1" s="184"/>
      <c r="MTN1" s="184"/>
      <c r="MTO1" s="184"/>
      <c r="MTP1" s="184"/>
      <c r="MTQ1" s="184"/>
      <c r="MTR1" s="184"/>
      <c r="MTS1" s="184"/>
      <c r="MTT1" s="184"/>
      <c r="MTU1" s="184"/>
      <c r="MTV1" s="184"/>
      <c r="MTW1" s="184"/>
      <c r="MTX1" s="184"/>
      <c r="MTY1" s="184"/>
      <c r="MTZ1" s="184"/>
      <c r="MUA1" s="184"/>
      <c r="MUB1" s="184"/>
      <c r="MUC1" s="184"/>
      <c r="MUD1" s="184"/>
      <c r="MUE1" s="184"/>
      <c r="MUF1" s="184"/>
      <c r="MUG1" s="184"/>
      <c r="MUH1" s="184"/>
      <c r="MUI1" s="184"/>
      <c r="MUJ1" s="184"/>
      <c r="MUK1" s="184"/>
      <c r="MUL1" s="184"/>
      <c r="MUM1" s="184"/>
      <c r="MUN1" s="184"/>
      <c r="MUO1" s="184"/>
      <c r="MUP1" s="184"/>
      <c r="MUQ1" s="184"/>
      <c r="MUR1" s="184"/>
      <c r="MUS1" s="184"/>
      <c r="MUT1" s="184"/>
      <c r="MUU1" s="184"/>
      <c r="MUV1" s="184"/>
      <c r="MUW1" s="184"/>
      <c r="MUX1" s="184"/>
      <c r="MUY1" s="184"/>
      <c r="MUZ1" s="184"/>
      <c r="MVA1" s="184"/>
      <c r="MVB1" s="184"/>
      <c r="MVC1" s="184"/>
      <c r="MVD1" s="184"/>
      <c r="MVE1" s="184"/>
      <c r="MVF1" s="184"/>
      <c r="MVG1" s="184"/>
      <c r="MVH1" s="184"/>
      <c r="MVI1" s="184"/>
      <c r="MVJ1" s="184"/>
      <c r="MVK1" s="184"/>
      <c r="MVL1" s="184"/>
      <c r="MVM1" s="184"/>
      <c r="MVN1" s="184"/>
      <c r="MVO1" s="184"/>
      <c r="MVP1" s="184"/>
      <c r="MVQ1" s="184"/>
      <c r="MVR1" s="184"/>
      <c r="MVS1" s="184"/>
      <c r="MVT1" s="184"/>
      <c r="MVU1" s="184"/>
      <c r="MVV1" s="184"/>
      <c r="MVW1" s="184"/>
      <c r="MVX1" s="184"/>
      <c r="MVY1" s="184"/>
      <c r="MVZ1" s="184"/>
      <c r="MWA1" s="184"/>
      <c r="MWB1" s="184"/>
      <c r="MWC1" s="184"/>
      <c r="MWD1" s="184"/>
      <c r="MWE1" s="184"/>
      <c r="MWF1" s="184"/>
      <c r="MWG1" s="184"/>
      <c r="MWH1" s="184"/>
      <c r="MWI1" s="184"/>
      <c r="MWJ1" s="184"/>
      <c r="MWK1" s="184"/>
      <c r="MWL1" s="184"/>
      <c r="MWM1" s="184"/>
      <c r="MWN1" s="184"/>
      <c r="MWO1" s="184"/>
      <c r="MWP1" s="184"/>
      <c r="MWQ1" s="184"/>
      <c r="MWR1" s="184"/>
      <c r="MWS1" s="184"/>
      <c r="MWT1" s="184"/>
      <c r="MWU1" s="184"/>
      <c r="MWV1" s="184"/>
      <c r="MWW1" s="184"/>
      <c r="MWX1" s="184"/>
      <c r="MWY1" s="184"/>
      <c r="MWZ1" s="184"/>
      <c r="MXA1" s="184"/>
      <c r="MXB1" s="184"/>
      <c r="MXC1" s="184"/>
      <c r="MXD1" s="184"/>
      <c r="MXE1" s="184"/>
      <c r="MXF1" s="184"/>
      <c r="MXG1" s="184"/>
      <c r="MXH1" s="184"/>
      <c r="MXI1" s="184"/>
      <c r="MXJ1" s="184"/>
      <c r="MXK1" s="184"/>
      <c r="MXL1" s="184"/>
      <c r="MXM1" s="184"/>
      <c r="MXN1" s="184"/>
      <c r="MXO1" s="184"/>
      <c r="MXP1" s="184"/>
      <c r="MXQ1" s="184"/>
      <c r="MXR1" s="184"/>
      <c r="MXS1" s="184"/>
      <c r="MXT1" s="184"/>
      <c r="MXU1" s="184"/>
      <c r="MXV1" s="184"/>
      <c r="MXW1" s="184"/>
      <c r="MXX1" s="184"/>
      <c r="MXY1" s="184"/>
      <c r="MXZ1" s="184"/>
      <c r="MYA1" s="184"/>
      <c r="MYB1" s="184"/>
      <c r="MYC1" s="184"/>
      <c r="MYD1" s="184"/>
      <c r="MYE1" s="184"/>
      <c r="MYF1" s="184"/>
      <c r="MYG1" s="184"/>
      <c r="MYH1" s="184"/>
      <c r="MYI1" s="184"/>
      <c r="MYJ1" s="184"/>
      <c r="MYK1" s="184"/>
      <c r="MYL1" s="184"/>
      <c r="MYM1" s="184"/>
      <c r="MYN1" s="184"/>
      <c r="MYO1" s="184"/>
      <c r="MYP1" s="184"/>
      <c r="MYQ1" s="184"/>
      <c r="MYR1" s="184"/>
      <c r="MYS1" s="184"/>
      <c r="MYT1" s="184"/>
      <c r="MYU1" s="184"/>
      <c r="MYV1" s="184"/>
      <c r="MYW1" s="184"/>
      <c r="MYX1" s="184"/>
      <c r="MYY1" s="184"/>
      <c r="MYZ1" s="184"/>
      <c r="MZA1" s="184"/>
      <c r="MZB1" s="184"/>
      <c r="MZC1" s="184"/>
      <c r="MZD1" s="184"/>
      <c r="MZE1" s="184"/>
      <c r="MZF1" s="184"/>
      <c r="MZG1" s="184"/>
      <c r="MZH1" s="184"/>
      <c r="MZI1" s="184"/>
      <c r="MZJ1" s="184"/>
      <c r="MZK1" s="184"/>
      <c r="MZL1" s="184"/>
      <c r="MZM1" s="184"/>
      <c r="MZN1" s="184"/>
      <c r="MZO1" s="184"/>
      <c r="MZP1" s="184"/>
      <c r="MZQ1" s="184"/>
      <c r="MZR1" s="184"/>
      <c r="MZS1" s="184"/>
      <c r="MZT1" s="184"/>
      <c r="MZU1" s="184"/>
      <c r="MZV1" s="184"/>
      <c r="MZW1" s="184"/>
      <c r="MZX1" s="184"/>
      <c r="MZY1" s="184"/>
      <c r="MZZ1" s="184"/>
      <c r="NAA1" s="184"/>
      <c r="NAB1" s="184"/>
      <c r="NAC1" s="184"/>
      <c r="NAD1" s="184"/>
      <c r="NAE1" s="184"/>
      <c r="NAF1" s="184"/>
      <c r="NAG1" s="184"/>
      <c r="NAH1" s="184"/>
      <c r="NAI1" s="184"/>
      <c r="NAJ1" s="184"/>
      <c r="NAK1" s="184"/>
      <c r="NAL1" s="184"/>
      <c r="NAM1" s="184"/>
      <c r="NAN1" s="184"/>
      <c r="NAO1" s="184"/>
      <c r="NAP1" s="184"/>
      <c r="NAQ1" s="184"/>
      <c r="NAR1" s="184"/>
      <c r="NAS1" s="184"/>
      <c r="NAT1" s="184"/>
      <c r="NAU1" s="184"/>
      <c r="NAV1" s="184"/>
      <c r="NAW1" s="184"/>
      <c r="NAX1" s="184"/>
      <c r="NAY1" s="184"/>
      <c r="NAZ1" s="184"/>
      <c r="NBA1" s="184"/>
      <c r="NBB1" s="184"/>
      <c r="NBC1" s="184"/>
      <c r="NBD1" s="184"/>
      <c r="NBE1" s="184"/>
      <c r="NBF1" s="184"/>
      <c r="NBG1" s="184"/>
      <c r="NBH1" s="184"/>
      <c r="NBI1" s="184"/>
      <c r="NBJ1" s="184"/>
      <c r="NBK1" s="184"/>
      <c r="NBL1" s="184"/>
      <c r="NBM1" s="184"/>
      <c r="NBN1" s="184"/>
      <c r="NBO1" s="184"/>
      <c r="NBP1" s="184"/>
      <c r="NBQ1" s="184"/>
      <c r="NBR1" s="184"/>
      <c r="NBS1" s="184"/>
      <c r="NBT1" s="184"/>
      <c r="NBU1" s="184"/>
      <c r="NBV1" s="184"/>
      <c r="NBW1" s="184"/>
      <c r="NBX1" s="184"/>
      <c r="NBY1" s="184"/>
      <c r="NBZ1" s="184"/>
      <c r="NCA1" s="184"/>
      <c r="NCB1" s="184"/>
      <c r="NCC1" s="184"/>
      <c r="NCD1" s="184"/>
      <c r="NCE1" s="184"/>
      <c r="NCF1" s="184"/>
      <c r="NCG1" s="184"/>
      <c r="NCH1" s="184"/>
      <c r="NCI1" s="184"/>
      <c r="NCJ1" s="184"/>
      <c r="NCK1" s="184"/>
      <c r="NCL1" s="184"/>
      <c r="NCM1" s="184"/>
      <c r="NCN1" s="184"/>
      <c r="NCO1" s="184"/>
      <c r="NCP1" s="184"/>
      <c r="NCQ1" s="184"/>
      <c r="NCR1" s="184"/>
      <c r="NCS1" s="184"/>
      <c r="NCT1" s="184"/>
      <c r="NCU1" s="184"/>
      <c r="NCV1" s="184"/>
      <c r="NCW1" s="184"/>
      <c r="NCX1" s="184"/>
      <c r="NCY1" s="184"/>
      <c r="NCZ1" s="184"/>
      <c r="NDA1" s="184"/>
      <c r="NDB1" s="184"/>
      <c r="NDC1" s="184"/>
      <c r="NDD1" s="184"/>
      <c r="NDE1" s="184"/>
      <c r="NDF1" s="184"/>
      <c r="NDG1" s="184"/>
      <c r="NDH1" s="184"/>
      <c r="NDI1" s="184"/>
      <c r="NDJ1" s="184"/>
      <c r="NDK1" s="184"/>
      <c r="NDL1" s="184"/>
      <c r="NDM1" s="184"/>
      <c r="NDN1" s="184"/>
      <c r="NDO1" s="184"/>
      <c r="NDP1" s="184"/>
      <c r="NDQ1" s="184"/>
      <c r="NDR1" s="184"/>
      <c r="NDS1" s="184"/>
      <c r="NDT1" s="184"/>
      <c r="NDU1" s="184"/>
      <c r="NDV1" s="184"/>
      <c r="NDW1" s="184"/>
      <c r="NDX1" s="184"/>
      <c r="NDY1" s="184"/>
      <c r="NDZ1" s="184"/>
      <c r="NEA1" s="184"/>
      <c r="NEB1" s="184"/>
      <c r="NEC1" s="184"/>
      <c r="NED1" s="184"/>
      <c r="NEE1" s="184"/>
      <c r="NEF1" s="184"/>
      <c r="NEG1" s="184"/>
      <c r="NEH1" s="184"/>
      <c r="NEI1" s="184"/>
      <c r="NEJ1" s="184"/>
      <c r="NEK1" s="184"/>
      <c r="NEL1" s="184"/>
      <c r="NEM1" s="184"/>
      <c r="NEN1" s="184"/>
      <c r="NEO1" s="184"/>
      <c r="NEP1" s="184"/>
      <c r="NEQ1" s="184"/>
      <c r="NER1" s="184"/>
      <c r="NES1" s="184"/>
      <c r="NET1" s="184"/>
      <c r="NEU1" s="184"/>
      <c r="NEV1" s="184"/>
      <c r="NEW1" s="184"/>
      <c r="NEX1" s="184"/>
      <c r="NEY1" s="184"/>
      <c r="NEZ1" s="184"/>
      <c r="NFA1" s="184"/>
      <c r="NFB1" s="184"/>
      <c r="NFC1" s="184"/>
      <c r="NFD1" s="184"/>
      <c r="NFE1" s="184"/>
      <c r="NFF1" s="184"/>
      <c r="NFG1" s="184"/>
      <c r="NFH1" s="184"/>
      <c r="NFI1" s="184"/>
      <c r="NFJ1" s="184"/>
      <c r="NFK1" s="184"/>
      <c r="NFL1" s="184"/>
      <c r="NFM1" s="184"/>
      <c r="NFN1" s="184"/>
      <c r="NFO1" s="184"/>
      <c r="NFP1" s="184"/>
      <c r="NFQ1" s="184"/>
      <c r="NFR1" s="184"/>
      <c r="NFS1" s="184"/>
      <c r="NFT1" s="184"/>
      <c r="NFU1" s="184"/>
      <c r="NFV1" s="184"/>
      <c r="NFW1" s="184"/>
      <c r="NFX1" s="184"/>
      <c r="NFY1" s="184"/>
      <c r="NFZ1" s="184"/>
      <c r="NGA1" s="184"/>
      <c r="NGB1" s="184"/>
      <c r="NGC1" s="184"/>
      <c r="NGD1" s="184"/>
      <c r="NGE1" s="184"/>
      <c r="NGF1" s="184"/>
      <c r="NGG1" s="184"/>
      <c r="NGH1" s="184"/>
      <c r="NGI1" s="184"/>
      <c r="NGJ1" s="184"/>
      <c r="NGK1" s="184"/>
      <c r="NGL1" s="184"/>
      <c r="NGM1" s="184"/>
      <c r="NGN1" s="184"/>
      <c r="NGO1" s="184"/>
      <c r="NGP1" s="184"/>
      <c r="NGQ1" s="184"/>
      <c r="NGR1" s="184"/>
      <c r="NGS1" s="184"/>
      <c r="NGT1" s="184"/>
      <c r="NGU1" s="184"/>
      <c r="NGV1" s="184"/>
      <c r="NGW1" s="184"/>
      <c r="NGX1" s="184"/>
      <c r="NGY1" s="184"/>
      <c r="NGZ1" s="184"/>
      <c r="NHA1" s="184"/>
      <c r="NHB1" s="184"/>
      <c r="NHC1" s="184"/>
      <c r="NHD1" s="184"/>
      <c r="NHE1" s="184"/>
      <c r="NHF1" s="184"/>
      <c r="NHG1" s="184"/>
      <c r="NHH1" s="184"/>
      <c r="NHI1" s="184"/>
      <c r="NHJ1" s="184"/>
      <c r="NHK1" s="184"/>
      <c r="NHL1" s="184"/>
      <c r="NHM1" s="184"/>
      <c r="NHN1" s="184"/>
      <c r="NHO1" s="184"/>
      <c r="NHP1" s="184"/>
      <c r="NHQ1" s="184"/>
      <c r="NHR1" s="184"/>
      <c r="NHS1" s="184"/>
      <c r="NHT1" s="184"/>
      <c r="NHU1" s="184"/>
      <c r="NHV1" s="184"/>
      <c r="NHW1" s="184"/>
      <c r="NHX1" s="184"/>
      <c r="NHY1" s="184"/>
      <c r="NHZ1" s="184"/>
      <c r="NIA1" s="184"/>
      <c r="NIB1" s="184"/>
      <c r="NIC1" s="184"/>
      <c r="NID1" s="184"/>
      <c r="NIE1" s="184"/>
      <c r="NIF1" s="184"/>
      <c r="NIG1" s="184"/>
      <c r="NIH1" s="184"/>
      <c r="NII1" s="184"/>
      <c r="NIJ1" s="184"/>
      <c r="NIK1" s="184"/>
      <c r="NIL1" s="184"/>
      <c r="NIM1" s="184"/>
      <c r="NIN1" s="184"/>
      <c r="NIO1" s="184"/>
      <c r="NIP1" s="184"/>
      <c r="NIQ1" s="184"/>
      <c r="NIR1" s="184"/>
      <c r="NIS1" s="184"/>
      <c r="NIT1" s="184"/>
      <c r="NIU1" s="184"/>
      <c r="NIV1" s="184"/>
      <c r="NIW1" s="184"/>
      <c r="NIX1" s="184"/>
      <c r="NIY1" s="184"/>
      <c r="NIZ1" s="184"/>
      <c r="NJA1" s="184"/>
      <c r="NJB1" s="184"/>
      <c r="NJC1" s="184"/>
      <c r="NJD1" s="184"/>
      <c r="NJE1" s="184"/>
      <c r="NJF1" s="184"/>
      <c r="NJG1" s="184"/>
      <c r="NJH1" s="184"/>
      <c r="NJI1" s="184"/>
      <c r="NJJ1" s="184"/>
      <c r="NJK1" s="184"/>
      <c r="NJL1" s="184"/>
      <c r="NJM1" s="184"/>
      <c r="NJN1" s="184"/>
      <c r="NJO1" s="184"/>
      <c r="NJP1" s="184"/>
      <c r="NJQ1" s="184"/>
      <c r="NJR1" s="184"/>
      <c r="NJS1" s="184"/>
      <c r="NJT1" s="184"/>
      <c r="NJU1" s="184"/>
      <c r="NJV1" s="184"/>
      <c r="NJW1" s="184"/>
      <c r="NJX1" s="184"/>
      <c r="NJY1" s="184"/>
      <c r="NJZ1" s="184"/>
      <c r="NKA1" s="184"/>
      <c r="NKB1" s="184"/>
      <c r="NKC1" s="184"/>
      <c r="NKD1" s="184"/>
      <c r="NKE1" s="184"/>
      <c r="NKF1" s="184"/>
      <c r="NKG1" s="184"/>
      <c r="NKH1" s="184"/>
      <c r="NKI1" s="184"/>
      <c r="NKJ1" s="184"/>
      <c r="NKK1" s="184"/>
      <c r="NKL1" s="184"/>
      <c r="NKM1" s="184"/>
      <c r="NKN1" s="184"/>
      <c r="NKO1" s="184"/>
      <c r="NKP1" s="184"/>
      <c r="NKQ1" s="184"/>
      <c r="NKR1" s="184"/>
      <c r="NKS1" s="184"/>
      <c r="NKT1" s="184"/>
      <c r="NKU1" s="184"/>
      <c r="NKV1" s="184"/>
      <c r="NKW1" s="184"/>
      <c r="NKX1" s="184"/>
      <c r="NKY1" s="184"/>
      <c r="NKZ1" s="184"/>
      <c r="NLA1" s="184"/>
      <c r="NLB1" s="184"/>
      <c r="NLC1" s="184"/>
      <c r="NLD1" s="184"/>
      <c r="NLE1" s="184"/>
      <c r="NLF1" s="184"/>
      <c r="NLG1" s="184"/>
      <c r="NLH1" s="184"/>
      <c r="NLI1" s="184"/>
      <c r="NLJ1" s="184"/>
      <c r="NLK1" s="184"/>
      <c r="NLL1" s="184"/>
      <c r="NLM1" s="184"/>
      <c r="NLN1" s="184"/>
      <c r="NLO1" s="184"/>
      <c r="NLP1" s="184"/>
      <c r="NLQ1" s="184"/>
      <c r="NLR1" s="184"/>
      <c r="NLS1" s="184"/>
      <c r="NLT1" s="184"/>
      <c r="NLU1" s="184"/>
      <c r="NLV1" s="184"/>
      <c r="NLW1" s="184"/>
      <c r="NLX1" s="184"/>
      <c r="NLY1" s="184"/>
      <c r="NLZ1" s="184"/>
      <c r="NMA1" s="184"/>
      <c r="NMB1" s="184"/>
      <c r="NMC1" s="184"/>
      <c r="NMD1" s="184"/>
      <c r="NME1" s="184"/>
      <c r="NMF1" s="184"/>
      <c r="NMG1" s="184"/>
      <c r="NMH1" s="184"/>
      <c r="NMI1" s="184"/>
      <c r="NMJ1" s="184"/>
      <c r="NMK1" s="184"/>
      <c r="NML1" s="184"/>
      <c r="NMM1" s="184"/>
      <c r="NMN1" s="184"/>
      <c r="NMO1" s="184"/>
      <c r="NMP1" s="184"/>
      <c r="NMQ1" s="184"/>
      <c r="NMR1" s="184"/>
      <c r="NMS1" s="184"/>
      <c r="NMT1" s="184"/>
      <c r="NMU1" s="184"/>
      <c r="NMV1" s="184"/>
      <c r="NMW1" s="184"/>
      <c r="NMX1" s="184"/>
      <c r="NMY1" s="184"/>
      <c r="NMZ1" s="184"/>
      <c r="NNA1" s="184"/>
      <c r="NNB1" s="184"/>
      <c r="NNC1" s="184"/>
      <c r="NND1" s="184"/>
      <c r="NNE1" s="184"/>
      <c r="NNF1" s="184"/>
      <c r="NNG1" s="184"/>
      <c r="NNH1" s="184"/>
      <c r="NNI1" s="184"/>
      <c r="NNJ1" s="184"/>
      <c r="NNK1" s="184"/>
      <c r="NNL1" s="184"/>
      <c r="NNM1" s="184"/>
      <c r="NNN1" s="184"/>
      <c r="NNO1" s="184"/>
      <c r="NNP1" s="184"/>
      <c r="NNQ1" s="184"/>
      <c r="NNR1" s="184"/>
      <c r="NNS1" s="184"/>
      <c r="NNT1" s="184"/>
      <c r="NNU1" s="184"/>
      <c r="NNV1" s="184"/>
      <c r="NNW1" s="184"/>
      <c r="NNX1" s="184"/>
      <c r="NNY1" s="184"/>
      <c r="NNZ1" s="184"/>
      <c r="NOA1" s="184"/>
      <c r="NOB1" s="184"/>
      <c r="NOC1" s="184"/>
      <c r="NOD1" s="184"/>
      <c r="NOE1" s="184"/>
      <c r="NOF1" s="184"/>
      <c r="NOG1" s="184"/>
      <c r="NOH1" s="184"/>
      <c r="NOI1" s="184"/>
      <c r="NOJ1" s="184"/>
      <c r="NOK1" s="184"/>
      <c r="NOL1" s="184"/>
      <c r="NOM1" s="184"/>
      <c r="NON1" s="184"/>
      <c r="NOO1" s="184"/>
      <c r="NOP1" s="184"/>
      <c r="NOQ1" s="184"/>
      <c r="NOR1" s="184"/>
      <c r="NOS1" s="184"/>
      <c r="NOT1" s="184"/>
      <c r="NOU1" s="184"/>
      <c r="NOV1" s="184"/>
      <c r="NOW1" s="184"/>
      <c r="NOX1" s="184"/>
      <c r="NOY1" s="184"/>
      <c r="NOZ1" s="184"/>
      <c r="NPA1" s="184"/>
      <c r="NPB1" s="184"/>
      <c r="NPC1" s="184"/>
      <c r="NPD1" s="184"/>
      <c r="NPE1" s="184"/>
      <c r="NPF1" s="184"/>
      <c r="NPG1" s="184"/>
      <c r="NPH1" s="184"/>
      <c r="NPI1" s="184"/>
      <c r="NPJ1" s="184"/>
      <c r="NPK1" s="184"/>
      <c r="NPL1" s="184"/>
      <c r="NPM1" s="184"/>
      <c r="NPN1" s="184"/>
      <c r="NPO1" s="184"/>
      <c r="NPP1" s="184"/>
      <c r="NPQ1" s="184"/>
      <c r="NPR1" s="184"/>
      <c r="NPS1" s="184"/>
      <c r="NPT1" s="184"/>
      <c r="NPU1" s="184"/>
      <c r="NPV1" s="184"/>
      <c r="NPW1" s="184"/>
      <c r="NPX1" s="184"/>
      <c r="NPY1" s="184"/>
      <c r="NPZ1" s="184"/>
      <c r="NQA1" s="184"/>
      <c r="NQB1" s="184"/>
      <c r="NQC1" s="184"/>
      <c r="NQD1" s="184"/>
      <c r="NQE1" s="184"/>
      <c r="NQF1" s="184"/>
      <c r="NQG1" s="184"/>
      <c r="NQH1" s="184"/>
      <c r="NQI1" s="184"/>
      <c r="NQJ1" s="184"/>
      <c r="NQK1" s="184"/>
      <c r="NQL1" s="184"/>
      <c r="NQM1" s="184"/>
      <c r="NQN1" s="184"/>
      <c r="NQO1" s="184"/>
      <c r="NQP1" s="184"/>
      <c r="NQQ1" s="184"/>
      <c r="NQR1" s="184"/>
      <c r="NQS1" s="184"/>
      <c r="NQT1" s="184"/>
      <c r="NQU1" s="184"/>
      <c r="NQV1" s="184"/>
      <c r="NQW1" s="184"/>
      <c r="NQX1" s="184"/>
      <c r="NQY1" s="184"/>
      <c r="NQZ1" s="184"/>
      <c r="NRA1" s="184"/>
      <c r="NRB1" s="184"/>
      <c r="NRC1" s="184"/>
      <c r="NRD1" s="184"/>
      <c r="NRE1" s="184"/>
      <c r="NRF1" s="184"/>
      <c r="NRG1" s="184"/>
      <c r="NRH1" s="184"/>
      <c r="NRI1" s="184"/>
      <c r="NRJ1" s="184"/>
      <c r="NRK1" s="184"/>
      <c r="NRL1" s="184"/>
      <c r="NRM1" s="184"/>
      <c r="NRN1" s="184"/>
      <c r="NRO1" s="184"/>
      <c r="NRP1" s="184"/>
      <c r="NRQ1" s="184"/>
      <c r="NRR1" s="184"/>
      <c r="NRS1" s="184"/>
      <c r="NRT1" s="184"/>
      <c r="NRU1" s="184"/>
      <c r="NRV1" s="184"/>
      <c r="NRW1" s="184"/>
      <c r="NRX1" s="184"/>
      <c r="NRY1" s="184"/>
      <c r="NRZ1" s="184"/>
      <c r="NSA1" s="184"/>
      <c r="NSB1" s="184"/>
      <c r="NSC1" s="184"/>
      <c r="NSD1" s="184"/>
      <c r="NSE1" s="184"/>
      <c r="NSF1" s="184"/>
      <c r="NSG1" s="184"/>
      <c r="NSH1" s="184"/>
      <c r="NSI1" s="184"/>
      <c r="NSJ1" s="184"/>
      <c r="NSK1" s="184"/>
      <c r="NSL1" s="184"/>
      <c r="NSM1" s="184"/>
      <c r="NSN1" s="184"/>
      <c r="NSO1" s="184"/>
      <c r="NSP1" s="184"/>
      <c r="NSQ1" s="184"/>
      <c r="NSR1" s="184"/>
      <c r="NSS1" s="184"/>
      <c r="NST1" s="184"/>
      <c r="NSU1" s="184"/>
      <c r="NSV1" s="184"/>
      <c r="NSW1" s="184"/>
      <c r="NSX1" s="184"/>
      <c r="NSY1" s="184"/>
      <c r="NSZ1" s="184"/>
      <c r="NTA1" s="184"/>
      <c r="NTB1" s="184"/>
      <c r="NTC1" s="184"/>
      <c r="NTD1" s="184"/>
      <c r="NTE1" s="184"/>
      <c r="NTF1" s="184"/>
      <c r="NTG1" s="184"/>
      <c r="NTH1" s="184"/>
      <c r="NTI1" s="184"/>
      <c r="NTJ1" s="184"/>
      <c r="NTK1" s="184"/>
      <c r="NTL1" s="184"/>
      <c r="NTM1" s="184"/>
      <c r="NTN1" s="184"/>
      <c r="NTO1" s="184"/>
      <c r="NTP1" s="184"/>
      <c r="NTQ1" s="184"/>
      <c r="NTR1" s="184"/>
      <c r="NTS1" s="184"/>
      <c r="NTT1" s="184"/>
      <c r="NTU1" s="184"/>
      <c r="NTV1" s="184"/>
      <c r="NTW1" s="184"/>
      <c r="NTX1" s="184"/>
      <c r="NTY1" s="184"/>
      <c r="NTZ1" s="184"/>
      <c r="NUA1" s="184"/>
      <c r="NUB1" s="184"/>
      <c r="NUC1" s="184"/>
      <c r="NUD1" s="184"/>
      <c r="NUE1" s="184"/>
      <c r="NUF1" s="184"/>
      <c r="NUG1" s="184"/>
      <c r="NUH1" s="184"/>
      <c r="NUI1" s="184"/>
      <c r="NUJ1" s="184"/>
      <c r="NUK1" s="184"/>
      <c r="NUL1" s="184"/>
      <c r="NUM1" s="184"/>
      <c r="NUN1" s="184"/>
      <c r="NUO1" s="184"/>
      <c r="NUP1" s="184"/>
      <c r="NUQ1" s="184"/>
      <c r="NUR1" s="184"/>
      <c r="NUS1" s="184"/>
      <c r="NUT1" s="184"/>
      <c r="NUU1" s="184"/>
      <c r="NUV1" s="184"/>
      <c r="NUW1" s="184"/>
      <c r="NUX1" s="184"/>
      <c r="NUY1" s="184"/>
      <c r="NUZ1" s="184"/>
      <c r="NVA1" s="184"/>
      <c r="NVB1" s="184"/>
      <c r="NVC1" s="184"/>
      <c r="NVD1" s="184"/>
      <c r="NVE1" s="184"/>
      <c r="NVF1" s="184"/>
      <c r="NVG1" s="184"/>
      <c r="NVH1" s="184"/>
      <c r="NVI1" s="184"/>
      <c r="NVJ1" s="184"/>
      <c r="NVK1" s="184"/>
      <c r="NVL1" s="184"/>
      <c r="NVM1" s="184"/>
      <c r="NVN1" s="184"/>
      <c r="NVO1" s="184"/>
      <c r="NVP1" s="184"/>
      <c r="NVQ1" s="184"/>
      <c r="NVR1" s="184"/>
      <c r="NVS1" s="184"/>
      <c r="NVT1" s="184"/>
      <c r="NVU1" s="184"/>
      <c r="NVV1" s="184"/>
      <c r="NVW1" s="184"/>
      <c r="NVX1" s="184"/>
      <c r="NVY1" s="184"/>
      <c r="NVZ1" s="184"/>
      <c r="NWA1" s="184"/>
      <c r="NWB1" s="184"/>
      <c r="NWC1" s="184"/>
      <c r="NWD1" s="184"/>
      <c r="NWE1" s="184"/>
      <c r="NWF1" s="184"/>
      <c r="NWG1" s="184"/>
      <c r="NWH1" s="184"/>
      <c r="NWI1" s="184"/>
      <c r="NWJ1" s="184"/>
      <c r="NWK1" s="184"/>
      <c r="NWL1" s="184"/>
      <c r="NWM1" s="184"/>
      <c r="NWN1" s="184"/>
      <c r="NWO1" s="184"/>
      <c r="NWP1" s="184"/>
      <c r="NWQ1" s="184"/>
      <c r="NWR1" s="184"/>
      <c r="NWS1" s="184"/>
      <c r="NWT1" s="184"/>
      <c r="NWU1" s="184"/>
      <c r="NWV1" s="184"/>
      <c r="NWW1" s="184"/>
      <c r="NWX1" s="184"/>
      <c r="NWY1" s="184"/>
      <c r="NWZ1" s="184"/>
      <c r="NXA1" s="184"/>
      <c r="NXB1" s="184"/>
      <c r="NXC1" s="184"/>
      <c r="NXD1" s="184"/>
      <c r="NXE1" s="184"/>
      <c r="NXF1" s="184"/>
      <c r="NXG1" s="184"/>
      <c r="NXH1" s="184"/>
      <c r="NXI1" s="184"/>
      <c r="NXJ1" s="184"/>
      <c r="NXK1" s="184"/>
      <c r="NXL1" s="184"/>
      <c r="NXM1" s="184"/>
      <c r="NXN1" s="184"/>
      <c r="NXO1" s="184"/>
      <c r="NXP1" s="184"/>
      <c r="NXQ1" s="184"/>
      <c r="NXR1" s="184"/>
      <c r="NXS1" s="184"/>
      <c r="NXT1" s="184"/>
      <c r="NXU1" s="184"/>
      <c r="NXV1" s="184"/>
      <c r="NXW1" s="184"/>
      <c r="NXX1" s="184"/>
      <c r="NXY1" s="184"/>
      <c r="NXZ1" s="184"/>
      <c r="NYA1" s="184"/>
      <c r="NYB1" s="184"/>
      <c r="NYC1" s="184"/>
      <c r="NYD1" s="184"/>
      <c r="NYE1" s="184"/>
      <c r="NYF1" s="184"/>
      <c r="NYG1" s="184"/>
      <c r="NYH1" s="184"/>
      <c r="NYI1" s="184"/>
      <c r="NYJ1" s="184"/>
      <c r="NYK1" s="184"/>
      <c r="NYL1" s="184"/>
      <c r="NYM1" s="184"/>
      <c r="NYN1" s="184"/>
      <c r="NYO1" s="184"/>
      <c r="NYP1" s="184"/>
      <c r="NYQ1" s="184"/>
      <c r="NYR1" s="184"/>
      <c r="NYS1" s="184"/>
      <c r="NYT1" s="184"/>
      <c r="NYU1" s="184"/>
      <c r="NYV1" s="184"/>
      <c r="NYW1" s="184"/>
      <c r="NYX1" s="184"/>
      <c r="NYY1" s="184"/>
      <c r="NYZ1" s="184"/>
      <c r="NZA1" s="184"/>
      <c r="NZB1" s="184"/>
      <c r="NZC1" s="184"/>
      <c r="NZD1" s="184"/>
      <c r="NZE1" s="184"/>
      <c r="NZF1" s="184"/>
      <c r="NZG1" s="184"/>
      <c r="NZH1" s="184"/>
      <c r="NZI1" s="184"/>
      <c r="NZJ1" s="184"/>
      <c r="NZK1" s="184"/>
      <c r="NZL1" s="184"/>
      <c r="NZM1" s="184"/>
      <c r="NZN1" s="184"/>
      <c r="NZO1" s="184"/>
      <c r="NZP1" s="184"/>
      <c r="NZQ1" s="184"/>
      <c r="NZR1" s="184"/>
      <c r="NZS1" s="184"/>
      <c r="NZT1" s="184"/>
      <c r="NZU1" s="184"/>
      <c r="NZV1" s="184"/>
      <c r="NZW1" s="184"/>
      <c r="NZX1" s="184"/>
      <c r="NZY1" s="184"/>
      <c r="NZZ1" s="184"/>
      <c r="OAA1" s="184"/>
      <c r="OAB1" s="184"/>
      <c r="OAC1" s="184"/>
      <c r="OAD1" s="184"/>
      <c r="OAE1" s="184"/>
      <c r="OAF1" s="184"/>
      <c r="OAG1" s="184"/>
      <c r="OAH1" s="184"/>
      <c r="OAI1" s="184"/>
      <c r="OAJ1" s="184"/>
      <c r="OAK1" s="184"/>
      <c r="OAL1" s="184"/>
      <c r="OAM1" s="184"/>
      <c r="OAN1" s="184"/>
      <c r="OAO1" s="184"/>
      <c r="OAP1" s="184"/>
      <c r="OAQ1" s="184"/>
      <c r="OAR1" s="184"/>
      <c r="OAS1" s="184"/>
      <c r="OAT1" s="184"/>
      <c r="OAU1" s="184"/>
      <c r="OAV1" s="184"/>
      <c r="OAW1" s="184"/>
      <c r="OAX1" s="184"/>
      <c r="OAY1" s="184"/>
      <c r="OAZ1" s="184"/>
      <c r="OBA1" s="184"/>
      <c r="OBB1" s="184"/>
      <c r="OBC1" s="184"/>
      <c r="OBD1" s="184"/>
      <c r="OBE1" s="184"/>
      <c r="OBF1" s="184"/>
      <c r="OBG1" s="184"/>
      <c r="OBH1" s="184"/>
      <c r="OBI1" s="184"/>
      <c r="OBJ1" s="184"/>
      <c r="OBK1" s="184"/>
      <c r="OBL1" s="184"/>
      <c r="OBM1" s="184"/>
      <c r="OBN1" s="184"/>
      <c r="OBO1" s="184"/>
      <c r="OBP1" s="184"/>
      <c r="OBQ1" s="184"/>
      <c r="OBR1" s="184"/>
      <c r="OBS1" s="184"/>
      <c r="OBT1" s="184"/>
      <c r="OBU1" s="184"/>
      <c r="OBV1" s="184"/>
      <c r="OBW1" s="184"/>
      <c r="OBX1" s="184"/>
      <c r="OBY1" s="184"/>
      <c r="OBZ1" s="184"/>
      <c r="OCA1" s="184"/>
      <c r="OCB1" s="184"/>
      <c r="OCC1" s="184"/>
      <c r="OCD1" s="184"/>
      <c r="OCE1" s="184"/>
      <c r="OCF1" s="184"/>
      <c r="OCG1" s="184"/>
      <c r="OCH1" s="184"/>
      <c r="OCI1" s="184"/>
      <c r="OCJ1" s="184"/>
      <c r="OCK1" s="184"/>
      <c r="OCL1" s="184"/>
      <c r="OCM1" s="184"/>
      <c r="OCN1" s="184"/>
      <c r="OCO1" s="184"/>
      <c r="OCP1" s="184"/>
      <c r="OCQ1" s="184"/>
      <c r="OCR1" s="184"/>
      <c r="OCS1" s="184"/>
      <c r="OCT1" s="184"/>
      <c r="OCU1" s="184"/>
      <c r="OCV1" s="184"/>
      <c r="OCW1" s="184"/>
      <c r="OCX1" s="184"/>
      <c r="OCY1" s="184"/>
      <c r="OCZ1" s="184"/>
      <c r="ODA1" s="184"/>
      <c r="ODB1" s="184"/>
      <c r="ODC1" s="184"/>
      <c r="ODD1" s="184"/>
      <c r="ODE1" s="184"/>
      <c r="ODF1" s="184"/>
      <c r="ODG1" s="184"/>
      <c r="ODH1" s="184"/>
      <c r="ODI1" s="184"/>
      <c r="ODJ1" s="184"/>
      <c r="ODK1" s="184"/>
      <c r="ODL1" s="184"/>
      <c r="ODM1" s="184"/>
      <c r="ODN1" s="184"/>
      <c r="ODO1" s="184"/>
      <c r="ODP1" s="184"/>
      <c r="ODQ1" s="184"/>
      <c r="ODR1" s="184"/>
      <c r="ODS1" s="184"/>
      <c r="ODT1" s="184"/>
      <c r="ODU1" s="184"/>
      <c r="ODV1" s="184"/>
      <c r="ODW1" s="184"/>
      <c r="ODX1" s="184"/>
      <c r="ODY1" s="184"/>
      <c r="ODZ1" s="184"/>
      <c r="OEA1" s="184"/>
      <c r="OEB1" s="184"/>
      <c r="OEC1" s="184"/>
      <c r="OED1" s="184"/>
      <c r="OEE1" s="184"/>
      <c r="OEF1" s="184"/>
      <c r="OEG1" s="184"/>
      <c r="OEH1" s="184"/>
      <c r="OEI1" s="184"/>
      <c r="OEJ1" s="184"/>
      <c r="OEK1" s="184"/>
      <c r="OEL1" s="184"/>
      <c r="OEM1" s="184"/>
      <c r="OEN1" s="184"/>
      <c r="OEO1" s="184"/>
      <c r="OEP1" s="184"/>
      <c r="OEQ1" s="184"/>
      <c r="OER1" s="184"/>
      <c r="OES1" s="184"/>
      <c r="OET1" s="184"/>
      <c r="OEU1" s="184"/>
      <c r="OEV1" s="184"/>
      <c r="OEW1" s="184"/>
      <c r="OEX1" s="184"/>
      <c r="OEY1" s="184"/>
      <c r="OEZ1" s="184"/>
      <c r="OFA1" s="184"/>
      <c r="OFB1" s="184"/>
      <c r="OFC1" s="184"/>
      <c r="OFD1" s="184"/>
      <c r="OFE1" s="184"/>
      <c r="OFF1" s="184"/>
      <c r="OFG1" s="184"/>
      <c r="OFH1" s="184"/>
      <c r="OFI1" s="184"/>
      <c r="OFJ1" s="184"/>
      <c r="OFK1" s="184"/>
      <c r="OFL1" s="184"/>
      <c r="OFM1" s="184"/>
      <c r="OFN1" s="184"/>
      <c r="OFO1" s="184"/>
      <c r="OFP1" s="184"/>
      <c r="OFQ1" s="184"/>
      <c r="OFR1" s="184"/>
      <c r="OFS1" s="184"/>
      <c r="OFT1" s="184"/>
      <c r="OFU1" s="184"/>
      <c r="OFV1" s="184"/>
      <c r="OFW1" s="184"/>
      <c r="OFX1" s="184"/>
      <c r="OFY1" s="184"/>
      <c r="OFZ1" s="184"/>
      <c r="OGA1" s="184"/>
      <c r="OGB1" s="184"/>
      <c r="OGC1" s="184"/>
      <c r="OGD1" s="184"/>
      <c r="OGE1" s="184"/>
      <c r="OGF1" s="184"/>
      <c r="OGG1" s="184"/>
      <c r="OGH1" s="184"/>
      <c r="OGI1" s="184"/>
      <c r="OGJ1" s="184"/>
      <c r="OGK1" s="184"/>
      <c r="OGL1" s="184"/>
      <c r="OGM1" s="184"/>
      <c r="OGN1" s="184"/>
      <c r="OGO1" s="184"/>
      <c r="OGP1" s="184"/>
      <c r="OGQ1" s="184"/>
      <c r="OGR1" s="184"/>
      <c r="OGS1" s="184"/>
      <c r="OGT1" s="184"/>
      <c r="OGU1" s="184"/>
      <c r="OGV1" s="184"/>
      <c r="OGW1" s="184"/>
      <c r="OGX1" s="184"/>
      <c r="OGY1" s="184"/>
      <c r="OGZ1" s="184"/>
      <c r="OHA1" s="184"/>
      <c r="OHB1" s="184"/>
      <c r="OHC1" s="184"/>
      <c r="OHD1" s="184"/>
      <c r="OHE1" s="184"/>
      <c r="OHF1" s="184"/>
      <c r="OHG1" s="184"/>
      <c r="OHH1" s="184"/>
      <c r="OHI1" s="184"/>
      <c r="OHJ1" s="184"/>
      <c r="OHK1" s="184"/>
      <c r="OHL1" s="184"/>
      <c r="OHM1" s="184"/>
      <c r="OHN1" s="184"/>
      <c r="OHO1" s="184"/>
      <c r="OHP1" s="184"/>
      <c r="OHQ1" s="184"/>
      <c r="OHR1" s="184"/>
      <c r="OHS1" s="184"/>
      <c r="OHT1" s="184"/>
      <c r="OHU1" s="184"/>
      <c r="OHV1" s="184"/>
      <c r="OHW1" s="184"/>
      <c r="OHX1" s="184"/>
      <c r="OHY1" s="184"/>
      <c r="OHZ1" s="184"/>
      <c r="OIA1" s="184"/>
      <c r="OIB1" s="184"/>
      <c r="OIC1" s="184"/>
      <c r="OID1" s="184"/>
      <c r="OIE1" s="184"/>
      <c r="OIF1" s="184"/>
      <c r="OIG1" s="184"/>
      <c r="OIH1" s="184"/>
      <c r="OII1" s="184"/>
      <c r="OIJ1" s="184"/>
      <c r="OIK1" s="184"/>
      <c r="OIL1" s="184"/>
      <c r="OIM1" s="184"/>
      <c r="OIN1" s="184"/>
      <c r="OIO1" s="184"/>
      <c r="OIP1" s="184"/>
      <c r="OIQ1" s="184"/>
      <c r="OIR1" s="184"/>
      <c r="OIS1" s="184"/>
      <c r="OIT1" s="184"/>
      <c r="OIU1" s="184"/>
      <c r="OIV1" s="184"/>
      <c r="OIW1" s="184"/>
      <c r="OIX1" s="184"/>
      <c r="OIY1" s="184"/>
      <c r="OIZ1" s="184"/>
      <c r="OJA1" s="184"/>
      <c r="OJB1" s="184"/>
      <c r="OJC1" s="184"/>
      <c r="OJD1" s="184"/>
      <c r="OJE1" s="184"/>
      <c r="OJF1" s="184"/>
      <c r="OJG1" s="184"/>
      <c r="OJH1" s="184"/>
      <c r="OJI1" s="184"/>
      <c r="OJJ1" s="184"/>
      <c r="OJK1" s="184"/>
      <c r="OJL1" s="184"/>
      <c r="OJM1" s="184"/>
      <c r="OJN1" s="184"/>
      <c r="OJO1" s="184"/>
      <c r="OJP1" s="184"/>
      <c r="OJQ1" s="184"/>
      <c r="OJR1" s="184"/>
      <c r="OJS1" s="184"/>
      <c r="OJT1" s="184"/>
      <c r="OJU1" s="184"/>
      <c r="OJV1" s="184"/>
      <c r="OJW1" s="184"/>
      <c r="OJX1" s="184"/>
      <c r="OJY1" s="184"/>
      <c r="OJZ1" s="184"/>
      <c r="OKA1" s="184"/>
      <c r="OKB1" s="184"/>
      <c r="OKC1" s="184"/>
      <c r="OKD1" s="184"/>
      <c r="OKE1" s="184"/>
      <c r="OKF1" s="184"/>
      <c r="OKG1" s="184"/>
      <c r="OKH1" s="184"/>
      <c r="OKI1" s="184"/>
      <c r="OKJ1" s="184"/>
      <c r="OKK1" s="184"/>
      <c r="OKL1" s="184"/>
      <c r="OKM1" s="184"/>
      <c r="OKN1" s="184"/>
      <c r="OKO1" s="184"/>
      <c r="OKP1" s="184"/>
      <c r="OKQ1" s="184"/>
      <c r="OKR1" s="184"/>
      <c r="OKS1" s="184"/>
      <c r="OKT1" s="184"/>
      <c r="OKU1" s="184"/>
      <c r="OKV1" s="184"/>
      <c r="OKW1" s="184"/>
      <c r="OKX1" s="184"/>
      <c r="OKY1" s="184"/>
      <c r="OKZ1" s="184"/>
      <c r="OLA1" s="184"/>
      <c r="OLB1" s="184"/>
      <c r="OLC1" s="184"/>
      <c r="OLD1" s="184"/>
      <c r="OLE1" s="184"/>
      <c r="OLF1" s="184"/>
      <c r="OLG1" s="184"/>
      <c r="OLH1" s="184"/>
      <c r="OLI1" s="184"/>
      <c r="OLJ1" s="184"/>
      <c r="OLK1" s="184"/>
      <c r="OLL1" s="184"/>
      <c r="OLM1" s="184"/>
      <c r="OLN1" s="184"/>
      <c r="OLO1" s="184"/>
      <c r="OLP1" s="184"/>
      <c r="OLQ1" s="184"/>
      <c r="OLR1" s="184"/>
      <c r="OLS1" s="184"/>
      <c r="OLT1" s="184"/>
      <c r="OLU1" s="184"/>
      <c r="OLV1" s="184"/>
      <c r="OLW1" s="184"/>
      <c r="OLX1" s="184"/>
      <c r="OLY1" s="184"/>
      <c r="OLZ1" s="184"/>
      <c r="OMA1" s="184"/>
      <c r="OMB1" s="184"/>
      <c r="OMC1" s="184"/>
      <c r="OMD1" s="184"/>
      <c r="OME1" s="184"/>
      <c r="OMF1" s="184"/>
      <c r="OMG1" s="184"/>
      <c r="OMH1" s="184"/>
      <c r="OMI1" s="184"/>
      <c r="OMJ1" s="184"/>
      <c r="OMK1" s="184"/>
      <c r="OML1" s="184"/>
      <c r="OMM1" s="184"/>
      <c r="OMN1" s="184"/>
      <c r="OMO1" s="184"/>
      <c r="OMP1" s="184"/>
      <c r="OMQ1" s="184"/>
      <c r="OMR1" s="184"/>
      <c r="OMS1" s="184"/>
      <c r="OMT1" s="184"/>
      <c r="OMU1" s="184"/>
      <c r="OMV1" s="184"/>
      <c r="OMW1" s="184"/>
      <c r="OMX1" s="184"/>
      <c r="OMY1" s="184"/>
      <c r="OMZ1" s="184"/>
      <c r="ONA1" s="184"/>
      <c r="ONB1" s="184"/>
      <c r="ONC1" s="184"/>
      <c r="OND1" s="184"/>
      <c r="ONE1" s="184"/>
      <c r="ONF1" s="184"/>
      <c r="ONG1" s="184"/>
      <c r="ONH1" s="184"/>
      <c r="ONI1" s="184"/>
      <c r="ONJ1" s="184"/>
      <c r="ONK1" s="184"/>
      <c r="ONL1" s="184"/>
      <c r="ONM1" s="184"/>
      <c r="ONN1" s="184"/>
      <c r="ONO1" s="184"/>
      <c r="ONP1" s="184"/>
      <c r="ONQ1" s="184"/>
      <c r="ONR1" s="184"/>
      <c r="ONS1" s="184"/>
      <c r="ONT1" s="184"/>
      <c r="ONU1" s="184"/>
      <c r="ONV1" s="184"/>
      <c r="ONW1" s="184"/>
      <c r="ONX1" s="184"/>
      <c r="ONY1" s="184"/>
      <c r="ONZ1" s="184"/>
      <c r="OOA1" s="184"/>
      <c r="OOB1" s="184"/>
      <c r="OOC1" s="184"/>
      <c r="OOD1" s="184"/>
      <c r="OOE1" s="184"/>
      <c r="OOF1" s="184"/>
      <c r="OOG1" s="184"/>
      <c r="OOH1" s="184"/>
      <c r="OOI1" s="184"/>
      <c r="OOJ1" s="184"/>
      <c r="OOK1" s="184"/>
      <c r="OOL1" s="184"/>
      <c r="OOM1" s="184"/>
      <c r="OON1" s="184"/>
      <c r="OOO1" s="184"/>
      <c r="OOP1" s="184"/>
      <c r="OOQ1" s="184"/>
      <c r="OOR1" s="184"/>
      <c r="OOS1" s="184"/>
      <c r="OOT1" s="184"/>
      <c r="OOU1" s="184"/>
      <c r="OOV1" s="184"/>
      <c r="OOW1" s="184"/>
      <c r="OOX1" s="184"/>
      <c r="OOY1" s="184"/>
      <c r="OOZ1" s="184"/>
      <c r="OPA1" s="184"/>
      <c r="OPB1" s="184"/>
      <c r="OPC1" s="184"/>
      <c r="OPD1" s="184"/>
      <c r="OPE1" s="184"/>
      <c r="OPF1" s="184"/>
      <c r="OPG1" s="184"/>
      <c r="OPH1" s="184"/>
      <c r="OPI1" s="184"/>
      <c r="OPJ1" s="184"/>
      <c r="OPK1" s="184"/>
      <c r="OPL1" s="184"/>
      <c r="OPM1" s="184"/>
      <c r="OPN1" s="184"/>
      <c r="OPO1" s="184"/>
      <c r="OPP1" s="184"/>
      <c r="OPQ1" s="184"/>
      <c r="OPR1" s="184"/>
      <c r="OPS1" s="184"/>
      <c r="OPT1" s="184"/>
      <c r="OPU1" s="184"/>
      <c r="OPV1" s="184"/>
      <c r="OPW1" s="184"/>
      <c r="OPX1" s="184"/>
      <c r="OPY1" s="184"/>
      <c r="OPZ1" s="184"/>
      <c r="OQA1" s="184"/>
      <c r="OQB1" s="184"/>
      <c r="OQC1" s="184"/>
      <c r="OQD1" s="184"/>
      <c r="OQE1" s="184"/>
      <c r="OQF1" s="184"/>
      <c r="OQG1" s="184"/>
      <c r="OQH1" s="184"/>
      <c r="OQI1" s="184"/>
      <c r="OQJ1" s="184"/>
      <c r="OQK1" s="184"/>
      <c r="OQL1" s="184"/>
      <c r="OQM1" s="184"/>
      <c r="OQN1" s="184"/>
      <c r="OQO1" s="184"/>
      <c r="OQP1" s="184"/>
      <c r="OQQ1" s="184"/>
      <c r="OQR1" s="184"/>
      <c r="OQS1" s="184"/>
      <c r="OQT1" s="184"/>
      <c r="OQU1" s="184"/>
      <c r="OQV1" s="184"/>
      <c r="OQW1" s="184"/>
      <c r="OQX1" s="184"/>
      <c r="OQY1" s="184"/>
      <c r="OQZ1" s="184"/>
      <c r="ORA1" s="184"/>
      <c r="ORB1" s="184"/>
      <c r="ORC1" s="184"/>
      <c r="ORD1" s="184"/>
      <c r="ORE1" s="184"/>
      <c r="ORF1" s="184"/>
      <c r="ORG1" s="184"/>
      <c r="ORH1" s="184"/>
      <c r="ORI1" s="184"/>
      <c r="ORJ1" s="184"/>
      <c r="ORK1" s="184"/>
      <c r="ORL1" s="184"/>
      <c r="ORM1" s="184"/>
      <c r="ORN1" s="184"/>
      <c r="ORO1" s="184"/>
      <c r="ORP1" s="184"/>
      <c r="ORQ1" s="184"/>
      <c r="ORR1" s="184"/>
      <c r="ORS1" s="184"/>
      <c r="ORT1" s="184"/>
      <c r="ORU1" s="184"/>
      <c r="ORV1" s="184"/>
      <c r="ORW1" s="184"/>
      <c r="ORX1" s="184"/>
      <c r="ORY1" s="184"/>
      <c r="ORZ1" s="184"/>
      <c r="OSA1" s="184"/>
      <c r="OSB1" s="184"/>
      <c r="OSC1" s="184"/>
      <c r="OSD1" s="184"/>
      <c r="OSE1" s="184"/>
      <c r="OSF1" s="184"/>
      <c r="OSG1" s="184"/>
      <c r="OSH1" s="184"/>
      <c r="OSI1" s="184"/>
      <c r="OSJ1" s="184"/>
      <c r="OSK1" s="184"/>
      <c r="OSL1" s="184"/>
      <c r="OSM1" s="184"/>
      <c r="OSN1" s="184"/>
      <c r="OSO1" s="184"/>
      <c r="OSP1" s="184"/>
      <c r="OSQ1" s="184"/>
      <c r="OSR1" s="184"/>
      <c r="OSS1" s="184"/>
      <c r="OST1" s="184"/>
      <c r="OSU1" s="184"/>
      <c r="OSV1" s="184"/>
      <c r="OSW1" s="184"/>
      <c r="OSX1" s="184"/>
      <c r="OSY1" s="184"/>
      <c r="OSZ1" s="184"/>
      <c r="OTA1" s="184"/>
      <c r="OTB1" s="184"/>
      <c r="OTC1" s="184"/>
      <c r="OTD1" s="184"/>
      <c r="OTE1" s="184"/>
      <c r="OTF1" s="184"/>
      <c r="OTG1" s="184"/>
      <c r="OTH1" s="184"/>
      <c r="OTI1" s="184"/>
      <c r="OTJ1" s="184"/>
      <c r="OTK1" s="184"/>
      <c r="OTL1" s="184"/>
      <c r="OTM1" s="184"/>
      <c r="OTN1" s="184"/>
      <c r="OTO1" s="184"/>
      <c r="OTP1" s="184"/>
      <c r="OTQ1" s="184"/>
      <c r="OTR1" s="184"/>
      <c r="OTS1" s="184"/>
      <c r="OTT1" s="184"/>
      <c r="OTU1" s="184"/>
      <c r="OTV1" s="184"/>
      <c r="OTW1" s="184"/>
      <c r="OTX1" s="184"/>
      <c r="OTY1" s="184"/>
      <c r="OTZ1" s="184"/>
      <c r="OUA1" s="184"/>
      <c r="OUB1" s="184"/>
      <c r="OUC1" s="184"/>
      <c r="OUD1" s="184"/>
      <c r="OUE1" s="184"/>
      <c r="OUF1" s="184"/>
      <c r="OUG1" s="184"/>
      <c r="OUH1" s="184"/>
      <c r="OUI1" s="184"/>
      <c r="OUJ1" s="184"/>
      <c r="OUK1" s="184"/>
      <c r="OUL1" s="184"/>
      <c r="OUM1" s="184"/>
      <c r="OUN1" s="184"/>
      <c r="OUO1" s="184"/>
      <c r="OUP1" s="184"/>
      <c r="OUQ1" s="184"/>
      <c r="OUR1" s="184"/>
      <c r="OUS1" s="184"/>
      <c r="OUT1" s="184"/>
      <c r="OUU1" s="184"/>
      <c r="OUV1" s="184"/>
      <c r="OUW1" s="184"/>
      <c r="OUX1" s="184"/>
      <c r="OUY1" s="184"/>
      <c r="OUZ1" s="184"/>
      <c r="OVA1" s="184"/>
      <c r="OVB1" s="184"/>
      <c r="OVC1" s="184"/>
      <c r="OVD1" s="184"/>
      <c r="OVE1" s="184"/>
      <c r="OVF1" s="184"/>
      <c r="OVG1" s="184"/>
      <c r="OVH1" s="184"/>
      <c r="OVI1" s="184"/>
      <c r="OVJ1" s="184"/>
      <c r="OVK1" s="184"/>
      <c r="OVL1" s="184"/>
      <c r="OVM1" s="184"/>
      <c r="OVN1" s="184"/>
      <c r="OVO1" s="184"/>
      <c r="OVP1" s="184"/>
      <c r="OVQ1" s="184"/>
      <c r="OVR1" s="184"/>
      <c r="OVS1" s="184"/>
      <c r="OVT1" s="184"/>
      <c r="OVU1" s="184"/>
      <c r="OVV1" s="184"/>
      <c r="OVW1" s="184"/>
      <c r="OVX1" s="184"/>
      <c r="OVY1" s="184"/>
      <c r="OVZ1" s="184"/>
      <c r="OWA1" s="184"/>
      <c r="OWB1" s="184"/>
      <c r="OWC1" s="184"/>
      <c r="OWD1" s="184"/>
      <c r="OWE1" s="184"/>
      <c r="OWF1" s="184"/>
      <c r="OWG1" s="184"/>
      <c r="OWH1" s="184"/>
      <c r="OWI1" s="184"/>
      <c r="OWJ1" s="184"/>
      <c r="OWK1" s="184"/>
      <c r="OWL1" s="184"/>
      <c r="OWM1" s="184"/>
      <c r="OWN1" s="184"/>
      <c r="OWO1" s="184"/>
      <c r="OWP1" s="184"/>
      <c r="OWQ1" s="184"/>
      <c r="OWR1" s="184"/>
      <c r="OWS1" s="184"/>
      <c r="OWT1" s="184"/>
      <c r="OWU1" s="184"/>
      <c r="OWV1" s="184"/>
      <c r="OWW1" s="184"/>
      <c r="OWX1" s="184"/>
      <c r="OWY1" s="184"/>
      <c r="OWZ1" s="184"/>
      <c r="OXA1" s="184"/>
      <c r="OXB1" s="184"/>
      <c r="OXC1" s="184"/>
      <c r="OXD1" s="184"/>
      <c r="OXE1" s="184"/>
      <c r="OXF1" s="184"/>
      <c r="OXG1" s="184"/>
      <c r="OXH1" s="184"/>
      <c r="OXI1" s="184"/>
      <c r="OXJ1" s="184"/>
      <c r="OXK1" s="184"/>
      <c r="OXL1" s="184"/>
      <c r="OXM1" s="184"/>
      <c r="OXN1" s="184"/>
      <c r="OXO1" s="184"/>
      <c r="OXP1" s="184"/>
      <c r="OXQ1" s="184"/>
      <c r="OXR1" s="184"/>
      <c r="OXS1" s="184"/>
      <c r="OXT1" s="184"/>
      <c r="OXU1" s="184"/>
      <c r="OXV1" s="184"/>
      <c r="OXW1" s="184"/>
      <c r="OXX1" s="184"/>
      <c r="OXY1" s="184"/>
      <c r="OXZ1" s="184"/>
      <c r="OYA1" s="184"/>
      <c r="OYB1" s="184"/>
      <c r="OYC1" s="184"/>
      <c r="OYD1" s="184"/>
      <c r="OYE1" s="184"/>
      <c r="OYF1" s="184"/>
      <c r="OYG1" s="184"/>
      <c r="OYH1" s="184"/>
      <c r="OYI1" s="184"/>
      <c r="OYJ1" s="184"/>
      <c r="OYK1" s="184"/>
      <c r="OYL1" s="184"/>
      <c r="OYM1" s="184"/>
      <c r="OYN1" s="184"/>
      <c r="OYO1" s="184"/>
      <c r="OYP1" s="184"/>
      <c r="OYQ1" s="184"/>
      <c r="OYR1" s="184"/>
      <c r="OYS1" s="184"/>
      <c r="OYT1" s="184"/>
      <c r="OYU1" s="184"/>
      <c r="OYV1" s="184"/>
      <c r="OYW1" s="184"/>
      <c r="OYX1" s="184"/>
      <c r="OYY1" s="184"/>
      <c r="OYZ1" s="184"/>
      <c r="OZA1" s="184"/>
      <c r="OZB1" s="184"/>
      <c r="OZC1" s="184"/>
      <c r="OZD1" s="184"/>
      <c r="OZE1" s="184"/>
      <c r="OZF1" s="184"/>
      <c r="OZG1" s="184"/>
      <c r="OZH1" s="184"/>
      <c r="OZI1" s="184"/>
      <c r="OZJ1" s="184"/>
      <c r="OZK1" s="184"/>
      <c r="OZL1" s="184"/>
      <c r="OZM1" s="184"/>
      <c r="OZN1" s="184"/>
      <c r="OZO1" s="184"/>
      <c r="OZP1" s="184"/>
      <c r="OZQ1" s="184"/>
      <c r="OZR1" s="184"/>
      <c r="OZS1" s="184"/>
      <c r="OZT1" s="184"/>
      <c r="OZU1" s="184"/>
      <c r="OZV1" s="184"/>
      <c r="OZW1" s="184"/>
      <c r="OZX1" s="184"/>
      <c r="OZY1" s="184"/>
      <c r="OZZ1" s="184"/>
      <c r="PAA1" s="184"/>
      <c r="PAB1" s="184"/>
      <c r="PAC1" s="184"/>
      <c r="PAD1" s="184"/>
      <c r="PAE1" s="184"/>
      <c r="PAF1" s="184"/>
      <c r="PAG1" s="184"/>
      <c r="PAH1" s="184"/>
      <c r="PAI1" s="184"/>
      <c r="PAJ1" s="184"/>
      <c r="PAK1" s="184"/>
      <c r="PAL1" s="184"/>
      <c r="PAM1" s="184"/>
      <c r="PAN1" s="184"/>
      <c r="PAO1" s="184"/>
      <c r="PAP1" s="184"/>
      <c r="PAQ1" s="184"/>
      <c r="PAR1" s="184"/>
      <c r="PAS1" s="184"/>
      <c r="PAT1" s="184"/>
      <c r="PAU1" s="184"/>
      <c r="PAV1" s="184"/>
      <c r="PAW1" s="184"/>
      <c r="PAX1" s="184"/>
      <c r="PAY1" s="184"/>
      <c r="PAZ1" s="184"/>
      <c r="PBA1" s="184"/>
      <c r="PBB1" s="184"/>
      <c r="PBC1" s="184"/>
      <c r="PBD1" s="184"/>
      <c r="PBE1" s="184"/>
      <c r="PBF1" s="184"/>
      <c r="PBG1" s="184"/>
      <c r="PBH1" s="184"/>
      <c r="PBI1" s="184"/>
      <c r="PBJ1" s="184"/>
      <c r="PBK1" s="184"/>
      <c r="PBL1" s="184"/>
      <c r="PBM1" s="184"/>
      <c r="PBN1" s="184"/>
      <c r="PBO1" s="184"/>
      <c r="PBP1" s="184"/>
      <c r="PBQ1" s="184"/>
      <c r="PBR1" s="184"/>
      <c r="PBS1" s="184"/>
      <c r="PBT1" s="184"/>
      <c r="PBU1" s="184"/>
      <c r="PBV1" s="184"/>
      <c r="PBW1" s="184"/>
      <c r="PBX1" s="184"/>
      <c r="PBY1" s="184"/>
      <c r="PBZ1" s="184"/>
      <c r="PCA1" s="184"/>
      <c r="PCB1" s="184"/>
      <c r="PCC1" s="184"/>
      <c r="PCD1" s="184"/>
      <c r="PCE1" s="184"/>
      <c r="PCF1" s="184"/>
      <c r="PCG1" s="184"/>
      <c r="PCH1" s="184"/>
      <c r="PCI1" s="184"/>
      <c r="PCJ1" s="184"/>
      <c r="PCK1" s="184"/>
      <c r="PCL1" s="184"/>
      <c r="PCM1" s="184"/>
      <c r="PCN1" s="184"/>
      <c r="PCO1" s="184"/>
      <c r="PCP1" s="184"/>
      <c r="PCQ1" s="184"/>
      <c r="PCR1" s="184"/>
      <c r="PCS1" s="184"/>
      <c r="PCT1" s="184"/>
      <c r="PCU1" s="184"/>
      <c r="PCV1" s="184"/>
      <c r="PCW1" s="184"/>
      <c r="PCX1" s="184"/>
      <c r="PCY1" s="184"/>
      <c r="PCZ1" s="184"/>
      <c r="PDA1" s="184"/>
      <c r="PDB1" s="184"/>
      <c r="PDC1" s="184"/>
      <c r="PDD1" s="184"/>
      <c r="PDE1" s="184"/>
      <c r="PDF1" s="184"/>
      <c r="PDG1" s="184"/>
      <c r="PDH1" s="184"/>
      <c r="PDI1" s="184"/>
      <c r="PDJ1" s="184"/>
      <c r="PDK1" s="184"/>
      <c r="PDL1" s="184"/>
      <c r="PDM1" s="184"/>
      <c r="PDN1" s="184"/>
      <c r="PDO1" s="184"/>
      <c r="PDP1" s="184"/>
      <c r="PDQ1" s="184"/>
      <c r="PDR1" s="184"/>
      <c r="PDS1" s="184"/>
      <c r="PDT1" s="184"/>
      <c r="PDU1" s="184"/>
      <c r="PDV1" s="184"/>
      <c r="PDW1" s="184"/>
      <c r="PDX1" s="184"/>
      <c r="PDY1" s="184"/>
      <c r="PDZ1" s="184"/>
      <c r="PEA1" s="184"/>
      <c r="PEB1" s="184"/>
      <c r="PEC1" s="184"/>
      <c r="PED1" s="184"/>
      <c r="PEE1" s="184"/>
      <c r="PEF1" s="184"/>
      <c r="PEG1" s="184"/>
      <c r="PEH1" s="184"/>
      <c r="PEI1" s="184"/>
      <c r="PEJ1" s="184"/>
      <c r="PEK1" s="184"/>
      <c r="PEL1" s="184"/>
      <c r="PEM1" s="184"/>
      <c r="PEN1" s="184"/>
      <c r="PEO1" s="184"/>
      <c r="PEP1" s="184"/>
      <c r="PEQ1" s="184"/>
      <c r="PER1" s="184"/>
      <c r="PES1" s="184"/>
      <c r="PET1" s="184"/>
      <c r="PEU1" s="184"/>
      <c r="PEV1" s="184"/>
      <c r="PEW1" s="184"/>
      <c r="PEX1" s="184"/>
      <c r="PEY1" s="184"/>
      <c r="PEZ1" s="184"/>
      <c r="PFA1" s="184"/>
      <c r="PFB1" s="184"/>
      <c r="PFC1" s="184"/>
      <c r="PFD1" s="184"/>
      <c r="PFE1" s="184"/>
      <c r="PFF1" s="184"/>
      <c r="PFG1" s="184"/>
      <c r="PFH1" s="184"/>
      <c r="PFI1" s="184"/>
      <c r="PFJ1" s="184"/>
      <c r="PFK1" s="184"/>
      <c r="PFL1" s="184"/>
      <c r="PFM1" s="184"/>
      <c r="PFN1" s="184"/>
      <c r="PFO1" s="184"/>
      <c r="PFP1" s="184"/>
      <c r="PFQ1" s="184"/>
      <c r="PFR1" s="184"/>
      <c r="PFS1" s="184"/>
      <c r="PFT1" s="184"/>
      <c r="PFU1" s="184"/>
      <c r="PFV1" s="184"/>
      <c r="PFW1" s="184"/>
      <c r="PFX1" s="184"/>
      <c r="PFY1" s="184"/>
      <c r="PFZ1" s="184"/>
      <c r="PGA1" s="184"/>
      <c r="PGB1" s="184"/>
      <c r="PGC1" s="184"/>
      <c r="PGD1" s="184"/>
      <c r="PGE1" s="184"/>
      <c r="PGF1" s="184"/>
      <c r="PGG1" s="184"/>
      <c r="PGH1" s="184"/>
      <c r="PGI1" s="184"/>
      <c r="PGJ1" s="184"/>
      <c r="PGK1" s="184"/>
      <c r="PGL1" s="184"/>
      <c r="PGM1" s="184"/>
      <c r="PGN1" s="184"/>
      <c r="PGO1" s="184"/>
      <c r="PGP1" s="184"/>
      <c r="PGQ1" s="184"/>
      <c r="PGR1" s="184"/>
      <c r="PGS1" s="184"/>
      <c r="PGT1" s="184"/>
      <c r="PGU1" s="184"/>
      <c r="PGV1" s="184"/>
      <c r="PGW1" s="184"/>
      <c r="PGX1" s="184"/>
      <c r="PGY1" s="184"/>
      <c r="PGZ1" s="184"/>
      <c r="PHA1" s="184"/>
      <c r="PHB1" s="184"/>
      <c r="PHC1" s="184"/>
      <c r="PHD1" s="184"/>
      <c r="PHE1" s="184"/>
      <c r="PHF1" s="184"/>
      <c r="PHG1" s="184"/>
      <c r="PHH1" s="184"/>
      <c r="PHI1" s="184"/>
      <c r="PHJ1" s="184"/>
      <c r="PHK1" s="184"/>
      <c r="PHL1" s="184"/>
      <c r="PHM1" s="184"/>
      <c r="PHN1" s="184"/>
      <c r="PHO1" s="184"/>
      <c r="PHP1" s="184"/>
      <c r="PHQ1" s="184"/>
      <c r="PHR1" s="184"/>
      <c r="PHS1" s="184"/>
      <c r="PHT1" s="184"/>
      <c r="PHU1" s="184"/>
      <c r="PHV1" s="184"/>
      <c r="PHW1" s="184"/>
      <c r="PHX1" s="184"/>
      <c r="PHY1" s="184"/>
      <c r="PHZ1" s="184"/>
      <c r="PIA1" s="184"/>
      <c r="PIB1" s="184"/>
      <c r="PIC1" s="184"/>
      <c r="PID1" s="184"/>
      <c r="PIE1" s="184"/>
      <c r="PIF1" s="184"/>
      <c r="PIG1" s="184"/>
      <c r="PIH1" s="184"/>
      <c r="PII1" s="184"/>
      <c r="PIJ1" s="184"/>
      <c r="PIK1" s="184"/>
      <c r="PIL1" s="184"/>
      <c r="PIM1" s="184"/>
      <c r="PIN1" s="184"/>
      <c r="PIO1" s="184"/>
      <c r="PIP1" s="184"/>
      <c r="PIQ1" s="184"/>
      <c r="PIR1" s="184"/>
      <c r="PIS1" s="184"/>
      <c r="PIT1" s="184"/>
      <c r="PIU1" s="184"/>
      <c r="PIV1" s="184"/>
      <c r="PIW1" s="184"/>
      <c r="PIX1" s="184"/>
      <c r="PIY1" s="184"/>
      <c r="PIZ1" s="184"/>
      <c r="PJA1" s="184"/>
      <c r="PJB1" s="184"/>
      <c r="PJC1" s="184"/>
      <c r="PJD1" s="184"/>
      <c r="PJE1" s="184"/>
      <c r="PJF1" s="184"/>
      <c r="PJG1" s="184"/>
      <c r="PJH1" s="184"/>
      <c r="PJI1" s="184"/>
      <c r="PJJ1" s="184"/>
      <c r="PJK1" s="184"/>
      <c r="PJL1" s="184"/>
      <c r="PJM1" s="184"/>
      <c r="PJN1" s="184"/>
      <c r="PJO1" s="184"/>
      <c r="PJP1" s="184"/>
      <c r="PJQ1" s="184"/>
      <c r="PJR1" s="184"/>
      <c r="PJS1" s="184"/>
      <c r="PJT1" s="184"/>
      <c r="PJU1" s="184"/>
      <c r="PJV1" s="184"/>
      <c r="PJW1" s="184"/>
      <c r="PJX1" s="184"/>
      <c r="PJY1" s="184"/>
      <c r="PJZ1" s="184"/>
      <c r="PKA1" s="184"/>
      <c r="PKB1" s="184"/>
      <c r="PKC1" s="184"/>
      <c r="PKD1" s="184"/>
      <c r="PKE1" s="184"/>
      <c r="PKF1" s="184"/>
      <c r="PKG1" s="184"/>
      <c r="PKH1" s="184"/>
      <c r="PKI1" s="184"/>
      <c r="PKJ1" s="184"/>
      <c r="PKK1" s="184"/>
      <c r="PKL1" s="184"/>
      <c r="PKM1" s="184"/>
      <c r="PKN1" s="184"/>
      <c r="PKO1" s="184"/>
      <c r="PKP1" s="184"/>
      <c r="PKQ1" s="184"/>
      <c r="PKR1" s="184"/>
      <c r="PKS1" s="184"/>
      <c r="PKT1" s="184"/>
      <c r="PKU1" s="184"/>
      <c r="PKV1" s="184"/>
      <c r="PKW1" s="184"/>
      <c r="PKX1" s="184"/>
      <c r="PKY1" s="184"/>
      <c r="PKZ1" s="184"/>
      <c r="PLA1" s="184"/>
      <c r="PLB1" s="184"/>
      <c r="PLC1" s="184"/>
      <c r="PLD1" s="184"/>
      <c r="PLE1" s="184"/>
      <c r="PLF1" s="184"/>
      <c r="PLG1" s="184"/>
      <c r="PLH1" s="184"/>
      <c r="PLI1" s="184"/>
      <c r="PLJ1" s="184"/>
      <c r="PLK1" s="184"/>
      <c r="PLL1" s="184"/>
      <c r="PLM1" s="184"/>
      <c r="PLN1" s="184"/>
      <c r="PLO1" s="184"/>
      <c r="PLP1" s="184"/>
      <c r="PLQ1" s="184"/>
      <c r="PLR1" s="184"/>
      <c r="PLS1" s="184"/>
      <c r="PLT1" s="184"/>
      <c r="PLU1" s="184"/>
      <c r="PLV1" s="184"/>
      <c r="PLW1" s="184"/>
      <c r="PLX1" s="184"/>
      <c r="PLY1" s="184"/>
      <c r="PLZ1" s="184"/>
      <c r="PMA1" s="184"/>
      <c r="PMB1" s="184"/>
      <c r="PMC1" s="184"/>
      <c r="PMD1" s="184"/>
      <c r="PME1" s="184"/>
      <c r="PMF1" s="184"/>
      <c r="PMG1" s="184"/>
      <c r="PMH1" s="184"/>
      <c r="PMI1" s="184"/>
      <c r="PMJ1" s="184"/>
      <c r="PMK1" s="184"/>
      <c r="PML1" s="184"/>
      <c r="PMM1" s="184"/>
      <c r="PMN1" s="184"/>
      <c r="PMO1" s="184"/>
      <c r="PMP1" s="184"/>
      <c r="PMQ1" s="184"/>
      <c r="PMR1" s="184"/>
      <c r="PMS1" s="184"/>
      <c r="PMT1" s="184"/>
      <c r="PMU1" s="184"/>
      <c r="PMV1" s="184"/>
      <c r="PMW1" s="184"/>
      <c r="PMX1" s="184"/>
      <c r="PMY1" s="184"/>
      <c r="PMZ1" s="184"/>
      <c r="PNA1" s="184"/>
      <c r="PNB1" s="184"/>
      <c r="PNC1" s="184"/>
      <c r="PND1" s="184"/>
      <c r="PNE1" s="184"/>
      <c r="PNF1" s="184"/>
      <c r="PNG1" s="184"/>
      <c r="PNH1" s="184"/>
      <c r="PNI1" s="184"/>
      <c r="PNJ1" s="184"/>
      <c r="PNK1" s="184"/>
      <c r="PNL1" s="184"/>
      <c r="PNM1" s="184"/>
      <c r="PNN1" s="184"/>
      <c r="PNO1" s="184"/>
      <c r="PNP1" s="184"/>
      <c r="PNQ1" s="184"/>
      <c r="PNR1" s="184"/>
      <c r="PNS1" s="184"/>
      <c r="PNT1" s="184"/>
      <c r="PNU1" s="184"/>
      <c r="PNV1" s="184"/>
      <c r="PNW1" s="184"/>
      <c r="PNX1" s="184"/>
      <c r="PNY1" s="184"/>
      <c r="PNZ1" s="184"/>
      <c r="POA1" s="184"/>
      <c r="POB1" s="184"/>
      <c r="POC1" s="184"/>
      <c r="POD1" s="184"/>
      <c r="POE1" s="184"/>
      <c r="POF1" s="184"/>
      <c r="POG1" s="184"/>
      <c r="POH1" s="184"/>
      <c r="POI1" s="184"/>
      <c r="POJ1" s="184"/>
      <c r="POK1" s="184"/>
      <c r="POL1" s="184"/>
      <c r="POM1" s="184"/>
      <c r="PON1" s="184"/>
      <c r="POO1" s="184"/>
      <c r="POP1" s="184"/>
      <c r="POQ1" s="184"/>
      <c r="POR1" s="184"/>
      <c r="POS1" s="184"/>
      <c r="POT1" s="184"/>
      <c r="POU1" s="184"/>
      <c r="POV1" s="184"/>
      <c r="POW1" s="184"/>
      <c r="POX1" s="184"/>
      <c r="POY1" s="184"/>
      <c r="POZ1" s="184"/>
      <c r="PPA1" s="184"/>
      <c r="PPB1" s="184"/>
      <c r="PPC1" s="184"/>
      <c r="PPD1" s="184"/>
      <c r="PPE1" s="184"/>
      <c r="PPF1" s="184"/>
      <c r="PPG1" s="184"/>
      <c r="PPH1" s="184"/>
      <c r="PPI1" s="184"/>
      <c r="PPJ1" s="184"/>
      <c r="PPK1" s="184"/>
      <c r="PPL1" s="184"/>
      <c r="PPM1" s="184"/>
      <c r="PPN1" s="184"/>
      <c r="PPO1" s="184"/>
      <c r="PPP1" s="184"/>
      <c r="PPQ1" s="184"/>
      <c r="PPR1" s="184"/>
      <c r="PPS1" s="184"/>
      <c r="PPT1" s="184"/>
      <c r="PPU1" s="184"/>
      <c r="PPV1" s="184"/>
      <c r="PPW1" s="184"/>
      <c r="PPX1" s="184"/>
      <c r="PPY1" s="184"/>
      <c r="PPZ1" s="184"/>
      <c r="PQA1" s="184"/>
      <c r="PQB1" s="184"/>
      <c r="PQC1" s="184"/>
      <c r="PQD1" s="184"/>
      <c r="PQE1" s="184"/>
      <c r="PQF1" s="184"/>
      <c r="PQG1" s="184"/>
      <c r="PQH1" s="184"/>
      <c r="PQI1" s="184"/>
      <c r="PQJ1" s="184"/>
      <c r="PQK1" s="184"/>
      <c r="PQL1" s="184"/>
      <c r="PQM1" s="184"/>
      <c r="PQN1" s="184"/>
      <c r="PQO1" s="184"/>
      <c r="PQP1" s="184"/>
      <c r="PQQ1" s="184"/>
      <c r="PQR1" s="184"/>
      <c r="PQS1" s="184"/>
      <c r="PQT1" s="184"/>
      <c r="PQU1" s="184"/>
      <c r="PQV1" s="184"/>
      <c r="PQW1" s="184"/>
      <c r="PQX1" s="184"/>
      <c r="PQY1" s="184"/>
      <c r="PQZ1" s="184"/>
      <c r="PRA1" s="184"/>
      <c r="PRB1" s="184"/>
      <c r="PRC1" s="184"/>
      <c r="PRD1" s="184"/>
      <c r="PRE1" s="184"/>
      <c r="PRF1" s="184"/>
      <c r="PRG1" s="184"/>
      <c r="PRH1" s="184"/>
      <c r="PRI1" s="184"/>
      <c r="PRJ1" s="184"/>
      <c r="PRK1" s="184"/>
      <c r="PRL1" s="184"/>
      <c r="PRM1" s="184"/>
      <c r="PRN1" s="184"/>
      <c r="PRO1" s="184"/>
      <c r="PRP1" s="184"/>
      <c r="PRQ1" s="184"/>
      <c r="PRR1" s="184"/>
      <c r="PRS1" s="184"/>
      <c r="PRT1" s="184"/>
      <c r="PRU1" s="184"/>
      <c r="PRV1" s="184"/>
      <c r="PRW1" s="184"/>
      <c r="PRX1" s="184"/>
      <c r="PRY1" s="184"/>
      <c r="PRZ1" s="184"/>
      <c r="PSA1" s="184"/>
      <c r="PSB1" s="184"/>
      <c r="PSC1" s="184"/>
      <c r="PSD1" s="184"/>
      <c r="PSE1" s="184"/>
      <c r="PSF1" s="184"/>
      <c r="PSG1" s="184"/>
      <c r="PSH1" s="184"/>
      <c r="PSI1" s="184"/>
      <c r="PSJ1" s="184"/>
      <c r="PSK1" s="184"/>
      <c r="PSL1" s="184"/>
      <c r="PSM1" s="184"/>
      <c r="PSN1" s="184"/>
      <c r="PSO1" s="184"/>
      <c r="PSP1" s="184"/>
      <c r="PSQ1" s="184"/>
      <c r="PSR1" s="184"/>
      <c r="PSS1" s="184"/>
      <c r="PST1" s="184"/>
      <c r="PSU1" s="184"/>
      <c r="PSV1" s="184"/>
      <c r="PSW1" s="184"/>
      <c r="PSX1" s="184"/>
      <c r="PSY1" s="184"/>
      <c r="PSZ1" s="184"/>
      <c r="PTA1" s="184"/>
      <c r="PTB1" s="184"/>
      <c r="PTC1" s="184"/>
      <c r="PTD1" s="184"/>
      <c r="PTE1" s="184"/>
      <c r="PTF1" s="184"/>
      <c r="PTG1" s="184"/>
      <c r="PTH1" s="184"/>
      <c r="PTI1" s="184"/>
      <c r="PTJ1" s="184"/>
      <c r="PTK1" s="184"/>
      <c r="PTL1" s="184"/>
      <c r="PTM1" s="184"/>
      <c r="PTN1" s="184"/>
      <c r="PTO1" s="184"/>
      <c r="PTP1" s="184"/>
      <c r="PTQ1" s="184"/>
      <c r="PTR1" s="184"/>
      <c r="PTS1" s="184"/>
      <c r="PTT1" s="184"/>
      <c r="PTU1" s="184"/>
      <c r="PTV1" s="184"/>
      <c r="PTW1" s="184"/>
      <c r="PTX1" s="184"/>
      <c r="PTY1" s="184"/>
      <c r="PTZ1" s="184"/>
      <c r="PUA1" s="184"/>
      <c r="PUB1" s="184"/>
      <c r="PUC1" s="184"/>
      <c r="PUD1" s="184"/>
      <c r="PUE1" s="184"/>
      <c r="PUF1" s="184"/>
      <c r="PUG1" s="184"/>
      <c r="PUH1" s="184"/>
      <c r="PUI1" s="184"/>
      <c r="PUJ1" s="184"/>
      <c r="PUK1" s="184"/>
      <c r="PUL1" s="184"/>
      <c r="PUM1" s="184"/>
      <c r="PUN1" s="184"/>
      <c r="PUO1" s="184"/>
      <c r="PUP1" s="184"/>
      <c r="PUQ1" s="184"/>
      <c r="PUR1" s="184"/>
      <c r="PUS1" s="184"/>
      <c r="PUT1" s="184"/>
      <c r="PUU1" s="184"/>
      <c r="PUV1" s="184"/>
      <c r="PUW1" s="184"/>
      <c r="PUX1" s="184"/>
      <c r="PUY1" s="184"/>
      <c r="PUZ1" s="184"/>
      <c r="PVA1" s="184"/>
      <c r="PVB1" s="184"/>
      <c r="PVC1" s="184"/>
      <c r="PVD1" s="184"/>
      <c r="PVE1" s="184"/>
      <c r="PVF1" s="184"/>
      <c r="PVG1" s="184"/>
      <c r="PVH1" s="184"/>
      <c r="PVI1" s="184"/>
      <c r="PVJ1" s="184"/>
      <c r="PVK1" s="184"/>
      <c r="PVL1" s="184"/>
      <c r="PVM1" s="184"/>
      <c r="PVN1" s="184"/>
      <c r="PVO1" s="184"/>
      <c r="PVP1" s="184"/>
      <c r="PVQ1" s="184"/>
      <c r="PVR1" s="184"/>
      <c r="PVS1" s="184"/>
      <c r="PVT1" s="184"/>
      <c r="PVU1" s="184"/>
      <c r="PVV1" s="184"/>
      <c r="PVW1" s="184"/>
      <c r="PVX1" s="184"/>
      <c r="PVY1" s="184"/>
      <c r="PVZ1" s="184"/>
      <c r="PWA1" s="184"/>
      <c r="PWB1" s="184"/>
      <c r="PWC1" s="184"/>
      <c r="PWD1" s="184"/>
      <c r="PWE1" s="184"/>
      <c r="PWF1" s="184"/>
      <c r="PWG1" s="184"/>
      <c r="PWH1" s="184"/>
      <c r="PWI1" s="184"/>
      <c r="PWJ1" s="184"/>
      <c r="PWK1" s="184"/>
      <c r="PWL1" s="184"/>
      <c r="PWM1" s="184"/>
      <c r="PWN1" s="184"/>
      <c r="PWO1" s="184"/>
      <c r="PWP1" s="184"/>
      <c r="PWQ1" s="184"/>
      <c r="PWR1" s="184"/>
      <c r="PWS1" s="184"/>
      <c r="PWT1" s="184"/>
      <c r="PWU1" s="184"/>
      <c r="PWV1" s="184"/>
      <c r="PWW1" s="184"/>
      <c r="PWX1" s="184"/>
      <c r="PWY1" s="184"/>
      <c r="PWZ1" s="184"/>
      <c r="PXA1" s="184"/>
      <c r="PXB1" s="184"/>
      <c r="PXC1" s="184"/>
      <c r="PXD1" s="184"/>
      <c r="PXE1" s="184"/>
      <c r="PXF1" s="184"/>
      <c r="PXG1" s="184"/>
      <c r="PXH1" s="184"/>
      <c r="PXI1" s="184"/>
      <c r="PXJ1" s="184"/>
      <c r="PXK1" s="184"/>
      <c r="PXL1" s="184"/>
      <c r="PXM1" s="184"/>
      <c r="PXN1" s="184"/>
      <c r="PXO1" s="184"/>
      <c r="PXP1" s="184"/>
      <c r="PXQ1" s="184"/>
      <c r="PXR1" s="184"/>
      <c r="PXS1" s="184"/>
      <c r="PXT1" s="184"/>
      <c r="PXU1" s="184"/>
      <c r="PXV1" s="184"/>
      <c r="PXW1" s="184"/>
      <c r="PXX1" s="184"/>
      <c r="PXY1" s="184"/>
      <c r="PXZ1" s="184"/>
      <c r="PYA1" s="184"/>
      <c r="PYB1" s="184"/>
      <c r="PYC1" s="184"/>
      <c r="PYD1" s="184"/>
      <c r="PYE1" s="184"/>
      <c r="PYF1" s="184"/>
      <c r="PYG1" s="184"/>
      <c r="PYH1" s="184"/>
      <c r="PYI1" s="184"/>
      <c r="PYJ1" s="184"/>
      <c r="PYK1" s="184"/>
      <c r="PYL1" s="184"/>
      <c r="PYM1" s="184"/>
      <c r="PYN1" s="184"/>
      <c r="PYO1" s="184"/>
      <c r="PYP1" s="184"/>
      <c r="PYQ1" s="184"/>
      <c r="PYR1" s="184"/>
      <c r="PYS1" s="184"/>
      <c r="PYT1" s="184"/>
      <c r="PYU1" s="184"/>
      <c r="PYV1" s="184"/>
      <c r="PYW1" s="184"/>
      <c r="PYX1" s="184"/>
      <c r="PYY1" s="184"/>
      <c r="PYZ1" s="184"/>
      <c r="PZA1" s="184"/>
      <c r="PZB1" s="184"/>
      <c r="PZC1" s="184"/>
      <c r="PZD1" s="184"/>
      <c r="PZE1" s="184"/>
      <c r="PZF1" s="184"/>
      <c r="PZG1" s="184"/>
      <c r="PZH1" s="184"/>
      <c r="PZI1" s="184"/>
      <c r="PZJ1" s="184"/>
      <c r="PZK1" s="184"/>
      <c r="PZL1" s="184"/>
      <c r="PZM1" s="184"/>
      <c r="PZN1" s="184"/>
      <c r="PZO1" s="184"/>
      <c r="PZP1" s="184"/>
      <c r="PZQ1" s="184"/>
      <c r="PZR1" s="184"/>
      <c r="PZS1" s="184"/>
      <c r="PZT1" s="184"/>
      <c r="PZU1" s="184"/>
      <c r="PZV1" s="184"/>
      <c r="PZW1" s="184"/>
      <c r="PZX1" s="184"/>
      <c r="PZY1" s="184"/>
      <c r="PZZ1" s="184"/>
      <c r="QAA1" s="184"/>
      <c r="QAB1" s="184"/>
      <c r="QAC1" s="184"/>
      <c r="QAD1" s="184"/>
      <c r="QAE1" s="184"/>
      <c r="QAF1" s="184"/>
      <c r="QAG1" s="184"/>
      <c r="QAH1" s="184"/>
      <c r="QAI1" s="184"/>
      <c r="QAJ1" s="184"/>
      <c r="QAK1" s="184"/>
      <c r="QAL1" s="184"/>
      <c r="QAM1" s="184"/>
      <c r="QAN1" s="184"/>
      <c r="QAO1" s="184"/>
      <c r="QAP1" s="184"/>
      <c r="QAQ1" s="184"/>
      <c r="QAR1" s="184"/>
      <c r="QAS1" s="184"/>
      <c r="QAT1" s="184"/>
      <c r="QAU1" s="184"/>
      <c r="QAV1" s="184"/>
      <c r="QAW1" s="184"/>
      <c r="QAX1" s="184"/>
      <c r="QAY1" s="184"/>
      <c r="QAZ1" s="184"/>
      <c r="QBA1" s="184"/>
      <c r="QBB1" s="184"/>
      <c r="QBC1" s="184"/>
      <c r="QBD1" s="184"/>
      <c r="QBE1" s="184"/>
      <c r="QBF1" s="184"/>
      <c r="QBG1" s="184"/>
      <c r="QBH1" s="184"/>
      <c r="QBI1" s="184"/>
      <c r="QBJ1" s="184"/>
      <c r="QBK1" s="184"/>
      <c r="QBL1" s="184"/>
      <c r="QBM1" s="184"/>
      <c r="QBN1" s="184"/>
      <c r="QBO1" s="184"/>
      <c r="QBP1" s="184"/>
      <c r="QBQ1" s="184"/>
      <c r="QBR1" s="184"/>
      <c r="QBS1" s="184"/>
      <c r="QBT1" s="184"/>
      <c r="QBU1" s="184"/>
      <c r="QBV1" s="184"/>
      <c r="QBW1" s="184"/>
      <c r="QBX1" s="184"/>
      <c r="QBY1" s="184"/>
      <c r="QBZ1" s="184"/>
      <c r="QCA1" s="184"/>
      <c r="QCB1" s="184"/>
      <c r="QCC1" s="184"/>
      <c r="QCD1" s="184"/>
      <c r="QCE1" s="184"/>
      <c r="QCF1" s="184"/>
      <c r="QCG1" s="184"/>
      <c r="QCH1" s="184"/>
      <c r="QCI1" s="184"/>
      <c r="QCJ1" s="184"/>
      <c r="QCK1" s="184"/>
      <c r="QCL1" s="184"/>
      <c r="QCM1" s="184"/>
      <c r="QCN1" s="184"/>
      <c r="QCO1" s="184"/>
      <c r="QCP1" s="184"/>
      <c r="QCQ1" s="184"/>
      <c r="QCR1" s="184"/>
      <c r="QCS1" s="184"/>
      <c r="QCT1" s="184"/>
      <c r="QCU1" s="184"/>
      <c r="QCV1" s="184"/>
      <c r="QCW1" s="184"/>
      <c r="QCX1" s="184"/>
      <c r="QCY1" s="184"/>
      <c r="QCZ1" s="184"/>
      <c r="QDA1" s="184"/>
      <c r="QDB1" s="184"/>
      <c r="QDC1" s="184"/>
      <c r="QDD1" s="184"/>
      <c r="QDE1" s="184"/>
      <c r="QDF1" s="184"/>
      <c r="QDG1" s="184"/>
      <c r="QDH1" s="184"/>
      <c r="QDI1" s="184"/>
      <c r="QDJ1" s="184"/>
      <c r="QDK1" s="184"/>
      <c r="QDL1" s="184"/>
      <c r="QDM1" s="184"/>
      <c r="QDN1" s="184"/>
      <c r="QDO1" s="184"/>
      <c r="QDP1" s="184"/>
      <c r="QDQ1" s="184"/>
      <c r="QDR1" s="184"/>
      <c r="QDS1" s="184"/>
      <c r="QDT1" s="184"/>
      <c r="QDU1" s="184"/>
      <c r="QDV1" s="184"/>
      <c r="QDW1" s="184"/>
      <c r="QDX1" s="184"/>
      <c r="QDY1" s="184"/>
      <c r="QDZ1" s="184"/>
      <c r="QEA1" s="184"/>
      <c r="QEB1" s="184"/>
      <c r="QEC1" s="184"/>
      <c r="QED1" s="184"/>
      <c r="QEE1" s="184"/>
      <c r="QEF1" s="184"/>
      <c r="QEG1" s="184"/>
      <c r="QEH1" s="184"/>
      <c r="QEI1" s="184"/>
      <c r="QEJ1" s="184"/>
      <c r="QEK1" s="184"/>
      <c r="QEL1" s="184"/>
      <c r="QEM1" s="184"/>
      <c r="QEN1" s="184"/>
      <c r="QEO1" s="184"/>
      <c r="QEP1" s="184"/>
      <c r="QEQ1" s="184"/>
      <c r="QER1" s="184"/>
      <c r="QES1" s="184"/>
      <c r="QET1" s="184"/>
      <c r="QEU1" s="184"/>
      <c r="QEV1" s="184"/>
      <c r="QEW1" s="184"/>
      <c r="QEX1" s="184"/>
      <c r="QEY1" s="184"/>
      <c r="QEZ1" s="184"/>
      <c r="QFA1" s="184"/>
      <c r="QFB1" s="184"/>
      <c r="QFC1" s="184"/>
      <c r="QFD1" s="184"/>
      <c r="QFE1" s="184"/>
      <c r="QFF1" s="184"/>
      <c r="QFG1" s="184"/>
      <c r="QFH1" s="184"/>
      <c r="QFI1" s="184"/>
      <c r="QFJ1" s="184"/>
      <c r="QFK1" s="184"/>
      <c r="QFL1" s="184"/>
      <c r="QFM1" s="184"/>
      <c r="QFN1" s="184"/>
      <c r="QFO1" s="184"/>
      <c r="QFP1" s="184"/>
      <c r="QFQ1" s="184"/>
      <c r="QFR1" s="184"/>
      <c r="QFS1" s="184"/>
      <c r="QFT1" s="184"/>
      <c r="QFU1" s="184"/>
      <c r="QFV1" s="184"/>
      <c r="QFW1" s="184"/>
      <c r="QFX1" s="184"/>
      <c r="QFY1" s="184"/>
      <c r="QFZ1" s="184"/>
      <c r="QGA1" s="184"/>
      <c r="QGB1" s="184"/>
      <c r="QGC1" s="184"/>
      <c r="QGD1" s="184"/>
      <c r="QGE1" s="184"/>
      <c r="QGF1" s="184"/>
      <c r="QGG1" s="184"/>
      <c r="QGH1" s="184"/>
      <c r="QGI1" s="184"/>
      <c r="QGJ1" s="184"/>
      <c r="QGK1" s="184"/>
      <c r="QGL1" s="184"/>
      <c r="QGM1" s="184"/>
      <c r="QGN1" s="184"/>
      <c r="QGO1" s="184"/>
      <c r="QGP1" s="184"/>
      <c r="QGQ1" s="184"/>
      <c r="QGR1" s="184"/>
      <c r="QGS1" s="184"/>
      <c r="QGT1" s="184"/>
      <c r="QGU1" s="184"/>
      <c r="QGV1" s="184"/>
      <c r="QGW1" s="184"/>
      <c r="QGX1" s="184"/>
      <c r="QGY1" s="184"/>
      <c r="QGZ1" s="184"/>
      <c r="QHA1" s="184"/>
      <c r="QHB1" s="184"/>
      <c r="QHC1" s="184"/>
      <c r="QHD1" s="184"/>
      <c r="QHE1" s="184"/>
      <c r="QHF1" s="184"/>
      <c r="QHG1" s="184"/>
      <c r="QHH1" s="184"/>
      <c r="QHI1" s="184"/>
      <c r="QHJ1" s="184"/>
      <c r="QHK1" s="184"/>
      <c r="QHL1" s="184"/>
      <c r="QHM1" s="184"/>
      <c r="QHN1" s="184"/>
      <c r="QHO1" s="184"/>
      <c r="QHP1" s="184"/>
      <c r="QHQ1" s="184"/>
      <c r="QHR1" s="184"/>
      <c r="QHS1" s="184"/>
      <c r="QHT1" s="184"/>
      <c r="QHU1" s="184"/>
      <c r="QHV1" s="184"/>
      <c r="QHW1" s="184"/>
      <c r="QHX1" s="184"/>
      <c r="QHY1" s="184"/>
      <c r="QHZ1" s="184"/>
      <c r="QIA1" s="184"/>
      <c r="QIB1" s="184"/>
      <c r="QIC1" s="184"/>
      <c r="QID1" s="184"/>
      <c r="QIE1" s="184"/>
      <c r="QIF1" s="184"/>
      <c r="QIG1" s="184"/>
      <c r="QIH1" s="184"/>
      <c r="QII1" s="184"/>
      <c r="QIJ1" s="184"/>
      <c r="QIK1" s="184"/>
      <c r="QIL1" s="184"/>
      <c r="QIM1" s="184"/>
      <c r="QIN1" s="184"/>
      <c r="QIO1" s="184"/>
      <c r="QIP1" s="184"/>
      <c r="QIQ1" s="184"/>
      <c r="QIR1" s="184"/>
      <c r="QIS1" s="184"/>
      <c r="QIT1" s="184"/>
      <c r="QIU1" s="184"/>
      <c r="QIV1" s="184"/>
      <c r="QIW1" s="184"/>
      <c r="QIX1" s="184"/>
      <c r="QIY1" s="184"/>
      <c r="QIZ1" s="184"/>
      <c r="QJA1" s="184"/>
      <c r="QJB1" s="184"/>
      <c r="QJC1" s="184"/>
      <c r="QJD1" s="184"/>
      <c r="QJE1" s="184"/>
      <c r="QJF1" s="184"/>
      <c r="QJG1" s="184"/>
      <c r="QJH1" s="184"/>
      <c r="QJI1" s="184"/>
      <c r="QJJ1" s="184"/>
      <c r="QJK1" s="184"/>
      <c r="QJL1" s="184"/>
      <c r="QJM1" s="184"/>
      <c r="QJN1" s="184"/>
      <c r="QJO1" s="184"/>
      <c r="QJP1" s="184"/>
      <c r="QJQ1" s="184"/>
      <c r="QJR1" s="184"/>
      <c r="QJS1" s="184"/>
      <c r="QJT1" s="184"/>
      <c r="QJU1" s="184"/>
      <c r="QJV1" s="184"/>
      <c r="QJW1" s="184"/>
      <c r="QJX1" s="184"/>
      <c r="QJY1" s="184"/>
      <c r="QJZ1" s="184"/>
      <c r="QKA1" s="184"/>
      <c r="QKB1" s="184"/>
      <c r="QKC1" s="184"/>
      <c r="QKD1" s="184"/>
      <c r="QKE1" s="184"/>
      <c r="QKF1" s="184"/>
      <c r="QKG1" s="184"/>
      <c r="QKH1" s="184"/>
      <c r="QKI1" s="184"/>
      <c r="QKJ1" s="184"/>
      <c r="QKK1" s="184"/>
      <c r="QKL1" s="184"/>
      <c r="QKM1" s="184"/>
      <c r="QKN1" s="184"/>
      <c r="QKO1" s="184"/>
      <c r="QKP1" s="184"/>
      <c r="QKQ1" s="184"/>
      <c r="QKR1" s="184"/>
      <c r="QKS1" s="184"/>
      <c r="QKT1" s="184"/>
      <c r="QKU1" s="184"/>
      <c r="QKV1" s="184"/>
      <c r="QKW1" s="184"/>
      <c r="QKX1" s="184"/>
      <c r="QKY1" s="184"/>
      <c r="QKZ1" s="184"/>
      <c r="QLA1" s="184"/>
      <c r="QLB1" s="184"/>
      <c r="QLC1" s="184"/>
      <c r="QLD1" s="184"/>
      <c r="QLE1" s="184"/>
      <c r="QLF1" s="184"/>
      <c r="QLG1" s="184"/>
      <c r="QLH1" s="184"/>
      <c r="QLI1" s="184"/>
      <c r="QLJ1" s="184"/>
      <c r="QLK1" s="184"/>
      <c r="QLL1" s="184"/>
      <c r="QLM1" s="184"/>
      <c r="QLN1" s="184"/>
      <c r="QLO1" s="184"/>
      <c r="QLP1" s="184"/>
      <c r="QLQ1" s="184"/>
      <c r="QLR1" s="184"/>
      <c r="QLS1" s="184"/>
      <c r="QLT1" s="184"/>
      <c r="QLU1" s="184"/>
      <c r="QLV1" s="184"/>
      <c r="QLW1" s="184"/>
      <c r="QLX1" s="184"/>
      <c r="QLY1" s="184"/>
      <c r="QLZ1" s="184"/>
      <c r="QMA1" s="184"/>
      <c r="QMB1" s="184"/>
      <c r="QMC1" s="184"/>
      <c r="QMD1" s="184"/>
      <c r="QME1" s="184"/>
      <c r="QMF1" s="184"/>
      <c r="QMG1" s="184"/>
      <c r="QMH1" s="184"/>
      <c r="QMI1" s="184"/>
      <c r="QMJ1" s="184"/>
      <c r="QMK1" s="184"/>
      <c r="QML1" s="184"/>
      <c r="QMM1" s="184"/>
      <c r="QMN1" s="184"/>
      <c r="QMO1" s="184"/>
      <c r="QMP1" s="184"/>
      <c r="QMQ1" s="184"/>
      <c r="QMR1" s="184"/>
      <c r="QMS1" s="184"/>
      <c r="QMT1" s="184"/>
      <c r="QMU1" s="184"/>
      <c r="QMV1" s="184"/>
      <c r="QMW1" s="184"/>
      <c r="QMX1" s="184"/>
      <c r="QMY1" s="184"/>
      <c r="QMZ1" s="184"/>
      <c r="QNA1" s="184"/>
      <c r="QNB1" s="184"/>
      <c r="QNC1" s="184"/>
      <c r="QND1" s="184"/>
      <c r="QNE1" s="184"/>
      <c r="QNF1" s="184"/>
      <c r="QNG1" s="184"/>
      <c r="QNH1" s="184"/>
      <c r="QNI1" s="184"/>
      <c r="QNJ1" s="184"/>
      <c r="QNK1" s="184"/>
      <c r="QNL1" s="184"/>
      <c r="QNM1" s="184"/>
      <c r="QNN1" s="184"/>
      <c r="QNO1" s="184"/>
      <c r="QNP1" s="184"/>
      <c r="QNQ1" s="184"/>
      <c r="QNR1" s="184"/>
      <c r="QNS1" s="184"/>
      <c r="QNT1" s="184"/>
      <c r="QNU1" s="184"/>
      <c r="QNV1" s="184"/>
      <c r="QNW1" s="184"/>
      <c r="QNX1" s="184"/>
      <c r="QNY1" s="184"/>
      <c r="QNZ1" s="184"/>
      <c r="QOA1" s="184"/>
      <c r="QOB1" s="184"/>
      <c r="QOC1" s="184"/>
      <c r="QOD1" s="184"/>
      <c r="QOE1" s="184"/>
      <c r="QOF1" s="184"/>
      <c r="QOG1" s="184"/>
      <c r="QOH1" s="184"/>
      <c r="QOI1" s="184"/>
      <c r="QOJ1" s="184"/>
      <c r="QOK1" s="184"/>
      <c r="QOL1" s="184"/>
      <c r="QOM1" s="184"/>
      <c r="QON1" s="184"/>
      <c r="QOO1" s="184"/>
      <c r="QOP1" s="184"/>
      <c r="QOQ1" s="184"/>
      <c r="QOR1" s="184"/>
      <c r="QOS1" s="184"/>
      <c r="QOT1" s="184"/>
      <c r="QOU1" s="184"/>
      <c r="QOV1" s="184"/>
      <c r="QOW1" s="184"/>
      <c r="QOX1" s="184"/>
      <c r="QOY1" s="184"/>
      <c r="QOZ1" s="184"/>
      <c r="QPA1" s="184"/>
      <c r="QPB1" s="184"/>
      <c r="QPC1" s="184"/>
      <c r="QPD1" s="184"/>
      <c r="QPE1" s="184"/>
      <c r="QPF1" s="184"/>
      <c r="QPG1" s="184"/>
      <c r="QPH1" s="184"/>
      <c r="QPI1" s="184"/>
      <c r="QPJ1" s="184"/>
      <c r="QPK1" s="184"/>
      <c r="QPL1" s="184"/>
      <c r="QPM1" s="184"/>
      <c r="QPN1" s="184"/>
      <c r="QPO1" s="184"/>
      <c r="QPP1" s="184"/>
      <c r="QPQ1" s="184"/>
      <c r="QPR1" s="184"/>
      <c r="QPS1" s="184"/>
      <c r="QPT1" s="184"/>
      <c r="QPU1" s="184"/>
      <c r="QPV1" s="184"/>
      <c r="QPW1" s="184"/>
      <c r="QPX1" s="184"/>
      <c r="QPY1" s="184"/>
      <c r="QPZ1" s="184"/>
      <c r="QQA1" s="184"/>
      <c r="QQB1" s="184"/>
      <c r="QQC1" s="184"/>
      <c r="QQD1" s="184"/>
      <c r="QQE1" s="184"/>
      <c r="QQF1" s="184"/>
      <c r="QQG1" s="184"/>
      <c r="QQH1" s="184"/>
      <c r="QQI1" s="184"/>
      <c r="QQJ1" s="184"/>
      <c r="QQK1" s="184"/>
      <c r="QQL1" s="184"/>
      <c r="QQM1" s="184"/>
      <c r="QQN1" s="184"/>
      <c r="QQO1" s="184"/>
      <c r="QQP1" s="184"/>
      <c r="QQQ1" s="184"/>
      <c r="QQR1" s="184"/>
      <c r="QQS1" s="184"/>
      <c r="QQT1" s="184"/>
      <c r="QQU1" s="184"/>
      <c r="QQV1" s="184"/>
      <c r="QQW1" s="184"/>
      <c r="QQX1" s="184"/>
      <c r="QQY1" s="184"/>
      <c r="QQZ1" s="184"/>
      <c r="QRA1" s="184"/>
      <c r="QRB1" s="184"/>
      <c r="QRC1" s="184"/>
      <c r="QRD1" s="184"/>
      <c r="QRE1" s="184"/>
      <c r="QRF1" s="184"/>
      <c r="QRG1" s="184"/>
      <c r="QRH1" s="184"/>
      <c r="QRI1" s="184"/>
      <c r="QRJ1" s="184"/>
      <c r="QRK1" s="184"/>
      <c r="QRL1" s="184"/>
      <c r="QRM1" s="184"/>
      <c r="QRN1" s="184"/>
      <c r="QRO1" s="184"/>
      <c r="QRP1" s="184"/>
      <c r="QRQ1" s="184"/>
      <c r="QRR1" s="184"/>
      <c r="QRS1" s="184"/>
      <c r="QRT1" s="184"/>
      <c r="QRU1" s="184"/>
      <c r="QRV1" s="184"/>
      <c r="QRW1" s="184"/>
      <c r="QRX1" s="184"/>
      <c r="QRY1" s="184"/>
      <c r="QRZ1" s="184"/>
      <c r="QSA1" s="184"/>
      <c r="QSB1" s="184"/>
      <c r="QSC1" s="184"/>
      <c r="QSD1" s="184"/>
      <c r="QSE1" s="184"/>
      <c r="QSF1" s="184"/>
      <c r="QSG1" s="184"/>
      <c r="QSH1" s="184"/>
      <c r="QSI1" s="184"/>
      <c r="QSJ1" s="184"/>
      <c r="QSK1" s="184"/>
      <c r="QSL1" s="184"/>
      <c r="QSM1" s="184"/>
      <c r="QSN1" s="184"/>
      <c r="QSO1" s="184"/>
      <c r="QSP1" s="184"/>
      <c r="QSQ1" s="184"/>
      <c r="QSR1" s="184"/>
      <c r="QSS1" s="184"/>
      <c r="QST1" s="184"/>
      <c r="QSU1" s="184"/>
      <c r="QSV1" s="184"/>
      <c r="QSW1" s="184"/>
      <c r="QSX1" s="184"/>
      <c r="QSY1" s="184"/>
      <c r="QSZ1" s="184"/>
      <c r="QTA1" s="184"/>
      <c r="QTB1" s="184"/>
      <c r="QTC1" s="184"/>
      <c r="QTD1" s="184"/>
      <c r="QTE1" s="184"/>
      <c r="QTF1" s="184"/>
      <c r="QTG1" s="184"/>
      <c r="QTH1" s="184"/>
      <c r="QTI1" s="184"/>
      <c r="QTJ1" s="184"/>
      <c r="QTK1" s="184"/>
      <c r="QTL1" s="184"/>
      <c r="QTM1" s="184"/>
      <c r="QTN1" s="184"/>
      <c r="QTO1" s="184"/>
      <c r="QTP1" s="184"/>
      <c r="QTQ1" s="184"/>
      <c r="QTR1" s="184"/>
      <c r="QTS1" s="184"/>
      <c r="QTT1" s="184"/>
      <c r="QTU1" s="184"/>
      <c r="QTV1" s="184"/>
      <c r="QTW1" s="184"/>
      <c r="QTX1" s="184"/>
      <c r="QTY1" s="184"/>
      <c r="QTZ1" s="184"/>
      <c r="QUA1" s="184"/>
      <c r="QUB1" s="184"/>
      <c r="QUC1" s="184"/>
      <c r="QUD1" s="184"/>
      <c r="QUE1" s="184"/>
      <c r="QUF1" s="184"/>
      <c r="QUG1" s="184"/>
      <c r="QUH1" s="184"/>
      <c r="QUI1" s="184"/>
      <c r="QUJ1" s="184"/>
      <c r="QUK1" s="184"/>
      <c r="QUL1" s="184"/>
      <c r="QUM1" s="184"/>
      <c r="QUN1" s="184"/>
      <c r="QUO1" s="184"/>
      <c r="QUP1" s="184"/>
      <c r="QUQ1" s="184"/>
      <c r="QUR1" s="184"/>
      <c r="QUS1" s="184"/>
      <c r="QUT1" s="184"/>
      <c r="QUU1" s="184"/>
      <c r="QUV1" s="184"/>
      <c r="QUW1" s="184"/>
      <c r="QUX1" s="184"/>
      <c r="QUY1" s="184"/>
      <c r="QUZ1" s="184"/>
      <c r="QVA1" s="184"/>
      <c r="QVB1" s="184"/>
      <c r="QVC1" s="184"/>
      <c r="QVD1" s="184"/>
      <c r="QVE1" s="184"/>
      <c r="QVF1" s="184"/>
      <c r="QVG1" s="184"/>
      <c r="QVH1" s="184"/>
      <c r="QVI1" s="184"/>
      <c r="QVJ1" s="184"/>
      <c r="QVK1" s="184"/>
      <c r="QVL1" s="184"/>
      <c r="QVM1" s="184"/>
      <c r="QVN1" s="184"/>
      <c r="QVO1" s="184"/>
      <c r="QVP1" s="184"/>
      <c r="QVQ1" s="184"/>
      <c r="QVR1" s="184"/>
      <c r="QVS1" s="184"/>
      <c r="QVT1" s="184"/>
      <c r="QVU1" s="184"/>
      <c r="QVV1" s="184"/>
      <c r="QVW1" s="184"/>
      <c r="QVX1" s="184"/>
      <c r="QVY1" s="184"/>
      <c r="QVZ1" s="184"/>
      <c r="QWA1" s="184"/>
      <c r="QWB1" s="184"/>
      <c r="QWC1" s="184"/>
      <c r="QWD1" s="184"/>
      <c r="QWE1" s="184"/>
      <c r="QWF1" s="184"/>
      <c r="QWG1" s="184"/>
      <c r="QWH1" s="184"/>
      <c r="QWI1" s="184"/>
      <c r="QWJ1" s="184"/>
      <c r="QWK1" s="184"/>
      <c r="QWL1" s="184"/>
      <c r="QWM1" s="184"/>
      <c r="QWN1" s="184"/>
      <c r="QWO1" s="184"/>
      <c r="QWP1" s="184"/>
      <c r="QWQ1" s="184"/>
      <c r="QWR1" s="184"/>
      <c r="QWS1" s="184"/>
      <c r="QWT1" s="184"/>
      <c r="QWU1" s="184"/>
      <c r="QWV1" s="184"/>
      <c r="QWW1" s="184"/>
      <c r="QWX1" s="184"/>
      <c r="QWY1" s="184"/>
      <c r="QWZ1" s="184"/>
      <c r="QXA1" s="184"/>
      <c r="QXB1" s="184"/>
      <c r="QXC1" s="184"/>
      <c r="QXD1" s="184"/>
      <c r="QXE1" s="184"/>
      <c r="QXF1" s="184"/>
      <c r="QXG1" s="184"/>
      <c r="QXH1" s="184"/>
      <c r="QXI1" s="184"/>
      <c r="QXJ1" s="184"/>
      <c r="QXK1" s="184"/>
      <c r="QXL1" s="184"/>
      <c r="QXM1" s="184"/>
      <c r="QXN1" s="184"/>
      <c r="QXO1" s="184"/>
      <c r="QXP1" s="184"/>
      <c r="QXQ1" s="184"/>
      <c r="QXR1" s="184"/>
      <c r="QXS1" s="184"/>
      <c r="QXT1" s="184"/>
      <c r="QXU1" s="184"/>
      <c r="QXV1" s="184"/>
      <c r="QXW1" s="184"/>
      <c r="QXX1" s="184"/>
      <c r="QXY1" s="184"/>
      <c r="QXZ1" s="184"/>
      <c r="QYA1" s="184"/>
      <c r="QYB1" s="184"/>
      <c r="QYC1" s="184"/>
      <c r="QYD1" s="184"/>
      <c r="QYE1" s="184"/>
      <c r="QYF1" s="184"/>
      <c r="QYG1" s="184"/>
      <c r="QYH1" s="184"/>
      <c r="QYI1" s="184"/>
      <c r="QYJ1" s="184"/>
      <c r="QYK1" s="184"/>
      <c r="QYL1" s="184"/>
      <c r="QYM1" s="184"/>
      <c r="QYN1" s="184"/>
      <c r="QYO1" s="184"/>
      <c r="QYP1" s="184"/>
      <c r="QYQ1" s="184"/>
      <c r="QYR1" s="184"/>
      <c r="QYS1" s="184"/>
      <c r="QYT1" s="184"/>
      <c r="QYU1" s="184"/>
      <c r="QYV1" s="184"/>
      <c r="QYW1" s="184"/>
      <c r="QYX1" s="184"/>
      <c r="QYY1" s="184"/>
      <c r="QYZ1" s="184"/>
      <c r="QZA1" s="184"/>
      <c r="QZB1" s="184"/>
      <c r="QZC1" s="184"/>
      <c r="QZD1" s="184"/>
      <c r="QZE1" s="184"/>
      <c r="QZF1" s="184"/>
      <c r="QZG1" s="184"/>
      <c r="QZH1" s="184"/>
      <c r="QZI1" s="184"/>
      <c r="QZJ1" s="184"/>
      <c r="QZK1" s="184"/>
      <c r="QZL1" s="184"/>
      <c r="QZM1" s="184"/>
      <c r="QZN1" s="184"/>
      <c r="QZO1" s="184"/>
      <c r="QZP1" s="184"/>
      <c r="QZQ1" s="184"/>
      <c r="QZR1" s="184"/>
      <c r="QZS1" s="184"/>
      <c r="QZT1" s="184"/>
      <c r="QZU1" s="184"/>
      <c r="QZV1" s="184"/>
      <c r="QZW1" s="184"/>
      <c r="QZX1" s="184"/>
      <c r="QZY1" s="184"/>
      <c r="QZZ1" s="184"/>
      <c r="RAA1" s="184"/>
      <c r="RAB1" s="184"/>
      <c r="RAC1" s="184"/>
      <c r="RAD1" s="184"/>
      <c r="RAE1" s="184"/>
      <c r="RAF1" s="184"/>
      <c r="RAG1" s="184"/>
      <c r="RAH1" s="184"/>
      <c r="RAI1" s="184"/>
      <c r="RAJ1" s="184"/>
      <c r="RAK1" s="184"/>
      <c r="RAL1" s="184"/>
      <c r="RAM1" s="184"/>
      <c r="RAN1" s="184"/>
      <c r="RAO1" s="184"/>
      <c r="RAP1" s="184"/>
      <c r="RAQ1" s="184"/>
      <c r="RAR1" s="184"/>
      <c r="RAS1" s="184"/>
      <c r="RAT1" s="184"/>
      <c r="RAU1" s="184"/>
      <c r="RAV1" s="184"/>
      <c r="RAW1" s="184"/>
      <c r="RAX1" s="184"/>
      <c r="RAY1" s="184"/>
      <c r="RAZ1" s="184"/>
      <c r="RBA1" s="184"/>
      <c r="RBB1" s="184"/>
      <c r="RBC1" s="184"/>
      <c r="RBD1" s="184"/>
      <c r="RBE1" s="184"/>
      <c r="RBF1" s="184"/>
      <c r="RBG1" s="184"/>
      <c r="RBH1" s="184"/>
      <c r="RBI1" s="184"/>
      <c r="RBJ1" s="184"/>
      <c r="RBK1" s="184"/>
      <c r="RBL1" s="184"/>
      <c r="RBM1" s="184"/>
      <c r="RBN1" s="184"/>
      <c r="RBO1" s="184"/>
      <c r="RBP1" s="184"/>
      <c r="RBQ1" s="184"/>
      <c r="RBR1" s="184"/>
      <c r="RBS1" s="184"/>
      <c r="RBT1" s="184"/>
      <c r="RBU1" s="184"/>
      <c r="RBV1" s="184"/>
      <c r="RBW1" s="184"/>
      <c r="RBX1" s="184"/>
      <c r="RBY1" s="184"/>
      <c r="RBZ1" s="184"/>
      <c r="RCA1" s="184"/>
      <c r="RCB1" s="184"/>
      <c r="RCC1" s="184"/>
      <c r="RCD1" s="184"/>
      <c r="RCE1" s="184"/>
      <c r="RCF1" s="184"/>
      <c r="RCG1" s="184"/>
      <c r="RCH1" s="184"/>
      <c r="RCI1" s="184"/>
      <c r="RCJ1" s="184"/>
      <c r="RCK1" s="184"/>
      <c r="RCL1" s="184"/>
      <c r="RCM1" s="184"/>
      <c r="RCN1" s="184"/>
      <c r="RCO1" s="184"/>
      <c r="RCP1" s="184"/>
      <c r="RCQ1" s="184"/>
      <c r="RCR1" s="184"/>
      <c r="RCS1" s="184"/>
      <c r="RCT1" s="184"/>
      <c r="RCU1" s="184"/>
      <c r="RCV1" s="184"/>
      <c r="RCW1" s="184"/>
      <c r="RCX1" s="184"/>
      <c r="RCY1" s="184"/>
      <c r="RCZ1" s="184"/>
      <c r="RDA1" s="184"/>
      <c r="RDB1" s="184"/>
      <c r="RDC1" s="184"/>
      <c r="RDD1" s="184"/>
      <c r="RDE1" s="184"/>
      <c r="RDF1" s="184"/>
      <c r="RDG1" s="184"/>
      <c r="RDH1" s="184"/>
      <c r="RDI1" s="184"/>
      <c r="RDJ1" s="184"/>
      <c r="RDK1" s="184"/>
      <c r="RDL1" s="184"/>
      <c r="RDM1" s="184"/>
      <c r="RDN1" s="184"/>
      <c r="RDO1" s="184"/>
      <c r="RDP1" s="184"/>
      <c r="RDQ1" s="184"/>
      <c r="RDR1" s="184"/>
      <c r="RDS1" s="184"/>
      <c r="RDT1" s="184"/>
      <c r="RDU1" s="184"/>
      <c r="RDV1" s="184"/>
      <c r="RDW1" s="184"/>
      <c r="RDX1" s="184"/>
      <c r="RDY1" s="184"/>
      <c r="RDZ1" s="184"/>
      <c r="REA1" s="184"/>
      <c r="REB1" s="184"/>
      <c r="REC1" s="184"/>
      <c r="RED1" s="184"/>
      <c r="REE1" s="184"/>
      <c r="REF1" s="184"/>
      <c r="REG1" s="184"/>
      <c r="REH1" s="184"/>
      <c r="REI1" s="184"/>
      <c r="REJ1" s="184"/>
      <c r="REK1" s="184"/>
      <c r="REL1" s="184"/>
      <c r="REM1" s="184"/>
      <c r="REN1" s="184"/>
      <c r="REO1" s="184"/>
      <c r="REP1" s="184"/>
      <c r="REQ1" s="184"/>
      <c r="RER1" s="184"/>
      <c r="RES1" s="184"/>
      <c r="RET1" s="184"/>
      <c r="REU1" s="184"/>
      <c r="REV1" s="184"/>
      <c r="REW1" s="184"/>
      <c r="REX1" s="184"/>
      <c r="REY1" s="184"/>
      <c r="REZ1" s="184"/>
      <c r="RFA1" s="184"/>
      <c r="RFB1" s="184"/>
      <c r="RFC1" s="184"/>
      <c r="RFD1" s="184"/>
      <c r="RFE1" s="184"/>
      <c r="RFF1" s="184"/>
      <c r="RFG1" s="184"/>
      <c r="RFH1" s="184"/>
      <c r="RFI1" s="184"/>
      <c r="RFJ1" s="184"/>
      <c r="RFK1" s="184"/>
      <c r="RFL1" s="184"/>
      <c r="RFM1" s="184"/>
      <c r="RFN1" s="184"/>
      <c r="RFO1" s="184"/>
      <c r="RFP1" s="184"/>
      <c r="RFQ1" s="184"/>
      <c r="RFR1" s="184"/>
      <c r="RFS1" s="184"/>
      <c r="RFT1" s="184"/>
      <c r="RFU1" s="184"/>
      <c r="RFV1" s="184"/>
      <c r="RFW1" s="184"/>
      <c r="RFX1" s="184"/>
      <c r="RFY1" s="184"/>
      <c r="RFZ1" s="184"/>
      <c r="RGA1" s="184"/>
      <c r="RGB1" s="184"/>
      <c r="RGC1" s="184"/>
      <c r="RGD1" s="184"/>
      <c r="RGE1" s="184"/>
      <c r="RGF1" s="184"/>
      <c r="RGG1" s="184"/>
      <c r="RGH1" s="184"/>
      <c r="RGI1" s="184"/>
      <c r="RGJ1" s="184"/>
      <c r="RGK1" s="184"/>
      <c r="RGL1" s="184"/>
      <c r="RGM1" s="184"/>
      <c r="RGN1" s="184"/>
      <c r="RGO1" s="184"/>
      <c r="RGP1" s="184"/>
      <c r="RGQ1" s="184"/>
      <c r="RGR1" s="184"/>
      <c r="RGS1" s="184"/>
      <c r="RGT1" s="184"/>
      <c r="RGU1" s="184"/>
      <c r="RGV1" s="184"/>
      <c r="RGW1" s="184"/>
      <c r="RGX1" s="184"/>
      <c r="RGY1" s="184"/>
      <c r="RGZ1" s="184"/>
      <c r="RHA1" s="184"/>
      <c r="RHB1" s="184"/>
      <c r="RHC1" s="184"/>
      <c r="RHD1" s="184"/>
      <c r="RHE1" s="184"/>
      <c r="RHF1" s="184"/>
      <c r="RHG1" s="184"/>
      <c r="RHH1" s="184"/>
      <c r="RHI1" s="184"/>
      <c r="RHJ1" s="184"/>
      <c r="RHK1" s="184"/>
      <c r="RHL1" s="184"/>
      <c r="RHM1" s="184"/>
      <c r="RHN1" s="184"/>
      <c r="RHO1" s="184"/>
      <c r="RHP1" s="184"/>
      <c r="RHQ1" s="184"/>
      <c r="RHR1" s="184"/>
      <c r="RHS1" s="184"/>
      <c r="RHT1" s="184"/>
      <c r="RHU1" s="184"/>
      <c r="RHV1" s="184"/>
      <c r="RHW1" s="184"/>
      <c r="RHX1" s="184"/>
      <c r="RHY1" s="184"/>
      <c r="RHZ1" s="184"/>
      <c r="RIA1" s="184"/>
      <c r="RIB1" s="184"/>
      <c r="RIC1" s="184"/>
      <c r="RID1" s="184"/>
      <c r="RIE1" s="184"/>
      <c r="RIF1" s="184"/>
      <c r="RIG1" s="184"/>
      <c r="RIH1" s="184"/>
      <c r="RII1" s="184"/>
      <c r="RIJ1" s="184"/>
      <c r="RIK1" s="184"/>
      <c r="RIL1" s="184"/>
      <c r="RIM1" s="184"/>
      <c r="RIN1" s="184"/>
      <c r="RIO1" s="184"/>
      <c r="RIP1" s="184"/>
      <c r="RIQ1" s="184"/>
      <c r="RIR1" s="184"/>
      <c r="RIS1" s="184"/>
      <c r="RIT1" s="184"/>
      <c r="RIU1" s="184"/>
      <c r="RIV1" s="184"/>
      <c r="RIW1" s="184"/>
      <c r="RIX1" s="184"/>
      <c r="RIY1" s="184"/>
      <c r="RIZ1" s="184"/>
      <c r="RJA1" s="184"/>
      <c r="RJB1" s="184"/>
      <c r="RJC1" s="184"/>
      <c r="RJD1" s="184"/>
      <c r="RJE1" s="184"/>
      <c r="RJF1" s="184"/>
      <c r="RJG1" s="184"/>
      <c r="RJH1" s="184"/>
      <c r="RJI1" s="184"/>
      <c r="RJJ1" s="184"/>
      <c r="RJK1" s="184"/>
      <c r="RJL1" s="184"/>
      <c r="RJM1" s="184"/>
      <c r="RJN1" s="184"/>
      <c r="RJO1" s="184"/>
      <c r="RJP1" s="184"/>
      <c r="RJQ1" s="184"/>
      <c r="RJR1" s="184"/>
      <c r="RJS1" s="184"/>
      <c r="RJT1" s="184"/>
      <c r="RJU1" s="184"/>
      <c r="RJV1" s="184"/>
      <c r="RJW1" s="184"/>
      <c r="RJX1" s="184"/>
      <c r="RJY1" s="184"/>
      <c r="RJZ1" s="184"/>
      <c r="RKA1" s="184"/>
      <c r="RKB1" s="184"/>
      <c r="RKC1" s="184"/>
      <c r="RKD1" s="184"/>
      <c r="RKE1" s="184"/>
      <c r="RKF1" s="184"/>
      <c r="RKG1" s="184"/>
      <c r="RKH1" s="184"/>
      <c r="RKI1" s="184"/>
      <c r="RKJ1" s="184"/>
      <c r="RKK1" s="184"/>
      <c r="RKL1" s="184"/>
      <c r="RKM1" s="184"/>
      <c r="RKN1" s="184"/>
      <c r="RKO1" s="184"/>
      <c r="RKP1" s="184"/>
      <c r="RKQ1" s="184"/>
      <c r="RKR1" s="184"/>
      <c r="RKS1" s="184"/>
      <c r="RKT1" s="184"/>
      <c r="RKU1" s="184"/>
      <c r="RKV1" s="184"/>
      <c r="RKW1" s="184"/>
      <c r="RKX1" s="184"/>
      <c r="RKY1" s="184"/>
      <c r="RKZ1" s="184"/>
      <c r="RLA1" s="184"/>
      <c r="RLB1" s="184"/>
      <c r="RLC1" s="184"/>
      <c r="RLD1" s="184"/>
      <c r="RLE1" s="184"/>
      <c r="RLF1" s="184"/>
      <c r="RLG1" s="184"/>
      <c r="RLH1" s="184"/>
      <c r="RLI1" s="184"/>
      <c r="RLJ1" s="184"/>
      <c r="RLK1" s="184"/>
      <c r="RLL1" s="184"/>
      <c r="RLM1" s="184"/>
      <c r="RLN1" s="184"/>
      <c r="RLO1" s="184"/>
      <c r="RLP1" s="184"/>
      <c r="RLQ1" s="184"/>
      <c r="RLR1" s="184"/>
      <c r="RLS1" s="184"/>
      <c r="RLT1" s="184"/>
      <c r="RLU1" s="184"/>
      <c r="RLV1" s="184"/>
      <c r="RLW1" s="184"/>
      <c r="RLX1" s="184"/>
      <c r="RLY1" s="184"/>
      <c r="RLZ1" s="184"/>
      <c r="RMA1" s="184"/>
      <c r="RMB1" s="184"/>
      <c r="RMC1" s="184"/>
      <c r="RMD1" s="184"/>
      <c r="RME1" s="184"/>
      <c r="RMF1" s="184"/>
      <c r="RMG1" s="184"/>
      <c r="RMH1" s="184"/>
      <c r="RMI1" s="184"/>
      <c r="RMJ1" s="184"/>
      <c r="RMK1" s="184"/>
      <c r="RML1" s="184"/>
      <c r="RMM1" s="184"/>
      <c r="RMN1" s="184"/>
      <c r="RMO1" s="184"/>
      <c r="RMP1" s="184"/>
      <c r="RMQ1" s="184"/>
      <c r="RMR1" s="184"/>
      <c r="RMS1" s="184"/>
      <c r="RMT1" s="184"/>
      <c r="RMU1" s="184"/>
      <c r="RMV1" s="184"/>
      <c r="RMW1" s="184"/>
      <c r="RMX1" s="184"/>
      <c r="RMY1" s="184"/>
      <c r="RMZ1" s="184"/>
      <c r="RNA1" s="184"/>
      <c r="RNB1" s="184"/>
      <c r="RNC1" s="184"/>
      <c r="RND1" s="184"/>
      <c r="RNE1" s="184"/>
      <c r="RNF1" s="184"/>
      <c r="RNG1" s="184"/>
      <c r="RNH1" s="184"/>
      <c r="RNI1" s="184"/>
      <c r="RNJ1" s="184"/>
      <c r="RNK1" s="184"/>
      <c r="RNL1" s="184"/>
      <c r="RNM1" s="184"/>
      <c r="RNN1" s="184"/>
      <c r="RNO1" s="184"/>
      <c r="RNP1" s="184"/>
      <c r="RNQ1" s="184"/>
      <c r="RNR1" s="184"/>
      <c r="RNS1" s="184"/>
      <c r="RNT1" s="184"/>
      <c r="RNU1" s="184"/>
      <c r="RNV1" s="184"/>
      <c r="RNW1" s="184"/>
      <c r="RNX1" s="184"/>
      <c r="RNY1" s="184"/>
      <c r="RNZ1" s="184"/>
      <c r="ROA1" s="184"/>
      <c r="ROB1" s="184"/>
      <c r="ROC1" s="184"/>
      <c r="ROD1" s="184"/>
      <c r="ROE1" s="184"/>
      <c r="ROF1" s="184"/>
      <c r="ROG1" s="184"/>
      <c r="ROH1" s="184"/>
      <c r="ROI1" s="184"/>
      <c r="ROJ1" s="184"/>
      <c r="ROK1" s="184"/>
      <c r="ROL1" s="184"/>
      <c r="ROM1" s="184"/>
      <c r="RON1" s="184"/>
      <c r="ROO1" s="184"/>
      <c r="ROP1" s="184"/>
      <c r="ROQ1" s="184"/>
      <c r="ROR1" s="184"/>
      <c r="ROS1" s="184"/>
      <c r="ROT1" s="184"/>
      <c r="ROU1" s="184"/>
      <c r="ROV1" s="184"/>
      <c r="ROW1" s="184"/>
      <c r="ROX1" s="184"/>
      <c r="ROY1" s="184"/>
      <c r="ROZ1" s="184"/>
      <c r="RPA1" s="184"/>
      <c r="RPB1" s="184"/>
      <c r="RPC1" s="184"/>
      <c r="RPD1" s="184"/>
      <c r="RPE1" s="184"/>
      <c r="RPF1" s="184"/>
      <c r="RPG1" s="184"/>
      <c r="RPH1" s="184"/>
      <c r="RPI1" s="184"/>
      <c r="RPJ1" s="184"/>
      <c r="RPK1" s="184"/>
      <c r="RPL1" s="184"/>
      <c r="RPM1" s="184"/>
      <c r="RPN1" s="184"/>
      <c r="RPO1" s="184"/>
      <c r="RPP1" s="184"/>
      <c r="RPQ1" s="184"/>
      <c r="RPR1" s="184"/>
      <c r="RPS1" s="184"/>
      <c r="RPT1" s="184"/>
      <c r="RPU1" s="184"/>
      <c r="RPV1" s="184"/>
      <c r="RPW1" s="184"/>
      <c r="RPX1" s="184"/>
      <c r="RPY1" s="184"/>
      <c r="RPZ1" s="184"/>
      <c r="RQA1" s="184"/>
      <c r="RQB1" s="184"/>
      <c r="RQC1" s="184"/>
      <c r="RQD1" s="184"/>
      <c r="RQE1" s="184"/>
      <c r="RQF1" s="184"/>
      <c r="RQG1" s="184"/>
      <c r="RQH1" s="184"/>
      <c r="RQI1" s="184"/>
      <c r="RQJ1" s="184"/>
      <c r="RQK1" s="184"/>
      <c r="RQL1" s="184"/>
      <c r="RQM1" s="184"/>
      <c r="RQN1" s="184"/>
      <c r="RQO1" s="184"/>
      <c r="RQP1" s="184"/>
      <c r="RQQ1" s="184"/>
      <c r="RQR1" s="184"/>
      <c r="RQS1" s="184"/>
      <c r="RQT1" s="184"/>
      <c r="RQU1" s="184"/>
      <c r="RQV1" s="184"/>
      <c r="RQW1" s="184"/>
      <c r="RQX1" s="184"/>
      <c r="RQY1" s="184"/>
      <c r="RQZ1" s="184"/>
      <c r="RRA1" s="184"/>
      <c r="RRB1" s="184"/>
      <c r="RRC1" s="184"/>
      <c r="RRD1" s="184"/>
      <c r="RRE1" s="184"/>
      <c r="RRF1" s="184"/>
      <c r="RRG1" s="184"/>
      <c r="RRH1" s="184"/>
      <c r="RRI1" s="184"/>
      <c r="RRJ1" s="184"/>
      <c r="RRK1" s="184"/>
      <c r="RRL1" s="184"/>
      <c r="RRM1" s="184"/>
      <c r="RRN1" s="184"/>
      <c r="RRO1" s="184"/>
      <c r="RRP1" s="184"/>
      <c r="RRQ1" s="184"/>
      <c r="RRR1" s="184"/>
      <c r="RRS1" s="184"/>
      <c r="RRT1" s="184"/>
      <c r="RRU1" s="184"/>
      <c r="RRV1" s="184"/>
      <c r="RRW1" s="184"/>
      <c r="RRX1" s="184"/>
      <c r="RRY1" s="184"/>
      <c r="RRZ1" s="184"/>
      <c r="RSA1" s="184"/>
      <c r="RSB1" s="184"/>
      <c r="RSC1" s="184"/>
      <c r="RSD1" s="184"/>
      <c r="RSE1" s="184"/>
      <c r="RSF1" s="184"/>
      <c r="RSG1" s="184"/>
      <c r="RSH1" s="184"/>
      <c r="RSI1" s="184"/>
      <c r="RSJ1" s="184"/>
      <c r="RSK1" s="184"/>
      <c r="RSL1" s="184"/>
      <c r="RSM1" s="184"/>
      <c r="RSN1" s="184"/>
      <c r="RSO1" s="184"/>
      <c r="RSP1" s="184"/>
      <c r="RSQ1" s="184"/>
      <c r="RSR1" s="184"/>
      <c r="RSS1" s="184"/>
      <c r="RST1" s="184"/>
      <c r="RSU1" s="184"/>
      <c r="RSV1" s="184"/>
      <c r="RSW1" s="184"/>
      <c r="RSX1" s="184"/>
      <c r="RSY1" s="184"/>
      <c r="RSZ1" s="184"/>
      <c r="RTA1" s="184"/>
      <c r="RTB1" s="184"/>
      <c r="RTC1" s="184"/>
      <c r="RTD1" s="184"/>
      <c r="RTE1" s="184"/>
      <c r="RTF1" s="184"/>
      <c r="RTG1" s="184"/>
      <c r="RTH1" s="184"/>
      <c r="RTI1" s="184"/>
      <c r="RTJ1" s="184"/>
      <c r="RTK1" s="184"/>
      <c r="RTL1" s="184"/>
      <c r="RTM1" s="184"/>
      <c r="RTN1" s="184"/>
      <c r="RTO1" s="184"/>
      <c r="RTP1" s="184"/>
      <c r="RTQ1" s="184"/>
      <c r="RTR1" s="184"/>
      <c r="RTS1" s="184"/>
      <c r="RTT1" s="184"/>
      <c r="RTU1" s="184"/>
      <c r="RTV1" s="184"/>
      <c r="RTW1" s="184"/>
      <c r="RTX1" s="184"/>
      <c r="RTY1" s="184"/>
      <c r="RTZ1" s="184"/>
      <c r="RUA1" s="184"/>
      <c r="RUB1" s="184"/>
      <c r="RUC1" s="184"/>
      <c r="RUD1" s="184"/>
      <c r="RUE1" s="184"/>
      <c r="RUF1" s="184"/>
      <c r="RUG1" s="184"/>
      <c r="RUH1" s="184"/>
      <c r="RUI1" s="184"/>
      <c r="RUJ1" s="184"/>
      <c r="RUK1" s="184"/>
      <c r="RUL1" s="184"/>
      <c r="RUM1" s="184"/>
      <c r="RUN1" s="184"/>
      <c r="RUO1" s="184"/>
      <c r="RUP1" s="184"/>
      <c r="RUQ1" s="184"/>
      <c r="RUR1" s="184"/>
      <c r="RUS1" s="184"/>
      <c r="RUT1" s="184"/>
      <c r="RUU1" s="184"/>
      <c r="RUV1" s="184"/>
      <c r="RUW1" s="184"/>
      <c r="RUX1" s="184"/>
      <c r="RUY1" s="184"/>
      <c r="RUZ1" s="184"/>
      <c r="RVA1" s="184"/>
      <c r="RVB1" s="184"/>
      <c r="RVC1" s="184"/>
      <c r="RVD1" s="184"/>
      <c r="RVE1" s="184"/>
      <c r="RVF1" s="184"/>
      <c r="RVG1" s="184"/>
      <c r="RVH1" s="184"/>
      <c r="RVI1" s="184"/>
      <c r="RVJ1" s="184"/>
      <c r="RVK1" s="184"/>
      <c r="RVL1" s="184"/>
      <c r="RVM1" s="184"/>
      <c r="RVN1" s="184"/>
      <c r="RVO1" s="184"/>
      <c r="RVP1" s="184"/>
      <c r="RVQ1" s="184"/>
      <c r="RVR1" s="184"/>
      <c r="RVS1" s="184"/>
      <c r="RVT1" s="184"/>
      <c r="RVU1" s="184"/>
      <c r="RVV1" s="184"/>
      <c r="RVW1" s="184"/>
      <c r="RVX1" s="184"/>
      <c r="RVY1" s="184"/>
      <c r="RVZ1" s="184"/>
      <c r="RWA1" s="184"/>
      <c r="RWB1" s="184"/>
      <c r="RWC1" s="184"/>
      <c r="RWD1" s="184"/>
      <c r="RWE1" s="184"/>
      <c r="RWF1" s="184"/>
      <c r="RWG1" s="184"/>
      <c r="RWH1" s="184"/>
      <c r="RWI1" s="184"/>
      <c r="RWJ1" s="184"/>
      <c r="RWK1" s="184"/>
      <c r="RWL1" s="184"/>
      <c r="RWM1" s="184"/>
      <c r="RWN1" s="184"/>
      <c r="RWO1" s="184"/>
      <c r="RWP1" s="184"/>
      <c r="RWQ1" s="184"/>
      <c r="RWR1" s="184"/>
      <c r="RWS1" s="184"/>
      <c r="RWT1" s="184"/>
      <c r="RWU1" s="184"/>
      <c r="RWV1" s="184"/>
      <c r="RWW1" s="184"/>
      <c r="RWX1" s="184"/>
      <c r="RWY1" s="184"/>
      <c r="RWZ1" s="184"/>
      <c r="RXA1" s="184"/>
      <c r="RXB1" s="184"/>
      <c r="RXC1" s="184"/>
      <c r="RXD1" s="184"/>
      <c r="RXE1" s="184"/>
      <c r="RXF1" s="184"/>
      <c r="RXG1" s="184"/>
      <c r="RXH1" s="184"/>
      <c r="RXI1" s="184"/>
      <c r="RXJ1" s="184"/>
      <c r="RXK1" s="184"/>
      <c r="RXL1" s="184"/>
      <c r="RXM1" s="184"/>
      <c r="RXN1" s="184"/>
      <c r="RXO1" s="184"/>
      <c r="RXP1" s="184"/>
      <c r="RXQ1" s="184"/>
      <c r="RXR1" s="184"/>
      <c r="RXS1" s="184"/>
      <c r="RXT1" s="184"/>
      <c r="RXU1" s="184"/>
      <c r="RXV1" s="184"/>
      <c r="RXW1" s="184"/>
      <c r="RXX1" s="184"/>
      <c r="RXY1" s="184"/>
      <c r="RXZ1" s="184"/>
      <c r="RYA1" s="184"/>
      <c r="RYB1" s="184"/>
      <c r="RYC1" s="184"/>
      <c r="RYD1" s="184"/>
      <c r="RYE1" s="184"/>
      <c r="RYF1" s="184"/>
      <c r="RYG1" s="184"/>
      <c r="RYH1" s="184"/>
      <c r="RYI1" s="184"/>
      <c r="RYJ1" s="184"/>
      <c r="RYK1" s="184"/>
      <c r="RYL1" s="184"/>
      <c r="RYM1" s="184"/>
      <c r="RYN1" s="184"/>
      <c r="RYO1" s="184"/>
      <c r="RYP1" s="184"/>
      <c r="RYQ1" s="184"/>
      <c r="RYR1" s="184"/>
      <c r="RYS1" s="184"/>
      <c r="RYT1" s="184"/>
      <c r="RYU1" s="184"/>
      <c r="RYV1" s="184"/>
      <c r="RYW1" s="184"/>
      <c r="RYX1" s="184"/>
      <c r="RYY1" s="184"/>
      <c r="RYZ1" s="184"/>
      <c r="RZA1" s="184"/>
      <c r="RZB1" s="184"/>
      <c r="RZC1" s="184"/>
      <c r="RZD1" s="184"/>
      <c r="RZE1" s="184"/>
      <c r="RZF1" s="184"/>
      <c r="RZG1" s="184"/>
      <c r="RZH1" s="184"/>
      <c r="RZI1" s="184"/>
      <c r="RZJ1" s="184"/>
      <c r="RZK1" s="184"/>
      <c r="RZL1" s="184"/>
      <c r="RZM1" s="184"/>
      <c r="RZN1" s="184"/>
      <c r="RZO1" s="184"/>
      <c r="RZP1" s="184"/>
      <c r="RZQ1" s="184"/>
      <c r="RZR1" s="184"/>
      <c r="RZS1" s="184"/>
      <c r="RZT1" s="184"/>
      <c r="RZU1" s="184"/>
      <c r="RZV1" s="184"/>
      <c r="RZW1" s="184"/>
      <c r="RZX1" s="184"/>
      <c r="RZY1" s="184"/>
      <c r="RZZ1" s="184"/>
      <c r="SAA1" s="184"/>
      <c r="SAB1" s="184"/>
      <c r="SAC1" s="184"/>
      <c r="SAD1" s="184"/>
      <c r="SAE1" s="184"/>
      <c r="SAF1" s="184"/>
      <c r="SAG1" s="184"/>
      <c r="SAH1" s="184"/>
      <c r="SAI1" s="184"/>
      <c r="SAJ1" s="184"/>
      <c r="SAK1" s="184"/>
      <c r="SAL1" s="184"/>
      <c r="SAM1" s="184"/>
      <c r="SAN1" s="184"/>
      <c r="SAO1" s="184"/>
      <c r="SAP1" s="184"/>
      <c r="SAQ1" s="184"/>
      <c r="SAR1" s="184"/>
      <c r="SAS1" s="184"/>
      <c r="SAT1" s="184"/>
      <c r="SAU1" s="184"/>
      <c r="SAV1" s="184"/>
      <c r="SAW1" s="184"/>
      <c r="SAX1" s="184"/>
      <c r="SAY1" s="184"/>
      <c r="SAZ1" s="184"/>
      <c r="SBA1" s="184"/>
      <c r="SBB1" s="184"/>
      <c r="SBC1" s="184"/>
      <c r="SBD1" s="184"/>
      <c r="SBE1" s="184"/>
      <c r="SBF1" s="184"/>
      <c r="SBG1" s="184"/>
      <c r="SBH1" s="184"/>
      <c r="SBI1" s="184"/>
      <c r="SBJ1" s="184"/>
      <c r="SBK1" s="184"/>
      <c r="SBL1" s="184"/>
      <c r="SBM1" s="184"/>
      <c r="SBN1" s="184"/>
      <c r="SBO1" s="184"/>
      <c r="SBP1" s="184"/>
      <c r="SBQ1" s="184"/>
      <c r="SBR1" s="184"/>
      <c r="SBS1" s="184"/>
      <c r="SBT1" s="184"/>
      <c r="SBU1" s="184"/>
      <c r="SBV1" s="184"/>
      <c r="SBW1" s="184"/>
      <c r="SBX1" s="184"/>
      <c r="SBY1" s="184"/>
      <c r="SBZ1" s="184"/>
      <c r="SCA1" s="184"/>
      <c r="SCB1" s="184"/>
      <c r="SCC1" s="184"/>
      <c r="SCD1" s="184"/>
      <c r="SCE1" s="184"/>
      <c r="SCF1" s="184"/>
      <c r="SCG1" s="184"/>
      <c r="SCH1" s="184"/>
      <c r="SCI1" s="184"/>
      <c r="SCJ1" s="184"/>
      <c r="SCK1" s="184"/>
      <c r="SCL1" s="184"/>
      <c r="SCM1" s="184"/>
      <c r="SCN1" s="184"/>
      <c r="SCO1" s="184"/>
      <c r="SCP1" s="184"/>
      <c r="SCQ1" s="184"/>
      <c r="SCR1" s="184"/>
      <c r="SCS1" s="184"/>
      <c r="SCT1" s="184"/>
      <c r="SCU1" s="184"/>
      <c r="SCV1" s="184"/>
      <c r="SCW1" s="184"/>
      <c r="SCX1" s="184"/>
      <c r="SCY1" s="184"/>
      <c r="SCZ1" s="184"/>
      <c r="SDA1" s="184"/>
      <c r="SDB1" s="184"/>
      <c r="SDC1" s="184"/>
      <c r="SDD1" s="184"/>
      <c r="SDE1" s="184"/>
      <c r="SDF1" s="184"/>
      <c r="SDG1" s="184"/>
      <c r="SDH1" s="184"/>
      <c r="SDI1" s="184"/>
      <c r="SDJ1" s="184"/>
      <c r="SDK1" s="184"/>
      <c r="SDL1" s="184"/>
      <c r="SDM1" s="184"/>
      <c r="SDN1" s="184"/>
      <c r="SDO1" s="184"/>
      <c r="SDP1" s="184"/>
      <c r="SDQ1" s="184"/>
      <c r="SDR1" s="184"/>
      <c r="SDS1" s="184"/>
      <c r="SDT1" s="184"/>
      <c r="SDU1" s="184"/>
      <c r="SDV1" s="184"/>
      <c r="SDW1" s="184"/>
      <c r="SDX1" s="184"/>
      <c r="SDY1" s="184"/>
      <c r="SDZ1" s="184"/>
      <c r="SEA1" s="184"/>
      <c r="SEB1" s="184"/>
      <c r="SEC1" s="184"/>
      <c r="SED1" s="184"/>
      <c r="SEE1" s="184"/>
      <c r="SEF1" s="184"/>
      <c r="SEG1" s="184"/>
      <c r="SEH1" s="184"/>
      <c r="SEI1" s="184"/>
      <c r="SEJ1" s="184"/>
      <c r="SEK1" s="184"/>
      <c r="SEL1" s="184"/>
      <c r="SEM1" s="184"/>
      <c r="SEN1" s="184"/>
      <c r="SEO1" s="184"/>
      <c r="SEP1" s="184"/>
      <c r="SEQ1" s="184"/>
      <c r="SER1" s="184"/>
      <c r="SES1" s="184"/>
      <c r="SET1" s="184"/>
      <c r="SEU1" s="184"/>
      <c r="SEV1" s="184"/>
      <c r="SEW1" s="184"/>
      <c r="SEX1" s="184"/>
      <c r="SEY1" s="184"/>
      <c r="SEZ1" s="184"/>
      <c r="SFA1" s="184"/>
      <c r="SFB1" s="184"/>
      <c r="SFC1" s="184"/>
      <c r="SFD1" s="184"/>
      <c r="SFE1" s="184"/>
      <c r="SFF1" s="184"/>
      <c r="SFG1" s="184"/>
      <c r="SFH1" s="184"/>
      <c r="SFI1" s="184"/>
      <c r="SFJ1" s="184"/>
      <c r="SFK1" s="184"/>
      <c r="SFL1" s="184"/>
      <c r="SFM1" s="184"/>
      <c r="SFN1" s="184"/>
      <c r="SFO1" s="184"/>
      <c r="SFP1" s="184"/>
      <c r="SFQ1" s="184"/>
      <c r="SFR1" s="184"/>
      <c r="SFS1" s="184"/>
      <c r="SFT1" s="184"/>
      <c r="SFU1" s="184"/>
      <c r="SFV1" s="184"/>
      <c r="SFW1" s="184"/>
      <c r="SFX1" s="184"/>
      <c r="SFY1" s="184"/>
      <c r="SFZ1" s="184"/>
      <c r="SGA1" s="184"/>
      <c r="SGB1" s="184"/>
      <c r="SGC1" s="184"/>
      <c r="SGD1" s="184"/>
      <c r="SGE1" s="184"/>
      <c r="SGF1" s="184"/>
      <c r="SGG1" s="184"/>
      <c r="SGH1" s="184"/>
      <c r="SGI1" s="184"/>
      <c r="SGJ1" s="184"/>
      <c r="SGK1" s="184"/>
      <c r="SGL1" s="184"/>
      <c r="SGM1" s="184"/>
      <c r="SGN1" s="184"/>
      <c r="SGO1" s="184"/>
      <c r="SGP1" s="184"/>
      <c r="SGQ1" s="184"/>
      <c r="SGR1" s="184"/>
      <c r="SGS1" s="184"/>
      <c r="SGT1" s="184"/>
      <c r="SGU1" s="184"/>
      <c r="SGV1" s="184"/>
      <c r="SGW1" s="184"/>
      <c r="SGX1" s="184"/>
      <c r="SGY1" s="184"/>
      <c r="SGZ1" s="184"/>
      <c r="SHA1" s="184"/>
      <c r="SHB1" s="184"/>
      <c r="SHC1" s="184"/>
      <c r="SHD1" s="184"/>
      <c r="SHE1" s="184"/>
      <c r="SHF1" s="184"/>
      <c r="SHG1" s="184"/>
      <c r="SHH1" s="184"/>
      <c r="SHI1" s="184"/>
      <c r="SHJ1" s="184"/>
      <c r="SHK1" s="184"/>
      <c r="SHL1" s="184"/>
      <c r="SHM1" s="184"/>
      <c r="SHN1" s="184"/>
      <c r="SHO1" s="184"/>
      <c r="SHP1" s="184"/>
      <c r="SHQ1" s="184"/>
      <c r="SHR1" s="184"/>
      <c r="SHS1" s="184"/>
      <c r="SHT1" s="184"/>
      <c r="SHU1" s="184"/>
      <c r="SHV1" s="184"/>
      <c r="SHW1" s="184"/>
      <c r="SHX1" s="184"/>
      <c r="SHY1" s="184"/>
      <c r="SHZ1" s="184"/>
      <c r="SIA1" s="184"/>
      <c r="SIB1" s="184"/>
      <c r="SIC1" s="184"/>
      <c r="SID1" s="184"/>
      <c r="SIE1" s="184"/>
      <c r="SIF1" s="184"/>
      <c r="SIG1" s="184"/>
      <c r="SIH1" s="184"/>
      <c r="SII1" s="184"/>
      <c r="SIJ1" s="184"/>
      <c r="SIK1" s="184"/>
      <c r="SIL1" s="184"/>
      <c r="SIM1" s="184"/>
      <c r="SIN1" s="184"/>
      <c r="SIO1" s="184"/>
      <c r="SIP1" s="184"/>
      <c r="SIQ1" s="184"/>
      <c r="SIR1" s="184"/>
      <c r="SIS1" s="184"/>
      <c r="SIT1" s="184"/>
      <c r="SIU1" s="184"/>
      <c r="SIV1" s="184"/>
      <c r="SIW1" s="184"/>
      <c r="SIX1" s="184"/>
      <c r="SIY1" s="184"/>
      <c r="SIZ1" s="184"/>
      <c r="SJA1" s="184"/>
      <c r="SJB1" s="184"/>
      <c r="SJC1" s="184"/>
      <c r="SJD1" s="184"/>
      <c r="SJE1" s="184"/>
      <c r="SJF1" s="184"/>
      <c r="SJG1" s="184"/>
      <c r="SJH1" s="184"/>
      <c r="SJI1" s="184"/>
      <c r="SJJ1" s="184"/>
      <c r="SJK1" s="184"/>
      <c r="SJL1" s="184"/>
      <c r="SJM1" s="184"/>
      <c r="SJN1" s="184"/>
      <c r="SJO1" s="184"/>
      <c r="SJP1" s="184"/>
      <c r="SJQ1" s="184"/>
      <c r="SJR1" s="184"/>
      <c r="SJS1" s="184"/>
      <c r="SJT1" s="184"/>
      <c r="SJU1" s="184"/>
      <c r="SJV1" s="184"/>
      <c r="SJW1" s="184"/>
      <c r="SJX1" s="184"/>
      <c r="SJY1" s="184"/>
      <c r="SJZ1" s="184"/>
      <c r="SKA1" s="184"/>
      <c r="SKB1" s="184"/>
      <c r="SKC1" s="184"/>
      <c r="SKD1" s="184"/>
      <c r="SKE1" s="184"/>
      <c r="SKF1" s="184"/>
      <c r="SKG1" s="184"/>
      <c r="SKH1" s="184"/>
      <c r="SKI1" s="184"/>
      <c r="SKJ1" s="184"/>
      <c r="SKK1" s="184"/>
      <c r="SKL1" s="184"/>
      <c r="SKM1" s="184"/>
      <c r="SKN1" s="184"/>
      <c r="SKO1" s="184"/>
      <c r="SKP1" s="184"/>
      <c r="SKQ1" s="184"/>
      <c r="SKR1" s="184"/>
      <c r="SKS1" s="184"/>
      <c r="SKT1" s="184"/>
      <c r="SKU1" s="184"/>
      <c r="SKV1" s="184"/>
      <c r="SKW1" s="184"/>
      <c r="SKX1" s="184"/>
      <c r="SKY1" s="184"/>
      <c r="SKZ1" s="184"/>
      <c r="SLA1" s="184"/>
      <c r="SLB1" s="184"/>
      <c r="SLC1" s="184"/>
      <c r="SLD1" s="184"/>
      <c r="SLE1" s="184"/>
      <c r="SLF1" s="184"/>
      <c r="SLG1" s="184"/>
      <c r="SLH1" s="184"/>
      <c r="SLI1" s="184"/>
      <c r="SLJ1" s="184"/>
      <c r="SLK1" s="184"/>
      <c r="SLL1" s="184"/>
      <c r="SLM1" s="184"/>
      <c r="SLN1" s="184"/>
      <c r="SLO1" s="184"/>
      <c r="SLP1" s="184"/>
      <c r="SLQ1" s="184"/>
      <c r="SLR1" s="184"/>
      <c r="SLS1" s="184"/>
      <c r="SLT1" s="184"/>
      <c r="SLU1" s="184"/>
      <c r="SLV1" s="184"/>
      <c r="SLW1" s="184"/>
      <c r="SLX1" s="184"/>
      <c r="SLY1" s="184"/>
      <c r="SLZ1" s="184"/>
      <c r="SMA1" s="184"/>
      <c r="SMB1" s="184"/>
      <c r="SMC1" s="184"/>
      <c r="SMD1" s="184"/>
      <c r="SME1" s="184"/>
      <c r="SMF1" s="184"/>
      <c r="SMG1" s="184"/>
      <c r="SMH1" s="184"/>
      <c r="SMI1" s="184"/>
      <c r="SMJ1" s="184"/>
      <c r="SMK1" s="184"/>
      <c r="SML1" s="184"/>
      <c r="SMM1" s="184"/>
      <c r="SMN1" s="184"/>
      <c r="SMO1" s="184"/>
      <c r="SMP1" s="184"/>
      <c r="SMQ1" s="184"/>
      <c r="SMR1" s="184"/>
      <c r="SMS1" s="184"/>
      <c r="SMT1" s="184"/>
      <c r="SMU1" s="184"/>
      <c r="SMV1" s="184"/>
      <c r="SMW1" s="184"/>
      <c r="SMX1" s="184"/>
      <c r="SMY1" s="184"/>
      <c r="SMZ1" s="184"/>
      <c r="SNA1" s="184"/>
      <c r="SNB1" s="184"/>
      <c r="SNC1" s="184"/>
      <c r="SND1" s="184"/>
      <c r="SNE1" s="184"/>
      <c r="SNF1" s="184"/>
      <c r="SNG1" s="184"/>
      <c r="SNH1" s="184"/>
      <c r="SNI1" s="184"/>
      <c r="SNJ1" s="184"/>
      <c r="SNK1" s="184"/>
      <c r="SNL1" s="184"/>
      <c r="SNM1" s="184"/>
      <c r="SNN1" s="184"/>
      <c r="SNO1" s="184"/>
      <c r="SNP1" s="184"/>
      <c r="SNQ1" s="184"/>
      <c r="SNR1" s="184"/>
      <c r="SNS1" s="184"/>
      <c r="SNT1" s="184"/>
      <c r="SNU1" s="184"/>
      <c r="SNV1" s="184"/>
      <c r="SNW1" s="184"/>
      <c r="SNX1" s="184"/>
      <c r="SNY1" s="184"/>
      <c r="SNZ1" s="184"/>
      <c r="SOA1" s="184"/>
      <c r="SOB1" s="184"/>
      <c r="SOC1" s="184"/>
      <c r="SOD1" s="184"/>
      <c r="SOE1" s="184"/>
      <c r="SOF1" s="184"/>
      <c r="SOG1" s="184"/>
      <c r="SOH1" s="184"/>
      <c r="SOI1" s="184"/>
      <c r="SOJ1" s="184"/>
      <c r="SOK1" s="184"/>
      <c r="SOL1" s="184"/>
      <c r="SOM1" s="184"/>
      <c r="SON1" s="184"/>
      <c r="SOO1" s="184"/>
      <c r="SOP1" s="184"/>
      <c r="SOQ1" s="184"/>
      <c r="SOR1" s="184"/>
      <c r="SOS1" s="184"/>
      <c r="SOT1" s="184"/>
      <c r="SOU1" s="184"/>
      <c r="SOV1" s="184"/>
      <c r="SOW1" s="184"/>
      <c r="SOX1" s="184"/>
      <c r="SOY1" s="184"/>
      <c r="SOZ1" s="184"/>
      <c r="SPA1" s="184"/>
      <c r="SPB1" s="184"/>
      <c r="SPC1" s="184"/>
      <c r="SPD1" s="184"/>
      <c r="SPE1" s="184"/>
      <c r="SPF1" s="184"/>
      <c r="SPG1" s="184"/>
      <c r="SPH1" s="184"/>
      <c r="SPI1" s="184"/>
      <c r="SPJ1" s="184"/>
      <c r="SPK1" s="184"/>
      <c r="SPL1" s="184"/>
      <c r="SPM1" s="184"/>
      <c r="SPN1" s="184"/>
      <c r="SPO1" s="184"/>
      <c r="SPP1" s="184"/>
      <c r="SPQ1" s="184"/>
      <c r="SPR1" s="184"/>
      <c r="SPS1" s="184"/>
      <c r="SPT1" s="184"/>
      <c r="SPU1" s="184"/>
      <c r="SPV1" s="184"/>
      <c r="SPW1" s="184"/>
      <c r="SPX1" s="184"/>
      <c r="SPY1" s="184"/>
      <c r="SPZ1" s="184"/>
      <c r="SQA1" s="184"/>
      <c r="SQB1" s="184"/>
      <c r="SQC1" s="184"/>
      <c r="SQD1" s="184"/>
      <c r="SQE1" s="184"/>
      <c r="SQF1" s="184"/>
      <c r="SQG1" s="184"/>
      <c r="SQH1" s="184"/>
      <c r="SQI1" s="184"/>
      <c r="SQJ1" s="184"/>
      <c r="SQK1" s="184"/>
      <c r="SQL1" s="184"/>
      <c r="SQM1" s="184"/>
      <c r="SQN1" s="184"/>
      <c r="SQO1" s="184"/>
      <c r="SQP1" s="184"/>
      <c r="SQQ1" s="184"/>
      <c r="SQR1" s="184"/>
      <c r="SQS1" s="184"/>
      <c r="SQT1" s="184"/>
      <c r="SQU1" s="184"/>
      <c r="SQV1" s="184"/>
      <c r="SQW1" s="184"/>
      <c r="SQX1" s="184"/>
      <c r="SQY1" s="184"/>
      <c r="SQZ1" s="184"/>
      <c r="SRA1" s="184"/>
      <c r="SRB1" s="184"/>
      <c r="SRC1" s="184"/>
      <c r="SRD1" s="184"/>
      <c r="SRE1" s="184"/>
      <c r="SRF1" s="184"/>
      <c r="SRG1" s="184"/>
      <c r="SRH1" s="184"/>
      <c r="SRI1" s="184"/>
      <c r="SRJ1" s="184"/>
      <c r="SRK1" s="184"/>
      <c r="SRL1" s="184"/>
      <c r="SRM1" s="184"/>
      <c r="SRN1" s="184"/>
      <c r="SRO1" s="184"/>
      <c r="SRP1" s="184"/>
      <c r="SRQ1" s="184"/>
      <c r="SRR1" s="184"/>
      <c r="SRS1" s="184"/>
      <c r="SRT1" s="184"/>
      <c r="SRU1" s="184"/>
      <c r="SRV1" s="184"/>
      <c r="SRW1" s="184"/>
      <c r="SRX1" s="184"/>
      <c r="SRY1" s="184"/>
      <c r="SRZ1" s="184"/>
      <c r="SSA1" s="184"/>
      <c r="SSB1" s="184"/>
      <c r="SSC1" s="184"/>
      <c r="SSD1" s="184"/>
      <c r="SSE1" s="184"/>
      <c r="SSF1" s="184"/>
      <c r="SSG1" s="184"/>
      <c r="SSH1" s="184"/>
      <c r="SSI1" s="184"/>
      <c r="SSJ1" s="184"/>
      <c r="SSK1" s="184"/>
      <c r="SSL1" s="184"/>
      <c r="SSM1" s="184"/>
      <c r="SSN1" s="184"/>
      <c r="SSO1" s="184"/>
      <c r="SSP1" s="184"/>
      <c r="SSQ1" s="184"/>
      <c r="SSR1" s="184"/>
      <c r="SSS1" s="184"/>
      <c r="SST1" s="184"/>
      <c r="SSU1" s="184"/>
      <c r="SSV1" s="184"/>
      <c r="SSW1" s="184"/>
      <c r="SSX1" s="184"/>
      <c r="SSY1" s="184"/>
      <c r="SSZ1" s="184"/>
      <c r="STA1" s="184"/>
      <c r="STB1" s="184"/>
      <c r="STC1" s="184"/>
      <c r="STD1" s="184"/>
      <c r="STE1" s="184"/>
      <c r="STF1" s="184"/>
      <c r="STG1" s="184"/>
      <c r="STH1" s="184"/>
      <c r="STI1" s="184"/>
      <c r="STJ1" s="184"/>
      <c r="STK1" s="184"/>
      <c r="STL1" s="184"/>
      <c r="STM1" s="184"/>
      <c r="STN1" s="184"/>
      <c r="STO1" s="184"/>
      <c r="STP1" s="184"/>
      <c r="STQ1" s="184"/>
      <c r="STR1" s="184"/>
      <c r="STS1" s="184"/>
      <c r="STT1" s="184"/>
      <c r="STU1" s="184"/>
      <c r="STV1" s="184"/>
      <c r="STW1" s="184"/>
      <c r="STX1" s="184"/>
      <c r="STY1" s="184"/>
      <c r="STZ1" s="184"/>
      <c r="SUA1" s="184"/>
      <c r="SUB1" s="184"/>
      <c r="SUC1" s="184"/>
      <c r="SUD1" s="184"/>
      <c r="SUE1" s="184"/>
      <c r="SUF1" s="184"/>
      <c r="SUG1" s="184"/>
      <c r="SUH1" s="184"/>
      <c r="SUI1" s="184"/>
      <c r="SUJ1" s="184"/>
      <c r="SUK1" s="184"/>
      <c r="SUL1" s="184"/>
      <c r="SUM1" s="184"/>
      <c r="SUN1" s="184"/>
      <c r="SUO1" s="184"/>
      <c r="SUP1" s="184"/>
      <c r="SUQ1" s="184"/>
      <c r="SUR1" s="184"/>
      <c r="SUS1" s="184"/>
      <c r="SUT1" s="184"/>
      <c r="SUU1" s="184"/>
      <c r="SUV1" s="184"/>
      <c r="SUW1" s="184"/>
      <c r="SUX1" s="184"/>
      <c r="SUY1" s="184"/>
      <c r="SUZ1" s="184"/>
      <c r="SVA1" s="184"/>
      <c r="SVB1" s="184"/>
      <c r="SVC1" s="184"/>
      <c r="SVD1" s="184"/>
      <c r="SVE1" s="184"/>
      <c r="SVF1" s="184"/>
      <c r="SVG1" s="184"/>
      <c r="SVH1" s="184"/>
      <c r="SVI1" s="184"/>
      <c r="SVJ1" s="184"/>
      <c r="SVK1" s="184"/>
      <c r="SVL1" s="184"/>
      <c r="SVM1" s="184"/>
      <c r="SVN1" s="184"/>
      <c r="SVO1" s="184"/>
      <c r="SVP1" s="184"/>
      <c r="SVQ1" s="184"/>
      <c r="SVR1" s="184"/>
      <c r="SVS1" s="184"/>
      <c r="SVT1" s="184"/>
      <c r="SVU1" s="184"/>
      <c r="SVV1" s="184"/>
      <c r="SVW1" s="184"/>
      <c r="SVX1" s="184"/>
      <c r="SVY1" s="184"/>
      <c r="SVZ1" s="184"/>
      <c r="SWA1" s="184"/>
      <c r="SWB1" s="184"/>
      <c r="SWC1" s="184"/>
      <c r="SWD1" s="184"/>
      <c r="SWE1" s="184"/>
      <c r="SWF1" s="184"/>
      <c r="SWG1" s="184"/>
      <c r="SWH1" s="184"/>
      <c r="SWI1" s="184"/>
      <c r="SWJ1" s="184"/>
      <c r="SWK1" s="184"/>
      <c r="SWL1" s="184"/>
      <c r="SWM1" s="184"/>
      <c r="SWN1" s="184"/>
      <c r="SWO1" s="184"/>
      <c r="SWP1" s="184"/>
      <c r="SWQ1" s="184"/>
      <c r="SWR1" s="184"/>
      <c r="SWS1" s="184"/>
      <c r="SWT1" s="184"/>
      <c r="SWU1" s="184"/>
      <c r="SWV1" s="184"/>
      <c r="SWW1" s="184"/>
      <c r="SWX1" s="184"/>
      <c r="SWY1" s="184"/>
      <c r="SWZ1" s="184"/>
      <c r="SXA1" s="184"/>
      <c r="SXB1" s="184"/>
      <c r="SXC1" s="184"/>
      <c r="SXD1" s="184"/>
      <c r="SXE1" s="184"/>
      <c r="SXF1" s="184"/>
      <c r="SXG1" s="184"/>
      <c r="SXH1" s="184"/>
      <c r="SXI1" s="184"/>
      <c r="SXJ1" s="184"/>
      <c r="SXK1" s="184"/>
      <c r="SXL1" s="184"/>
      <c r="SXM1" s="184"/>
      <c r="SXN1" s="184"/>
      <c r="SXO1" s="184"/>
      <c r="SXP1" s="184"/>
      <c r="SXQ1" s="184"/>
      <c r="SXR1" s="184"/>
      <c r="SXS1" s="184"/>
      <c r="SXT1" s="184"/>
      <c r="SXU1" s="184"/>
      <c r="SXV1" s="184"/>
      <c r="SXW1" s="184"/>
      <c r="SXX1" s="184"/>
      <c r="SXY1" s="184"/>
      <c r="SXZ1" s="184"/>
      <c r="SYA1" s="184"/>
      <c r="SYB1" s="184"/>
      <c r="SYC1" s="184"/>
      <c r="SYD1" s="184"/>
      <c r="SYE1" s="184"/>
      <c r="SYF1" s="184"/>
      <c r="SYG1" s="184"/>
      <c r="SYH1" s="184"/>
      <c r="SYI1" s="184"/>
      <c r="SYJ1" s="184"/>
      <c r="SYK1" s="184"/>
      <c r="SYL1" s="184"/>
      <c r="SYM1" s="184"/>
      <c r="SYN1" s="184"/>
      <c r="SYO1" s="184"/>
      <c r="SYP1" s="184"/>
      <c r="SYQ1" s="184"/>
      <c r="SYR1" s="184"/>
      <c r="SYS1" s="184"/>
      <c r="SYT1" s="184"/>
      <c r="SYU1" s="184"/>
      <c r="SYV1" s="184"/>
      <c r="SYW1" s="184"/>
      <c r="SYX1" s="184"/>
      <c r="SYY1" s="184"/>
      <c r="SYZ1" s="184"/>
      <c r="SZA1" s="184"/>
      <c r="SZB1" s="184"/>
      <c r="SZC1" s="184"/>
      <c r="SZD1" s="184"/>
      <c r="SZE1" s="184"/>
      <c r="SZF1" s="184"/>
      <c r="SZG1" s="184"/>
      <c r="SZH1" s="184"/>
      <c r="SZI1" s="184"/>
      <c r="SZJ1" s="184"/>
      <c r="SZK1" s="184"/>
      <c r="SZL1" s="184"/>
      <c r="SZM1" s="184"/>
      <c r="SZN1" s="184"/>
      <c r="SZO1" s="184"/>
      <c r="SZP1" s="184"/>
      <c r="SZQ1" s="184"/>
      <c r="SZR1" s="184"/>
      <c r="SZS1" s="184"/>
      <c r="SZT1" s="184"/>
      <c r="SZU1" s="184"/>
      <c r="SZV1" s="184"/>
      <c r="SZW1" s="184"/>
      <c r="SZX1" s="184"/>
      <c r="SZY1" s="184"/>
      <c r="SZZ1" s="184"/>
      <c r="TAA1" s="184"/>
      <c r="TAB1" s="184"/>
      <c r="TAC1" s="184"/>
      <c r="TAD1" s="184"/>
      <c r="TAE1" s="184"/>
      <c r="TAF1" s="184"/>
      <c r="TAG1" s="184"/>
      <c r="TAH1" s="184"/>
      <c r="TAI1" s="184"/>
      <c r="TAJ1" s="184"/>
      <c r="TAK1" s="184"/>
      <c r="TAL1" s="184"/>
      <c r="TAM1" s="184"/>
      <c r="TAN1" s="184"/>
      <c r="TAO1" s="184"/>
      <c r="TAP1" s="184"/>
      <c r="TAQ1" s="184"/>
      <c r="TAR1" s="184"/>
      <c r="TAS1" s="184"/>
      <c r="TAT1" s="184"/>
      <c r="TAU1" s="184"/>
      <c r="TAV1" s="184"/>
      <c r="TAW1" s="184"/>
      <c r="TAX1" s="184"/>
      <c r="TAY1" s="184"/>
      <c r="TAZ1" s="184"/>
      <c r="TBA1" s="184"/>
      <c r="TBB1" s="184"/>
      <c r="TBC1" s="184"/>
      <c r="TBD1" s="184"/>
      <c r="TBE1" s="184"/>
      <c r="TBF1" s="184"/>
      <c r="TBG1" s="184"/>
      <c r="TBH1" s="184"/>
      <c r="TBI1" s="184"/>
      <c r="TBJ1" s="184"/>
      <c r="TBK1" s="184"/>
      <c r="TBL1" s="184"/>
      <c r="TBM1" s="184"/>
      <c r="TBN1" s="184"/>
      <c r="TBO1" s="184"/>
      <c r="TBP1" s="184"/>
      <c r="TBQ1" s="184"/>
      <c r="TBR1" s="184"/>
      <c r="TBS1" s="184"/>
      <c r="TBT1" s="184"/>
      <c r="TBU1" s="184"/>
      <c r="TBV1" s="184"/>
      <c r="TBW1" s="184"/>
      <c r="TBX1" s="184"/>
      <c r="TBY1" s="184"/>
      <c r="TBZ1" s="184"/>
      <c r="TCA1" s="184"/>
      <c r="TCB1" s="184"/>
      <c r="TCC1" s="184"/>
      <c r="TCD1" s="184"/>
      <c r="TCE1" s="184"/>
      <c r="TCF1" s="184"/>
      <c r="TCG1" s="184"/>
      <c r="TCH1" s="184"/>
      <c r="TCI1" s="184"/>
      <c r="TCJ1" s="184"/>
      <c r="TCK1" s="184"/>
      <c r="TCL1" s="184"/>
      <c r="TCM1" s="184"/>
      <c r="TCN1" s="184"/>
      <c r="TCO1" s="184"/>
      <c r="TCP1" s="184"/>
      <c r="TCQ1" s="184"/>
      <c r="TCR1" s="184"/>
      <c r="TCS1" s="184"/>
      <c r="TCT1" s="184"/>
      <c r="TCU1" s="184"/>
      <c r="TCV1" s="184"/>
      <c r="TCW1" s="184"/>
      <c r="TCX1" s="184"/>
      <c r="TCY1" s="184"/>
      <c r="TCZ1" s="184"/>
      <c r="TDA1" s="184"/>
      <c r="TDB1" s="184"/>
      <c r="TDC1" s="184"/>
      <c r="TDD1" s="184"/>
      <c r="TDE1" s="184"/>
      <c r="TDF1" s="184"/>
      <c r="TDG1" s="184"/>
      <c r="TDH1" s="184"/>
      <c r="TDI1" s="184"/>
      <c r="TDJ1" s="184"/>
      <c r="TDK1" s="184"/>
      <c r="TDL1" s="184"/>
      <c r="TDM1" s="184"/>
      <c r="TDN1" s="184"/>
      <c r="TDO1" s="184"/>
      <c r="TDP1" s="184"/>
      <c r="TDQ1" s="184"/>
      <c r="TDR1" s="184"/>
      <c r="TDS1" s="184"/>
      <c r="TDT1" s="184"/>
      <c r="TDU1" s="184"/>
      <c r="TDV1" s="184"/>
      <c r="TDW1" s="184"/>
      <c r="TDX1" s="184"/>
      <c r="TDY1" s="184"/>
      <c r="TDZ1" s="184"/>
      <c r="TEA1" s="184"/>
      <c r="TEB1" s="184"/>
      <c r="TEC1" s="184"/>
      <c r="TED1" s="184"/>
      <c r="TEE1" s="184"/>
      <c r="TEF1" s="184"/>
      <c r="TEG1" s="184"/>
      <c r="TEH1" s="184"/>
      <c r="TEI1" s="184"/>
      <c r="TEJ1" s="184"/>
      <c r="TEK1" s="184"/>
      <c r="TEL1" s="184"/>
      <c r="TEM1" s="184"/>
      <c r="TEN1" s="184"/>
      <c r="TEO1" s="184"/>
      <c r="TEP1" s="184"/>
      <c r="TEQ1" s="184"/>
      <c r="TER1" s="184"/>
      <c r="TES1" s="184"/>
      <c r="TET1" s="184"/>
      <c r="TEU1" s="184"/>
      <c r="TEV1" s="184"/>
      <c r="TEW1" s="184"/>
      <c r="TEX1" s="184"/>
      <c r="TEY1" s="184"/>
      <c r="TEZ1" s="184"/>
      <c r="TFA1" s="184"/>
      <c r="TFB1" s="184"/>
      <c r="TFC1" s="184"/>
      <c r="TFD1" s="184"/>
      <c r="TFE1" s="184"/>
      <c r="TFF1" s="184"/>
      <c r="TFG1" s="184"/>
      <c r="TFH1" s="184"/>
      <c r="TFI1" s="184"/>
      <c r="TFJ1" s="184"/>
      <c r="TFK1" s="184"/>
      <c r="TFL1" s="184"/>
      <c r="TFM1" s="184"/>
      <c r="TFN1" s="184"/>
      <c r="TFO1" s="184"/>
      <c r="TFP1" s="184"/>
      <c r="TFQ1" s="184"/>
      <c r="TFR1" s="184"/>
      <c r="TFS1" s="184"/>
      <c r="TFT1" s="184"/>
      <c r="TFU1" s="184"/>
      <c r="TFV1" s="184"/>
      <c r="TFW1" s="184"/>
      <c r="TFX1" s="184"/>
      <c r="TFY1" s="184"/>
      <c r="TFZ1" s="184"/>
      <c r="TGA1" s="184"/>
      <c r="TGB1" s="184"/>
      <c r="TGC1" s="184"/>
      <c r="TGD1" s="184"/>
      <c r="TGE1" s="184"/>
      <c r="TGF1" s="184"/>
      <c r="TGG1" s="184"/>
      <c r="TGH1" s="184"/>
      <c r="TGI1" s="184"/>
      <c r="TGJ1" s="184"/>
      <c r="TGK1" s="184"/>
      <c r="TGL1" s="184"/>
      <c r="TGM1" s="184"/>
      <c r="TGN1" s="184"/>
      <c r="TGO1" s="184"/>
      <c r="TGP1" s="184"/>
      <c r="TGQ1" s="184"/>
      <c r="TGR1" s="184"/>
      <c r="TGS1" s="184"/>
      <c r="TGT1" s="184"/>
      <c r="TGU1" s="184"/>
      <c r="TGV1" s="184"/>
      <c r="TGW1" s="184"/>
      <c r="TGX1" s="184"/>
      <c r="TGY1" s="184"/>
      <c r="TGZ1" s="184"/>
      <c r="THA1" s="184"/>
      <c r="THB1" s="184"/>
      <c r="THC1" s="184"/>
      <c r="THD1" s="184"/>
      <c r="THE1" s="184"/>
      <c r="THF1" s="184"/>
      <c r="THG1" s="184"/>
      <c r="THH1" s="184"/>
      <c r="THI1" s="184"/>
      <c r="THJ1" s="184"/>
      <c r="THK1" s="184"/>
      <c r="THL1" s="184"/>
      <c r="THM1" s="184"/>
      <c r="THN1" s="184"/>
      <c r="THO1" s="184"/>
      <c r="THP1" s="184"/>
      <c r="THQ1" s="184"/>
      <c r="THR1" s="184"/>
      <c r="THS1" s="184"/>
      <c r="THT1" s="184"/>
      <c r="THU1" s="184"/>
      <c r="THV1" s="184"/>
      <c r="THW1" s="184"/>
      <c r="THX1" s="184"/>
      <c r="THY1" s="184"/>
      <c r="THZ1" s="184"/>
      <c r="TIA1" s="184"/>
      <c r="TIB1" s="184"/>
      <c r="TIC1" s="184"/>
      <c r="TID1" s="184"/>
      <c r="TIE1" s="184"/>
      <c r="TIF1" s="184"/>
      <c r="TIG1" s="184"/>
      <c r="TIH1" s="184"/>
      <c r="TII1" s="184"/>
      <c r="TIJ1" s="184"/>
      <c r="TIK1" s="184"/>
      <c r="TIL1" s="184"/>
      <c r="TIM1" s="184"/>
      <c r="TIN1" s="184"/>
      <c r="TIO1" s="184"/>
      <c r="TIP1" s="184"/>
      <c r="TIQ1" s="184"/>
      <c r="TIR1" s="184"/>
      <c r="TIS1" s="184"/>
      <c r="TIT1" s="184"/>
      <c r="TIU1" s="184"/>
      <c r="TIV1" s="184"/>
      <c r="TIW1" s="184"/>
      <c r="TIX1" s="184"/>
      <c r="TIY1" s="184"/>
      <c r="TIZ1" s="184"/>
      <c r="TJA1" s="184"/>
      <c r="TJB1" s="184"/>
      <c r="TJC1" s="184"/>
      <c r="TJD1" s="184"/>
      <c r="TJE1" s="184"/>
      <c r="TJF1" s="184"/>
      <c r="TJG1" s="184"/>
      <c r="TJH1" s="184"/>
      <c r="TJI1" s="184"/>
      <c r="TJJ1" s="184"/>
      <c r="TJK1" s="184"/>
      <c r="TJL1" s="184"/>
      <c r="TJM1" s="184"/>
      <c r="TJN1" s="184"/>
      <c r="TJO1" s="184"/>
      <c r="TJP1" s="184"/>
      <c r="TJQ1" s="184"/>
      <c r="TJR1" s="184"/>
      <c r="TJS1" s="184"/>
      <c r="TJT1" s="184"/>
      <c r="TJU1" s="184"/>
      <c r="TJV1" s="184"/>
      <c r="TJW1" s="184"/>
      <c r="TJX1" s="184"/>
      <c r="TJY1" s="184"/>
      <c r="TJZ1" s="184"/>
      <c r="TKA1" s="184"/>
      <c r="TKB1" s="184"/>
      <c r="TKC1" s="184"/>
      <c r="TKD1" s="184"/>
      <c r="TKE1" s="184"/>
      <c r="TKF1" s="184"/>
      <c r="TKG1" s="184"/>
      <c r="TKH1" s="184"/>
      <c r="TKI1" s="184"/>
      <c r="TKJ1" s="184"/>
      <c r="TKK1" s="184"/>
      <c r="TKL1" s="184"/>
      <c r="TKM1" s="184"/>
      <c r="TKN1" s="184"/>
      <c r="TKO1" s="184"/>
      <c r="TKP1" s="184"/>
      <c r="TKQ1" s="184"/>
      <c r="TKR1" s="184"/>
      <c r="TKS1" s="184"/>
      <c r="TKT1" s="184"/>
      <c r="TKU1" s="184"/>
      <c r="TKV1" s="184"/>
      <c r="TKW1" s="184"/>
      <c r="TKX1" s="184"/>
      <c r="TKY1" s="184"/>
      <c r="TKZ1" s="184"/>
      <c r="TLA1" s="184"/>
      <c r="TLB1" s="184"/>
      <c r="TLC1" s="184"/>
      <c r="TLD1" s="184"/>
      <c r="TLE1" s="184"/>
      <c r="TLF1" s="184"/>
      <c r="TLG1" s="184"/>
      <c r="TLH1" s="184"/>
      <c r="TLI1" s="184"/>
      <c r="TLJ1" s="184"/>
      <c r="TLK1" s="184"/>
      <c r="TLL1" s="184"/>
      <c r="TLM1" s="184"/>
      <c r="TLN1" s="184"/>
      <c r="TLO1" s="184"/>
      <c r="TLP1" s="184"/>
      <c r="TLQ1" s="184"/>
      <c r="TLR1" s="184"/>
      <c r="TLS1" s="184"/>
      <c r="TLT1" s="184"/>
      <c r="TLU1" s="184"/>
      <c r="TLV1" s="184"/>
      <c r="TLW1" s="184"/>
      <c r="TLX1" s="184"/>
      <c r="TLY1" s="184"/>
      <c r="TLZ1" s="184"/>
      <c r="TMA1" s="184"/>
      <c r="TMB1" s="184"/>
      <c r="TMC1" s="184"/>
      <c r="TMD1" s="184"/>
      <c r="TME1" s="184"/>
      <c r="TMF1" s="184"/>
      <c r="TMG1" s="184"/>
      <c r="TMH1" s="184"/>
      <c r="TMI1" s="184"/>
      <c r="TMJ1" s="184"/>
      <c r="TMK1" s="184"/>
      <c r="TML1" s="184"/>
      <c r="TMM1" s="184"/>
      <c r="TMN1" s="184"/>
      <c r="TMO1" s="184"/>
      <c r="TMP1" s="184"/>
      <c r="TMQ1" s="184"/>
      <c r="TMR1" s="184"/>
      <c r="TMS1" s="184"/>
      <c r="TMT1" s="184"/>
      <c r="TMU1" s="184"/>
      <c r="TMV1" s="184"/>
      <c r="TMW1" s="184"/>
      <c r="TMX1" s="184"/>
      <c r="TMY1" s="184"/>
      <c r="TMZ1" s="184"/>
      <c r="TNA1" s="184"/>
      <c r="TNB1" s="184"/>
      <c r="TNC1" s="184"/>
      <c r="TND1" s="184"/>
      <c r="TNE1" s="184"/>
      <c r="TNF1" s="184"/>
      <c r="TNG1" s="184"/>
      <c r="TNH1" s="184"/>
      <c r="TNI1" s="184"/>
      <c r="TNJ1" s="184"/>
      <c r="TNK1" s="184"/>
      <c r="TNL1" s="184"/>
      <c r="TNM1" s="184"/>
      <c r="TNN1" s="184"/>
      <c r="TNO1" s="184"/>
      <c r="TNP1" s="184"/>
      <c r="TNQ1" s="184"/>
      <c r="TNR1" s="184"/>
      <c r="TNS1" s="184"/>
      <c r="TNT1" s="184"/>
      <c r="TNU1" s="184"/>
      <c r="TNV1" s="184"/>
      <c r="TNW1" s="184"/>
      <c r="TNX1" s="184"/>
      <c r="TNY1" s="184"/>
      <c r="TNZ1" s="184"/>
      <c r="TOA1" s="184"/>
      <c r="TOB1" s="184"/>
      <c r="TOC1" s="184"/>
      <c r="TOD1" s="184"/>
      <c r="TOE1" s="184"/>
      <c r="TOF1" s="184"/>
      <c r="TOG1" s="184"/>
      <c r="TOH1" s="184"/>
      <c r="TOI1" s="184"/>
      <c r="TOJ1" s="184"/>
      <c r="TOK1" s="184"/>
      <c r="TOL1" s="184"/>
      <c r="TOM1" s="184"/>
      <c r="TON1" s="184"/>
      <c r="TOO1" s="184"/>
      <c r="TOP1" s="184"/>
      <c r="TOQ1" s="184"/>
      <c r="TOR1" s="184"/>
      <c r="TOS1" s="184"/>
      <c r="TOT1" s="184"/>
      <c r="TOU1" s="184"/>
      <c r="TOV1" s="184"/>
      <c r="TOW1" s="184"/>
      <c r="TOX1" s="184"/>
      <c r="TOY1" s="184"/>
      <c r="TOZ1" s="184"/>
      <c r="TPA1" s="184"/>
      <c r="TPB1" s="184"/>
      <c r="TPC1" s="184"/>
      <c r="TPD1" s="184"/>
      <c r="TPE1" s="184"/>
      <c r="TPF1" s="184"/>
      <c r="TPG1" s="184"/>
      <c r="TPH1" s="184"/>
      <c r="TPI1" s="184"/>
      <c r="TPJ1" s="184"/>
      <c r="TPK1" s="184"/>
      <c r="TPL1" s="184"/>
      <c r="TPM1" s="184"/>
      <c r="TPN1" s="184"/>
      <c r="TPO1" s="184"/>
      <c r="TPP1" s="184"/>
      <c r="TPQ1" s="184"/>
      <c r="TPR1" s="184"/>
      <c r="TPS1" s="184"/>
      <c r="TPT1" s="184"/>
      <c r="TPU1" s="184"/>
      <c r="TPV1" s="184"/>
      <c r="TPW1" s="184"/>
      <c r="TPX1" s="184"/>
      <c r="TPY1" s="184"/>
      <c r="TPZ1" s="184"/>
      <c r="TQA1" s="184"/>
      <c r="TQB1" s="184"/>
      <c r="TQC1" s="184"/>
      <c r="TQD1" s="184"/>
      <c r="TQE1" s="184"/>
      <c r="TQF1" s="184"/>
      <c r="TQG1" s="184"/>
      <c r="TQH1" s="184"/>
      <c r="TQI1" s="184"/>
      <c r="TQJ1" s="184"/>
      <c r="TQK1" s="184"/>
      <c r="TQL1" s="184"/>
      <c r="TQM1" s="184"/>
      <c r="TQN1" s="184"/>
      <c r="TQO1" s="184"/>
      <c r="TQP1" s="184"/>
      <c r="TQQ1" s="184"/>
      <c r="TQR1" s="184"/>
      <c r="TQS1" s="184"/>
      <c r="TQT1" s="184"/>
      <c r="TQU1" s="184"/>
      <c r="TQV1" s="184"/>
      <c r="TQW1" s="184"/>
      <c r="TQX1" s="184"/>
      <c r="TQY1" s="184"/>
      <c r="TQZ1" s="184"/>
      <c r="TRA1" s="184"/>
      <c r="TRB1" s="184"/>
      <c r="TRC1" s="184"/>
      <c r="TRD1" s="184"/>
      <c r="TRE1" s="184"/>
      <c r="TRF1" s="184"/>
      <c r="TRG1" s="184"/>
      <c r="TRH1" s="184"/>
      <c r="TRI1" s="184"/>
      <c r="TRJ1" s="184"/>
      <c r="TRK1" s="184"/>
      <c r="TRL1" s="184"/>
      <c r="TRM1" s="184"/>
      <c r="TRN1" s="184"/>
      <c r="TRO1" s="184"/>
      <c r="TRP1" s="184"/>
      <c r="TRQ1" s="184"/>
      <c r="TRR1" s="184"/>
      <c r="TRS1" s="184"/>
      <c r="TRT1" s="184"/>
      <c r="TRU1" s="184"/>
      <c r="TRV1" s="184"/>
      <c r="TRW1" s="184"/>
      <c r="TRX1" s="184"/>
      <c r="TRY1" s="184"/>
      <c r="TRZ1" s="184"/>
      <c r="TSA1" s="184"/>
      <c r="TSB1" s="184"/>
      <c r="TSC1" s="184"/>
      <c r="TSD1" s="184"/>
      <c r="TSE1" s="184"/>
      <c r="TSF1" s="184"/>
      <c r="TSG1" s="184"/>
      <c r="TSH1" s="184"/>
      <c r="TSI1" s="184"/>
      <c r="TSJ1" s="184"/>
      <c r="TSK1" s="184"/>
      <c r="TSL1" s="184"/>
      <c r="TSM1" s="184"/>
      <c r="TSN1" s="184"/>
      <c r="TSO1" s="184"/>
      <c r="TSP1" s="184"/>
      <c r="TSQ1" s="184"/>
      <c r="TSR1" s="184"/>
      <c r="TSS1" s="184"/>
      <c r="TST1" s="184"/>
      <c r="TSU1" s="184"/>
      <c r="TSV1" s="184"/>
      <c r="TSW1" s="184"/>
      <c r="TSX1" s="184"/>
      <c r="TSY1" s="184"/>
      <c r="TSZ1" s="184"/>
      <c r="TTA1" s="184"/>
      <c r="TTB1" s="184"/>
      <c r="TTC1" s="184"/>
      <c r="TTD1" s="184"/>
      <c r="TTE1" s="184"/>
      <c r="TTF1" s="184"/>
      <c r="TTG1" s="184"/>
      <c r="TTH1" s="184"/>
      <c r="TTI1" s="184"/>
      <c r="TTJ1" s="184"/>
      <c r="TTK1" s="184"/>
      <c r="TTL1" s="184"/>
      <c r="TTM1" s="184"/>
      <c r="TTN1" s="184"/>
      <c r="TTO1" s="184"/>
      <c r="TTP1" s="184"/>
      <c r="TTQ1" s="184"/>
      <c r="TTR1" s="184"/>
      <c r="TTS1" s="184"/>
      <c r="TTT1" s="184"/>
      <c r="TTU1" s="184"/>
      <c r="TTV1" s="184"/>
      <c r="TTW1" s="184"/>
      <c r="TTX1" s="184"/>
      <c r="TTY1" s="184"/>
      <c r="TTZ1" s="184"/>
      <c r="TUA1" s="184"/>
      <c r="TUB1" s="184"/>
      <c r="TUC1" s="184"/>
      <c r="TUD1" s="184"/>
      <c r="TUE1" s="184"/>
      <c r="TUF1" s="184"/>
      <c r="TUG1" s="184"/>
      <c r="TUH1" s="184"/>
      <c r="TUI1" s="184"/>
      <c r="TUJ1" s="184"/>
      <c r="TUK1" s="184"/>
      <c r="TUL1" s="184"/>
      <c r="TUM1" s="184"/>
      <c r="TUN1" s="184"/>
      <c r="TUO1" s="184"/>
      <c r="TUP1" s="184"/>
      <c r="TUQ1" s="184"/>
      <c r="TUR1" s="184"/>
      <c r="TUS1" s="184"/>
      <c r="TUT1" s="184"/>
      <c r="TUU1" s="184"/>
      <c r="TUV1" s="184"/>
      <c r="TUW1" s="184"/>
      <c r="TUX1" s="184"/>
      <c r="TUY1" s="184"/>
      <c r="TUZ1" s="184"/>
      <c r="TVA1" s="184"/>
      <c r="TVB1" s="184"/>
      <c r="TVC1" s="184"/>
      <c r="TVD1" s="184"/>
      <c r="TVE1" s="184"/>
      <c r="TVF1" s="184"/>
      <c r="TVG1" s="184"/>
      <c r="TVH1" s="184"/>
      <c r="TVI1" s="184"/>
      <c r="TVJ1" s="184"/>
      <c r="TVK1" s="184"/>
      <c r="TVL1" s="184"/>
      <c r="TVM1" s="184"/>
      <c r="TVN1" s="184"/>
      <c r="TVO1" s="184"/>
      <c r="TVP1" s="184"/>
      <c r="TVQ1" s="184"/>
      <c r="TVR1" s="184"/>
      <c r="TVS1" s="184"/>
      <c r="TVT1" s="184"/>
      <c r="TVU1" s="184"/>
      <c r="TVV1" s="184"/>
      <c r="TVW1" s="184"/>
      <c r="TVX1" s="184"/>
      <c r="TVY1" s="184"/>
      <c r="TVZ1" s="184"/>
      <c r="TWA1" s="184"/>
      <c r="TWB1" s="184"/>
      <c r="TWC1" s="184"/>
      <c r="TWD1" s="184"/>
      <c r="TWE1" s="184"/>
      <c r="TWF1" s="184"/>
      <c r="TWG1" s="184"/>
      <c r="TWH1" s="184"/>
      <c r="TWI1" s="184"/>
      <c r="TWJ1" s="184"/>
      <c r="TWK1" s="184"/>
      <c r="TWL1" s="184"/>
      <c r="TWM1" s="184"/>
      <c r="TWN1" s="184"/>
      <c r="TWO1" s="184"/>
      <c r="TWP1" s="184"/>
      <c r="TWQ1" s="184"/>
      <c r="TWR1" s="184"/>
      <c r="TWS1" s="184"/>
      <c r="TWT1" s="184"/>
      <c r="TWU1" s="184"/>
      <c r="TWV1" s="184"/>
      <c r="TWW1" s="184"/>
      <c r="TWX1" s="184"/>
      <c r="TWY1" s="184"/>
      <c r="TWZ1" s="184"/>
      <c r="TXA1" s="184"/>
      <c r="TXB1" s="184"/>
      <c r="TXC1" s="184"/>
      <c r="TXD1" s="184"/>
      <c r="TXE1" s="184"/>
      <c r="TXF1" s="184"/>
      <c r="TXG1" s="184"/>
      <c r="TXH1" s="184"/>
      <c r="TXI1" s="184"/>
      <c r="TXJ1" s="184"/>
      <c r="TXK1" s="184"/>
      <c r="TXL1" s="184"/>
      <c r="TXM1" s="184"/>
      <c r="TXN1" s="184"/>
      <c r="TXO1" s="184"/>
      <c r="TXP1" s="184"/>
      <c r="TXQ1" s="184"/>
      <c r="TXR1" s="184"/>
      <c r="TXS1" s="184"/>
      <c r="TXT1" s="184"/>
      <c r="TXU1" s="184"/>
      <c r="TXV1" s="184"/>
      <c r="TXW1" s="184"/>
      <c r="TXX1" s="184"/>
      <c r="TXY1" s="184"/>
      <c r="TXZ1" s="184"/>
      <c r="TYA1" s="184"/>
      <c r="TYB1" s="184"/>
      <c r="TYC1" s="184"/>
      <c r="TYD1" s="184"/>
      <c r="TYE1" s="184"/>
      <c r="TYF1" s="184"/>
      <c r="TYG1" s="184"/>
      <c r="TYH1" s="184"/>
      <c r="TYI1" s="184"/>
      <c r="TYJ1" s="184"/>
      <c r="TYK1" s="184"/>
      <c r="TYL1" s="184"/>
      <c r="TYM1" s="184"/>
      <c r="TYN1" s="184"/>
      <c r="TYO1" s="184"/>
      <c r="TYP1" s="184"/>
      <c r="TYQ1" s="184"/>
      <c r="TYR1" s="184"/>
      <c r="TYS1" s="184"/>
      <c r="TYT1" s="184"/>
      <c r="TYU1" s="184"/>
      <c r="TYV1" s="184"/>
      <c r="TYW1" s="184"/>
      <c r="TYX1" s="184"/>
      <c r="TYY1" s="184"/>
      <c r="TYZ1" s="184"/>
      <c r="TZA1" s="184"/>
      <c r="TZB1" s="184"/>
      <c r="TZC1" s="184"/>
      <c r="TZD1" s="184"/>
      <c r="TZE1" s="184"/>
      <c r="TZF1" s="184"/>
      <c r="TZG1" s="184"/>
      <c r="TZH1" s="184"/>
      <c r="TZI1" s="184"/>
      <c r="TZJ1" s="184"/>
      <c r="TZK1" s="184"/>
      <c r="TZL1" s="184"/>
      <c r="TZM1" s="184"/>
      <c r="TZN1" s="184"/>
      <c r="TZO1" s="184"/>
      <c r="TZP1" s="184"/>
      <c r="TZQ1" s="184"/>
      <c r="TZR1" s="184"/>
      <c r="TZS1" s="184"/>
      <c r="TZT1" s="184"/>
      <c r="TZU1" s="184"/>
      <c r="TZV1" s="184"/>
      <c r="TZW1" s="184"/>
      <c r="TZX1" s="184"/>
      <c r="TZY1" s="184"/>
      <c r="TZZ1" s="184"/>
      <c r="UAA1" s="184"/>
      <c r="UAB1" s="184"/>
      <c r="UAC1" s="184"/>
      <c r="UAD1" s="184"/>
      <c r="UAE1" s="184"/>
      <c r="UAF1" s="184"/>
      <c r="UAG1" s="184"/>
      <c r="UAH1" s="184"/>
      <c r="UAI1" s="184"/>
      <c r="UAJ1" s="184"/>
      <c r="UAK1" s="184"/>
      <c r="UAL1" s="184"/>
      <c r="UAM1" s="184"/>
      <c r="UAN1" s="184"/>
      <c r="UAO1" s="184"/>
      <c r="UAP1" s="184"/>
      <c r="UAQ1" s="184"/>
      <c r="UAR1" s="184"/>
      <c r="UAS1" s="184"/>
      <c r="UAT1" s="184"/>
      <c r="UAU1" s="184"/>
      <c r="UAV1" s="184"/>
      <c r="UAW1" s="184"/>
      <c r="UAX1" s="184"/>
      <c r="UAY1" s="184"/>
      <c r="UAZ1" s="184"/>
      <c r="UBA1" s="184"/>
      <c r="UBB1" s="184"/>
      <c r="UBC1" s="184"/>
      <c r="UBD1" s="184"/>
      <c r="UBE1" s="184"/>
      <c r="UBF1" s="184"/>
      <c r="UBG1" s="184"/>
      <c r="UBH1" s="184"/>
      <c r="UBI1" s="184"/>
      <c r="UBJ1" s="184"/>
      <c r="UBK1" s="184"/>
      <c r="UBL1" s="184"/>
      <c r="UBM1" s="184"/>
      <c r="UBN1" s="184"/>
      <c r="UBO1" s="184"/>
      <c r="UBP1" s="184"/>
      <c r="UBQ1" s="184"/>
      <c r="UBR1" s="184"/>
      <c r="UBS1" s="184"/>
      <c r="UBT1" s="184"/>
      <c r="UBU1" s="184"/>
      <c r="UBV1" s="184"/>
      <c r="UBW1" s="184"/>
      <c r="UBX1" s="184"/>
      <c r="UBY1" s="184"/>
      <c r="UBZ1" s="184"/>
      <c r="UCA1" s="184"/>
      <c r="UCB1" s="184"/>
      <c r="UCC1" s="184"/>
      <c r="UCD1" s="184"/>
      <c r="UCE1" s="184"/>
      <c r="UCF1" s="184"/>
      <c r="UCG1" s="184"/>
      <c r="UCH1" s="184"/>
      <c r="UCI1" s="184"/>
      <c r="UCJ1" s="184"/>
      <c r="UCK1" s="184"/>
      <c r="UCL1" s="184"/>
      <c r="UCM1" s="184"/>
      <c r="UCN1" s="184"/>
      <c r="UCO1" s="184"/>
      <c r="UCP1" s="184"/>
      <c r="UCQ1" s="184"/>
      <c r="UCR1" s="184"/>
      <c r="UCS1" s="184"/>
      <c r="UCT1" s="184"/>
      <c r="UCU1" s="184"/>
      <c r="UCV1" s="184"/>
      <c r="UCW1" s="184"/>
      <c r="UCX1" s="184"/>
      <c r="UCY1" s="184"/>
      <c r="UCZ1" s="184"/>
      <c r="UDA1" s="184"/>
      <c r="UDB1" s="184"/>
      <c r="UDC1" s="184"/>
      <c r="UDD1" s="184"/>
      <c r="UDE1" s="184"/>
      <c r="UDF1" s="184"/>
      <c r="UDG1" s="184"/>
      <c r="UDH1" s="184"/>
      <c r="UDI1" s="184"/>
      <c r="UDJ1" s="184"/>
      <c r="UDK1" s="184"/>
      <c r="UDL1" s="184"/>
      <c r="UDM1" s="184"/>
      <c r="UDN1" s="184"/>
      <c r="UDO1" s="184"/>
      <c r="UDP1" s="184"/>
      <c r="UDQ1" s="184"/>
      <c r="UDR1" s="184"/>
      <c r="UDS1" s="184"/>
      <c r="UDT1" s="184"/>
      <c r="UDU1" s="184"/>
      <c r="UDV1" s="184"/>
      <c r="UDW1" s="184"/>
      <c r="UDX1" s="184"/>
      <c r="UDY1" s="184"/>
      <c r="UDZ1" s="184"/>
      <c r="UEA1" s="184"/>
      <c r="UEB1" s="184"/>
      <c r="UEC1" s="184"/>
      <c r="UED1" s="184"/>
      <c r="UEE1" s="184"/>
      <c r="UEF1" s="184"/>
      <c r="UEG1" s="184"/>
      <c r="UEH1" s="184"/>
      <c r="UEI1" s="184"/>
      <c r="UEJ1" s="184"/>
      <c r="UEK1" s="184"/>
      <c r="UEL1" s="184"/>
      <c r="UEM1" s="184"/>
      <c r="UEN1" s="184"/>
      <c r="UEO1" s="184"/>
      <c r="UEP1" s="184"/>
      <c r="UEQ1" s="184"/>
      <c r="UER1" s="184"/>
      <c r="UES1" s="184"/>
      <c r="UET1" s="184"/>
      <c r="UEU1" s="184"/>
      <c r="UEV1" s="184"/>
      <c r="UEW1" s="184"/>
      <c r="UEX1" s="184"/>
      <c r="UEY1" s="184"/>
      <c r="UEZ1" s="184"/>
      <c r="UFA1" s="184"/>
      <c r="UFB1" s="184"/>
      <c r="UFC1" s="184"/>
      <c r="UFD1" s="184"/>
      <c r="UFE1" s="184"/>
      <c r="UFF1" s="184"/>
      <c r="UFG1" s="184"/>
      <c r="UFH1" s="184"/>
      <c r="UFI1" s="184"/>
      <c r="UFJ1" s="184"/>
      <c r="UFK1" s="184"/>
      <c r="UFL1" s="184"/>
      <c r="UFM1" s="184"/>
      <c r="UFN1" s="184"/>
      <c r="UFO1" s="184"/>
      <c r="UFP1" s="184"/>
      <c r="UFQ1" s="184"/>
      <c r="UFR1" s="184"/>
      <c r="UFS1" s="184"/>
      <c r="UFT1" s="184"/>
      <c r="UFU1" s="184"/>
      <c r="UFV1" s="184"/>
      <c r="UFW1" s="184"/>
      <c r="UFX1" s="184"/>
      <c r="UFY1" s="184"/>
      <c r="UFZ1" s="184"/>
      <c r="UGA1" s="184"/>
      <c r="UGB1" s="184"/>
      <c r="UGC1" s="184"/>
      <c r="UGD1" s="184"/>
      <c r="UGE1" s="184"/>
      <c r="UGF1" s="184"/>
      <c r="UGG1" s="184"/>
      <c r="UGH1" s="184"/>
      <c r="UGI1" s="184"/>
      <c r="UGJ1" s="184"/>
      <c r="UGK1" s="184"/>
      <c r="UGL1" s="184"/>
      <c r="UGM1" s="184"/>
      <c r="UGN1" s="184"/>
      <c r="UGO1" s="184"/>
      <c r="UGP1" s="184"/>
      <c r="UGQ1" s="184"/>
      <c r="UGR1" s="184"/>
      <c r="UGS1" s="184"/>
      <c r="UGT1" s="184"/>
      <c r="UGU1" s="184"/>
      <c r="UGV1" s="184"/>
      <c r="UGW1" s="184"/>
      <c r="UGX1" s="184"/>
      <c r="UGY1" s="184"/>
      <c r="UGZ1" s="184"/>
      <c r="UHA1" s="184"/>
      <c r="UHB1" s="184"/>
      <c r="UHC1" s="184"/>
      <c r="UHD1" s="184"/>
      <c r="UHE1" s="184"/>
      <c r="UHF1" s="184"/>
      <c r="UHG1" s="184"/>
      <c r="UHH1" s="184"/>
      <c r="UHI1" s="184"/>
      <c r="UHJ1" s="184"/>
      <c r="UHK1" s="184"/>
      <c r="UHL1" s="184"/>
      <c r="UHM1" s="184"/>
      <c r="UHN1" s="184"/>
      <c r="UHO1" s="184"/>
      <c r="UHP1" s="184"/>
      <c r="UHQ1" s="184"/>
      <c r="UHR1" s="184"/>
      <c r="UHS1" s="184"/>
      <c r="UHT1" s="184"/>
      <c r="UHU1" s="184"/>
      <c r="UHV1" s="184"/>
      <c r="UHW1" s="184"/>
      <c r="UHX1" s="184"/>
      <c r="UHY1" s="184"/>
      <c r="UHZ1" s="184"/>
      <c r="UIA1" s="184"/>
      <c r="UIB1" s="184"/>
      <c r="UIC1" s="184"/>
      <c r="UID1" s="184"/>
      <c r="UIE1" s="184"/>
      <c r="UIF1" s="184"/>
      <c r="UIG1" s="184"/>
      <c r="UIH1" s="184"/>
      <c r="UII1" s="184"/>
      <c r="UIJ1" s="184"/>
      <c r="UIK1" s="184"/>
      <c r="UIL1" s="184"/>
      <c r="UIM1" s="184"/>
      <c r="UIN1" s="184"/>
      <c r="UIO1" s="184"/>
      <c r="UIP1" s="184"/>
      <c r="UIQ1" s="184"/>
      <c r="UIR1" s="184"/>
      <c r="UIS1" s="184"/>
      <c r="UIT1" s="184"/>
      <c r="UIU1" s="184"/>
      <c r="UIV1" s="184"/>
      <c r="UIW1" s="184"/>
      <c r="UIX1" s="184"/>
      <c r="UIY1" s="184"/>
      <c r="UIZ1" s="184"/>
      <c r="UJA1" s="184"/>
      <c r="UJB1" s="184"/>
      <c r="UJC1" s="184"/>
      <c r="UJD1" s="184"/>
      <c r="UJE1" s="184"/>
      <c r="UJF1" s="184"/>
      <c r="UJG1" s="184"/>
      <c r="UJH1" s="184"/>
      <c r="UJI1" s="184"/>
      <c r="UJJ1" s="184"/>
      <c r="UJK1" s="184"/>
      <c r="UJL1" s="184"/>
      <c r="UJM1" s="184"/>
      <c r="UJN1" s="184"/>
      <c r="UJO1" s="184"/>
      <c r="UJP1" s="184"/>
      <c r="UJQ1" s="184"/>
      <c r="UJR1" s="184"/>
      <c r="UJS1" s="184"/>
      <c r="UJT1" s="184"/>
      <c r="UJU1" s="184"/>
      <c r="UJV1" s="184"/>
      <c r="UJW1" s="184"/>
      <c r="UJX1" s="184"/>
      <c r="UJY1" s="184"/>
      <c r="UJZ1" s="184"/>
      <c r="UKA1" s="184"/>
      <c r="UKB1" s="184"/>
      <c r="UKC1" s="184"/>
      <c r="UKD1" s="184"/>
      <c r="UKE1" s="184"/>
      <c r="UKF1" s="184"/>
      <c r="UKG1" s="184"/>
      <c r="UKH1" s="184"/>
      <c r="UKI1" s="184"/>
      <c r="UKJ1" s="184"/>
      <c r="UKK1" s="184"/>
      <c r="UKL1" s="184"/>
      <c r="UKM1" s="184"/>
      <c r="UKN1" s="184"/>
      <c r="UKO1" s="184"/>
      <c r="UKP1" s="184"/>
      <c r="UKQ1" s="184"/>
      <c r="UKR1" s="184"/>
      <c r="UKS1" s="184"/>
      <c r="UKT1" s="184"/>
      <c r="UKU1" s="184"/>
      <c r="UKV1" s="184"/>
      <c r="UKW1" s="184"/>
      <c r="UKX1" s="184"/>
      <c r="UKY1" s="184"/>
      <c r="UKZ1" s="184"/>
      <c r="ULA1" s="184"/>
      <c r="ULB1" s="184"/>
      <c r="ULC1" s="184"/>
      <c r="ULD1" s="184"/>
      <c r="ULE1" s="184"/>
      <c r="ULF1" s="184"/>
      <c r="ULG1" s="184"/>
      <c r="ULH1" s="184"/>
      <c r="ULI1" s="184"/>
      <c r="ULJ1" s="184"/>
      <c r="ULK1" s="184"/>
      <c r="ULL1" s="184"/>
      <c r="ULM1" s="184"/>
      <c r="ULN1" s="184"/>
      <c r="ULO1" s="184"/>
      <c r="ULP1" s="184"/>
      <c r="ULQ1" s="184"/>
      <c r="ULR1" s="184"/>
      <c r="ULS1" s="184"/>
      <c r="ULT1" s="184"/>
      <c r="ULU1" s="184"/>
      <c r="ULV1" s="184"/>
      <c r="ULW1" s="184"/>
      <c r="ULX1" s="184"/>
      <c r="ULY1" s="184"/>
      <c r="ULZ1" s="184"/>
      <c r="UMA1" s="184"/>
      <c r="UMB1" s="184"/>
      <c r="UMC1" s="184"/>
      <c r="UMD1" s="184"/>
      <c r="UME1" s="184"/>
      <c r="UMF1" s="184"/>
      <c r="UMG1" s="184"/>
      <c r="UMH1" s="184"/>
      <c r="UMI1" s="184"/>
      <c r="UMJ1" s="184"/>
      <c r="UMK1" s="184"/>
      <c r="UML1" s="184"/>
      <c r="UMM1" s="184"/>
      <c r="UMN1" s="184"/>
      <c r="UMO1" s="184"/>
      <c r="UMP1" s="184"/>
      <c r="UMQ1" s="184"/>
      <c r="UMR1" s="184"/>
      <c r="UMS1" s="184"/>
      <c r="UMT1" s="184"/>
      <c r="UMU1" s="184"/>
      <c r="UMV1" s="184"/>
      <c r="UMW1" s="184"/>
      <c r="UMX1" s="184"/>
      <c r="UMY1" s="184"/>
      <c r="UMZ1" s="184"/>
      <c r="UNA1" s="184"/>
      <c r="UNB1" s="184"/>
      <c r="UNC1" s="184"/>
      <c r="UND1" s="184"/>
      <c r="UNE1" s="184"/>
      <c r="UNF1" s="184"/>
      <c r="UNG1" s="184"/>
      <c r="UNH1" s="184"/>
      <c r="UNI1" s="184"/>
      <c r="UNJ1" s="184"/>
      <c r="UNK1" s="184"/>
      <c r="UNL1" s="184"/>
      <c r="UNM1" s="184"/>
      <c r="UNN1" s="184"/>
      <c r="UNO1" s="184"/>
      <c r="UNP1" s="184"/>
      <c r="UNQ1" s="184"/>
      <c r="UNR1" s="184"/>
      <c r="UNS1" s="184"/>
      <c r="UNT1" s="184"/>
      <c r="UNU1" s="184"/>
      <c r="UNV1" s="184"/>
      <c r="UNW1" s="184"/>
      <c r="UNX1" s="184"/>
      <c r="UNY1" s="184"/>
      <c r="UNZ1" s="184"/>
      <c r="UOA1" s="184"/>
      <c r="UOB1" s="184"/>
      <c r="UOC1" s="184"/>
      <c r="UOD1" s="184"/>
      <c r="UOE1" s="184"/>
      <c r="UOF1" s="184"/>
      <c r="UOG1" s="184"/>
      <c r="UOH1" s="184"/>
      <c r="UOI1" s="184"/>
      <c r="UOJ1" s="184"/>
      <c r="UOK1" s="184"/>
      <c r="UOL1" s="184"/>
      <c r="UOM1" s="184"/>
      <c r="UON1" s="184"/>
      <c r="UOO1" s="184"/>
      <c r="UOP1" s="184"/>
      <c r="UOQ1" s="184"/>
      <c r="UOR1" s="184"/>
      <c r="UOS1" s="184"/>
      <c r="UOT1" s="184"/>
      <c r="UOU1" s="184"/>
      <c r="UOV1" s="184"/>
      <c r="UOW1" s="184"/>
      <c r="UOX1" s="184"/>
      <c r="UOY1" s="184"/>
      <c r="UOZ1" s="184"/>
      <c r="UPA1" s="184"/>
      <c r="UPB1" s="184"/>
      <c r="UPC1" s="184"/>
      <c r="UPD1" s="184"/>
      <c r="UPE1" s="184"/>
      <c r="UPF1" s="184"/>
      <c r="UPG1" s="184"/>
      <c r="UPH1" s="184"/>
      <c r="UPI1" s="184"/>
      <c r="UPJ1" s="184"/>
      <c r="UPK1" s="184"/>
      <c r="UPL1" s="184"/>
      <c r="UPM1" s="184"/>
      <c r="UPN1" s="184"/>
      <c r="UPO1" s="184"/>
      <c r="UPP1" s="184"/>
      <c r="UPQ1" s="184"/>
      <c r="UPR1" s="184"/>
      <c r="UPS1" s="184"/>
      <c r="UPT1" s="184"/>
      <c r="UPU1" s="184"/>
      <c r="UPV1" s="184"/>
      <c r="UPW1" s="184"/>
      <c r="UPX1" s="184"/>
      <c r="UPY1" s="184"/>
      <c r="UPZ1" s="184"/>
      <c r="UQA1" s="184"/>
      <c r="UQB1" s="184"/>
      <c r="UQC1" s="184"/>
      <c r="UQD1" s="184"/>
      <c r="UQE1" s="184"/>
      <c r="UQF1" s="184"/>
      <c r="UQG1" s="184"/>
      <c r="UQH1" s="184"/>
      <c r="UQI1" s="184"/>
      <c r="UQJ1" s="184"/>
      <c r="UQK1" s="184"/>
      <c r="UQL1" s="184"/>
      <c r="UQM1" s="184"/>
      <c r="UQN1" s="184"/>
      <c r="UQO1" s="184"/>
      <c r="UQP1" s="184"/>
      <c r="UQQ1" s="184"/>
      <c r="UQR1" s="184"/>
      <c r="UQS1" s="184"/>
      <c r="UQT1" s="184"/>
      <c r="UQU1" s="184"/>
      <c r="UQV1" s="184"/>
      <c r="UQW1" s="184"/>
      <c r="UQX1" s="184"/>
      <c r="UQY1" s="184"/>
      <c r="UQZ1" s="184"/>
      <c r="URA1" s="184"/>
      <c r="URB1" s="184"/>
      <c r="URC1" s="184"/>
      <c r="URD1" s="184"/>
      <c r="URE1" s="184"/>
      <c r="URF1" s="184"/>
      <c r="URG1" s="184"/>
      <c r="URH1" s="184"/>
      <c r="URI1" s="184"/>
      <c r="URJ1" s="184"/>
      <c r="URK1" s="184"/>
      <c r="URL1" s="184"/>
      <c r="URM1" s="184"/>
      <c r="URN1" s="184"/>
      <c r="URO1" s="184"/>
      <c r="URP1" s="184"/>
      <c r="URQ1" s="184"/>
      <c r="URR1" s="184"/>
      <c r="URS1" s="184"/>
      <c r="URT1" s="184"/>
      <c r="URU1" s="184"/>
      <c r="URV1" s="184"/>
      <c r="URW1" s="184"/>
      <c r="URX1" s="184"/>
      <c r="URY1" s="184"/>
      <c r="URZ1" s="184"/>
      <c r="USA1" s="184"/>
      <c r="USB1" s="184"/>
      <c r="USC1" s="184"/>
      <c r="USD1" s="184"/>
      <c r="USE1" s="184"/>
      <c r="USF1" s="184"/>
      <c r="USG1" s="184"/>
      <c r="USH1" s="184"/>
      <c r="USI1" s="184"/>
      <c r="USJ1" s="184"/>
      <c r="USK1" s="184"/>
      <c r="USL1" s="184"/>
      <c r="USM1" s="184"/>
      <c r="USN1" s="184"/>
      <c r="USO1" s="184"/>
      <c r="USP1" s="184"/>
      <c r="USQ1" s="184"/>
      <c r="USR1" s="184"/>
      <c r="USS1" s="184"/>
      <c r="UST1" s="184"/>
      <c r="USU1" s="184"/>
      <c r="USV1" s="184"/>
      <c r="USW1" s="184"/>
      <c r="USX1" s="184"/>
      <c r="USY1" s="184"/>
      <c r="USZ1" s="184"/>
      <c r="UTA1" s="184"/>
      <c r="UTB1" s="184"/>
      <c r="UTC1" s="184"/>
      <c r="UTD1" s="184"/>
      <c r="UTE1" s="184"/>
      <c r="UTF1" s="184"/>
      <c r="UTG1" s="184"/>
      <c r="UTH1" s="184"/>
      <c r="UTI1" s="184"/>
      <c r="UTJ1" s="184"/>
      <c r="UTK1" s="184"/>
      <c r="UTL1" s="184"/>
      <c r="UTM1" s="184"/>
      <c r="UTN1" s="184"/>
      <c r="UTO1" s="184"/>
      <c r="UTP1" s="184"/>
      <c r="UTQ1" s="184"/>
      <c r="UTR1" s="184"/>
      <c r="UTS1" s="184"/>
      <c r="UTT1" s="184"/>
      <c r="UTU1" s="184"/>
      <c r="UTV1" s="184"/>
      <c r="UTW1" s="184"/>
      <c r="UTX1" s="184"/>
      <c r="UTY1" s="184"/>
      <c r="UTZ1" s="184"/>
      <c r="UUA1" s="184"/>
      <c r="UUB1" s="184"/>
      <c r="UUC1" s="184"/>
      <c r="UUD1" s="184"/>
      <c r="UUE1" s="184"/>
      <c r="UUF1" s="184"/>
      <c r="UUG1" s="184"/>
      <c r="UUH1" s="184"/>
      <c r="UUI1" s="184"/>
      <c r="UUJ1" s="184"/>
      <c r="UUK1" s="184"/>
      <c r="UUL1" s="184"/>
      <c r="UUM1" s="184"/>
      <c r="UUN1" s="184"/>
      <c r="UUO1" s="184"/>
      <c r="UUP1" s="184"/>
      <c r="UUQ1" s="184"/>
      <c r="UUR1" s="184"/>
      <c r="UUS1" s="184"/>
      <c r="UUT1" s="184"/>
      <c r="UUU1" s="184"/>
      <c r="UUV1" s="184"/>
      <c r="UUW1" s="184"/>
      <c r="UUX1" s="184"/>
      <c r="UUY1" s="184"/>
      <c r="UUZ1" s="184"/>
      <c r="UVA1" s="184"/>
      <c r="UVB1" s="184"/>
      <c r="UVC1" s="184"/>
      <c r="UVD1" s="184"/>
      <c r="UVE1" s="184"/>
      <c r="UVF1" s="184"/>
      <c r="UVG1" s="184"/>
      <c r="UVH1" s="184"/>
      <c r="UVI1" s="184"/>
      <c r="UVJ1" s="184"/>
      <c r="UVK1" s="184"/>
      <c r="UVL1" s="184"/>
      <c r="UVM1" s="184"/>
      <c r="UVN1" s="184"/>
      <c r="UVO1" s="184"/>
      <c r="UVP1" s="184"/>
      <c r="UVQ1" s="184"/>
      <c r="UVR1" s="184"/>
      <c r="UVS1" s="184"/>
      <c r="UVT1" s="184"/>
      <c r="UVU1" s="184"/>
      <c r="UVV1" s="184"/>
      <c r="UVW1" s="184"/>
      <c r="UVX1" s="184"/>
      <c r="UVY1" s="184"/>
      <c r="UVZ1" s="184"/>
      <c r="UWA1" s="184"/>
      <c r="UWB1" s="184"/>
      <c r="UWC1" s="184"/>
      <c r="UWD1" s="184"/>
      <c r="UWE1" s="184"/>
      <c r="UWF1" s="184"/>
      <c r="UWG1" s="184"/>
      <c r="UWH1" s="184"/>
      <c r="UWI1" s="184"/>
      <c r="UWJ1" s="184"/>
      <c r="UWK1" s="184"/>
      <c r="UWL1" s="184"/>
      <c r="UWM1" s="184"/>
      <c r="UWN1" s="184"/>
      <c r="UWO1" s="184"/>
      <c r="UWP1" s="184"/>
      <c r="UWQ1" s="184"/>
      <c r="UWR1" s="184"/>
      <c r="UWS1" s="184"/>
      <c r="UWT1" s="184"/>
      <c r="UWU1" s="184"/>
      <c r="UWV1" s="184"/>
      <c r="UWW1" s="184"/>
      <c r="UWX1" s="184"/>
      <c r="UWY1" s="184"/>
      <c r="UWZ1" s="184"/>
      <c r="UXA1" s="184"/>
      <c r="UXB1" s="184"/>
      <c r="UXC1" s="184"/>
      <c r="UXD1" s="184"/>
      <c r="UXE1" s="184"/>
      <c r="UXF1" s="184"/>
      <c r="UXG1" s="184"/>
      <c r="UXH1" s="184"/>
      <c r="UXI1" s="184"/>
      <c r="UXJ1" s="184"/>
      <c r="UXK1" s="184"/>
      <c r="UXL1" s="184"/>
      <c r="UXM1" s="184"/>
      <c r="UXN1" s="184"/>
      <c r="UXO1" s="184"/>
      <c r="UXP1" s="184"/>
      <c r="UXQ1" s="184"/>
      <c r="UXR1" s="184"/>
      <c r="UXS1" s="184"/>
      <c r="UXT1" s="184"/>
      <c r="UXU1" s="184"/>
      <c r="UXV1" s="184"/>
      <c r="UXW1" s="184"/>
      <c r="UXX1" s="184"/>
      <c r="UXY1" s="184"/>
      <c r="UXZ1" s="184"/>
      <c r="UYA1" s="184"/>
      <c r="UYB1" s="184"/>
      <c r="UYC1" s="184"/>
      <c r="UYD1" s="184"/>
      <c r="UYE1" s="184"/>
      <c r="UYF1" s="184"/>
      <c r="UYG1" s="184"/>
      <c r="UYH1" s="184"/>
      <c r="UYI1" s="184"/>
      <c r="UYJ1" s="184"/>
      <c r="UYK1" s="184"/>
      <c r="UYL1" s="184"/>
      <c r="UYM1" s="184"/>
      <c r="UYN1" s="184"/>
      <c r="UYO1" s="184"/>
      <c r="UYP1" s="184"/>
      <c r="UYQ1" s="184"/>
      <c r="UYR1" s="184"/>
      <c r="UYS1" s="184"/>
      <c r="UYT1" s="184"/>
      <c r="UYU1" s="184"/>
      <c r="UYV1" s="184"/>
      <c r="UYW1" s="184"/>
      <c r="UYX1" s="184"/>
      <c r="UYY1" s="184"/>
      <c r="UYZ1" s="184"/>
      <c r="UZA1" s="184"/>
      <c r="UZB1" s="184"/>
      <c r="UZC1" s="184"/>
      <c r="UZD1" s="184"/>
      <c r="UZE1" s="184"/>
      <c r="UZF1" s="184"/>
      <c r="UZG1" s="184"/>
      <c r="UZH1" s="184"/>
      <c r="UZI1" s="184"/>
      <c r="UZJ1" s="184"/>
      <c r="UZK1" s="184"/>
      <c r="UZL1" s="184"/>
      <c r="UZM1" s="184"/>
      <c r="UZN1" s="184"/>
      <c r="UZO1" s="184"/>
      <c r="UZP1" s="184"/>
      <c r="UZQ1" s="184"/>
      <c r="UZR1" s="184"/>
      <c r="UZS1" s="184"/>
      <c r="UZT1" s="184"/>
      <c r="UZU1" s="184"/>
      <c r="UZV1" s="184"/>
      <c r="UZW1" s="184"/>
      <c r="UZX1" s="184"/>
      <c r="UZY1" s="184"/>
      <c r="UZZ1" s="184"/>
      <c r="VAA1" s="184"/>
      <c r="VAB1" s="184"/>
      <c r="VAC1" s="184"/>
      <c r="VAD1" s="184"/>
      <c r="VAE1" s="184"/>
      <c r="VAF1" s="184"/>
      <c r="VAG1" s="184"/>
      <c r="VAH1" s="184"/>
      <c r="VAI1" s="184"/>
      <c r="VAJ1" s="184"/>
      <c r="VAK1" s="184"/>
      <c r="VAL1" s="184"/>
      <c r="VAM1" s="184"/>
      <c r="VAN1" s="184"/>
      <c r="VAO1" s="184"/>
      <c r="VAP1" s="184"/>
      <c r="VAQ1" s="184"/>
      <c r="VAR1" s="184"/>
      <c r="VAS1" s="184"/>
      <c r="VAT1" s="184"/>
      <c r="VAU1" s="184"/>
      <c r="VAV1" s="184"/>
      <c r="VAW1" s="184"/>
      <c r="VAX1" s="184"/>
      <c r="VAY1" s="184"/>
      <c r="VAZ1" s="184"/>
      <c r="VBA1" s="184"/>
      <c r="VBB1" s="184"/>
      <c r="VBC1" s="184"/>
      <c r="VBD1" s="184"/>
      <c r="VBE1" s="184"/>
      <c r="VBF1" s="184"/>
      <c r="VBG1" s="184"/>
      <c r="VBH1" s="184"/>
      <c r="VBI1" s="184"/>
      <c r="VBJ1" s="184"/>
      <c r="VBK1" s="184"/>
      <c r="VBL1" s="184"/>
      <c r="VBM1" s="184"/>
      <c r="VBN1" s="184"/>
      <c r="VBO1" s="184"/>
      <c r="VBP1" s="184"/>
      <c r="VBQ1" s="184"/>
      <c r="VBR1" s="184"/>
      <c r="VBS1" s="184"/>
      <c r="VBT1" s="184"/>
      <c r="VBU1" s="184"/>
      <c r="VBV1" s="184"/>
      <c r="VBW1" s="184"/>
      <c r="VBX1" s="184"/>
      <c r="VBY1" s="184"/>
      <c r="VBZ1" s="184"/>
      <c r="VCA1" s="184"/>
      <c r="VCB1" s="184"/>
      <c r="VCC1" s="184"/>
      <c r="VCD1" s="184"/>
      <c r="VCE1" s="184"/>
      <c r="VCF1" s="184"/>
      <c r="VCG1" s="184"/>
      <c r="VCH1" s="184"/>
      <c r="VCI1" s="184"/>
      <c r="VCJ1" s="184"/>
      <c r="VCK1" s="184"/>
      <c r="VCL1" s="184"/>
      <c r="VCM1" s="184"/>
      <c r="VCN1" s="184"/>
      <c r="VCO1" s="184"/>
      <c r="VCP1" s="184"/>
      <c r="VCQ1" s="184"/>
      <c r="VCR1" s="184"/>
      <c r="VCS1" s="184"/>
      <c r="VCT1" s="184"/>
      <c r="VCU1" s="184"/>
      <c r="VCV1" s="184"/>
      <c r="VCW1" s="184"/>
      <c r="VCX1" s="184"/>
      <c r="VCY1" s="184"/>
      <c r="VCZ1" s="184"/>
      <c r="VDA1" s="184"/>
      <c r="VDB1" s="184"/>
      <c r="VDC1" s="184"/>
      <c r="VDD1" s="184"/>
      <c r="VDE1" s="184"/>
      <c r="VDF1" s="184"/>
      <c r="VDG1" s="184"/>
      <c r="VDH1" s="184"/>
      <c r="VDI1" s="184"/>
      <c r="VDJ1" s="184"/>
      <c r="VDK1" s="184"/>
      <c r="VDL1" s="184"/>
      <c r="VDM1" s="184"/>
      <c r="VDN1" s="184"/>
      <c r="VDO1" s="184"/>
      <c r="VDP1" s="184"/>
      <c r="VDQ1" s="184"/>
      <c r="VDR1" s="184"/>
      <c r="VDS1" s="184"/>
      <c r="VDT1" s="184"/>
      <c r="VDU1" s="184"/>
      <c r="VDV1" s="184"/>
      <c r="VDW1" s="184"/>
      <c r="VDX1" s="184"/>
      <c r="VDY1" s="184"/>
      <c r="VDZ1" s="184"/>
      <c r="VEA1" s="184"/>
      <c r="VEB1" s="184"/>
      <c r="VEC1" s="184"/>
      <c r="VED1" s="184"/>
      <c r="VEE1" s="184"/>
      <c r="VEF1" s="184"/>
      <c r="VEG1" s="184"/>
      <c r="VEH1" s="184"/>
      <c r="VEI1" s="184"/>
      <c r="VEJ1" s="184"/>
      <c r="VEK1" s="184"/>
      <c r="VEL1" s="184"/>
      <c r="VEM1" s="184"/>
      <c r="VEN1" s="184"/>
      <c r="VEO1" s="184"/>
      <c r="VEP1" s="184"/>
      <c r="VEQ1" s="184"/>
      <c r="VER1" s="184"/>
      <c r="VES1" s="184"/>
      <c r="VET1" s="184"/>
      <c r="VEU1" s="184"/>
      <c r="VEV1" s="184"/>
      <c r="VEW1" s="184"/>
      <c r="VEX1" s="184"/>
      <c r="VEY1" s="184"/>
      <c r="VEZ1" s="184"/>
      <c r="VFA1" s="184"/>
      <c r="VFB1" s="184"/>
      <c r="VFC1" s="184"/>
      <c r="VFD1" s="184"/>
      <c r="VFE1" s="184"/>
      <c r="VFF1" s="184"/>
      <c r="VFG1" s="184"/>
      <c r="VFH1" s="184"/>
      <c r="VFI1" s="184"/>
      <c r="VFJ1" s="184"/>
      <c r="VFK1" s="184"/>
      <c r="VFL1" s="184"/>
      <c r="VFM1" s="184"/>
      <c r="VFN1" s="184"/>
      <c r="VFO1" s="184"/>
      <c r="VFP1" s="184"/>
      <c r="VFQ1" s="184"/>
      <c r="VFR1" s="184"/>
      <c r="VFS1" s="184"/>
      <c r="VFT1" s="184"/>
      <c r="VFU1" s="184"/>
      <c r="VFV1" s="184"/>
      <c r="VFW1" s="184"/>
      <c r="VFX1" s="184"/>
      <c r="VFY1" s="184"/>
      <c r="VFZ1" s="184"/>
      <c r="VGA1" s="184"/>
      <c r="VGB1" s="184"/>
      <c r="VGC1" s="184"/>
      <c r="VGD1" s="184"/>
      <c r="VGE1" s="184"/>
      <c r="VGF1" s="184"/>
      <c r="VGG1" s="184"/>
      <c r="VGH1" s="184"/>
      <c r="VGI1" s="184"/>
      <c r="VGJ1" s="184"/>
      <c r="VGK1" s="184"/>
      <c r="VGL1" s="184"/>
      <c r="VGM1" s="184"/>
      <c r="VGN1" s="184"/>
      <c r="VGO1" s="184"/>
      <c r="VGP1" s="184"/>
      <c r="VGQ1" s="184"/>
      <c r="VGR1" s="184"/>
      <c r="VGS1" s="184"/>
      <c r="VGT1" s="184"/>
      <c r="VGU1" s="184"/>
      <c r="VGV1" s="184"/>
      <c r="VGW1" s="184"/>
      <c r="VGX1" s="184"/>
      <c r="VGY1" s="184"/>
      <c r="VGZ1" s="184"/>
      <c r="VHA1" s="184"/>
      <c r="VHB1" s="184"/>
      <c r="VHC1" s="184"/>
      <c r="VHD1" s="184"/>
      <c r="VHE1" s="184"/>
      <c r="VHF1" s="184"/>
      <c r="VHG1" s="184"/>
      <c r="VHH1" s="184"/>
      <c r="VHI1" s="184"/>
      <c r="VHJ1" s="184"/>
      <c r="VHK1" s="184"/>
      <c r="VHL1" s="184"/>
      <c r="VHM1" s="184"/>
      <c r="VHN1" s="184"/>
      <c r="VHO1" s="184"/>
      <c r="VHP1" s="184"/>
      <c r="VHQ1" s="184"/>
      <c r="VHR1" s="184"/>
      <c r="VHS1" s="184"/>
      <c r="VHT1" s="184"/>
      <c r="VHU1" s="184"/>
      <c r="VHV1" s="184"/>
      <c r="VHW1" s="184"/>
      <c r="VHX1" s="184"/>
      <c r="VHY1" s="184"/>
      <c r="VHZ1" s="184"/>
      <c r="VIA1" s="184"/>
      <c r="VIB1" s="184"/>
      <c r="VIC1" s="184"/>
      <c r="VID1" s="184"/>
      <c r="VIE1" s="184"/>
      <c r="VIF1" s="184"/>
      <c r="VIG1" s="184"/>
      <c r="VIH1" s="184"/>
      <c r="VII1" s="184"/>
      <c r="VIJ1" s="184"/>
      <c r="VIK1" s="184"/>
      <c r="VIL1" s="184"/>
      <c r="VIM1" s="184"/>
      <c r="VIN1" s="184"/>
      <c r="VIO1" s="184"/>
      <c r="VIP1" s="184"/>
      <c r="VIQ1" s="184"/>
      <c r="VIR1" s="184"/>
      <c r="VIS1" s="184"/>
      <c r="VIT1" s="184"/>
      <c r="VIU1" s="184"/>
      <c r="VIV1" s="184"/>
      <c r="VIW1" s="184"/>
      <c r="VIX1" s="184"/>
      <c r="VIY1" s="184"/>
      <c r="VIZ1" s="184"/>
      <c r="VJA1" s="184"/>
      <c r="VJB1" s="184"/>
      <c r="VJC1" s="184"/>
      <c r="VJD1" s="184"/>
      <c r="VJE1" s="184"/>
      <c r="VJF1" s="184"/>
      <c r="VJG1" s="184"/>
      <c r="VJH1" s="184"/>
      <c r="VJI1" s="184"/>
      <c r="VJJ1" s="184"/>
      <c r="VJK1" s="184"/>
      <c r="VJL1" s="184"/>
      <c r="VJM1" s="184"/>
      <c r="VJN1" s="184"/>
      <c r="VJO1" s="184"/>
      <c r="VJP1" s="184"/>
      <c r="VJQ1" s="184"/>
      <c r="VJR1" s="184"/>
      <c r="VJS1" s="184"/>
      <c r="VJT1" s="184"/>
      <c r="VJU1" s="184"/>
      <c r="VJV1" s="184"/>
      <c r="VJW1" s="184"/>
      <c r="VJX1" s="184"/>
      <c r="VJY1" s="184"/>
      <c r="VJZ1" s="184"/>
      <c r="VKA1" s="184"/>
      <c r="VKB1" s="184"/>
      <c r="VKC1" s="184"/>
      <c r="VKD1" s="184"/>
      <c r="VKE1" s="184"/>
      <c r="VKF1" s="184"/>
      <c r="VKG1" s="184"/>
      <c r="VKH1" s="184"/>
      <c r="VKI1" s="184"/>
      <c r="VKJ1" s="184"/>
      <c r="VKK1" s="184"/>
      <c r="VKL1" s="184"/>
      <c r="VKM1" s="184"/>
      <c r="VKN1" s="184"/>
      <c r="VKO1" s="184"/>
      <c r="VKP1" s="184"/>
      <c r="VKQ1" s="184"/>
      <c r="VKR1" s="184"/>
      <c r="VKS1" s="184"/>
      <c r="VKT1" s="184"/>
      <c r="VKU1" s="184"/>
      <c r="VKV1" s="184"/>
      <c r="VKW1" s="184"/>
      <c r="VKX1" s="184"/>
      <c r="VKY1" s="184"/>
      <c r="VKZ1" s="184"/>
      <c r="VLA1" s="184"/>
      <c r="VLB1" s="184"/>
      <c r="VLC1" s="184"/>
      <c r="VLD1" s="184"/>
      <c r="VLE1" s="184"/>
      <c r="VLF1" s="184"/>
      <c r="VLG1" s="184"/>
      <c r="VLH1" s="184"/>
      <c r="VLI1" s="184"/>
      <c r="VLJ1" s="184"/>
      <c r="VLK1" s="184"/>
      <c r="VLL1" s="184"/>
      <c r="VLM1" s="184"/>
      <c r="VLN1" s="184"/>
      <c r="VLO1" s="184"/>
      <c r="VLP1" s="184"/>
      <c r="VLQ1" s="184"/>
      <c r="VLR1" s="184"/>
      <c r="VLS1" s="184"/>
      <c r="VLT1" s="184"/>
      <c r="VLU1" s="184"/>
      <c r="VLV1" s="184"/>
      <c r="VLW1" s="184"/>
      <c r="VLX1" s="184"/>
      <c r="VLY1" s="184"/>
      <c r="VLZ1" s="184"/>
      <c r="VMA1" s="184"/>
      <c r="VMB1" s="184"/>
      <c r="VMC1" s="184"/>
      <c r="VMD1" s="184"/>
      <c r="VME1" s="184"/>
      <c r="VMF1" s="184"/>
      <c r="VMG1" s="184"/>
      <c r="VMH1" s="184"/>
      <c r="VMI1" s="184"/>
      <c r="VMJ1" s="184"/>
      <c r="VMK1" s="184"/>
      <c r="VML1" s="184"/>
      <c r="VMM1" s="184"/>
      <c r="VMN1" s="184"/>
      <c r="VMO1" s="184"/>
      <c r="VMP1" s="184"/>
      <c r="VMQ1" s="184"/>
      <c r="VMR1" s="184"/>
      <c r="VMS1" s="184"/>
      <c r="VMT1" s="184"/>
      <c r="VMU1" s="184"/>
      <c r="VMV1" s="184"/>
      <c r="VMW1" s="184"/>
      <c r="VMX1" s="184"/>
      <c r="VMY1" s="184"/>
      <c r="VMZ1" s="184"/>
      <c r="VNA1" s="184"/>
      <c r="VNB1" s="184"/>
      <c r="VNC1" s="184"/>
      <c r="VND1" s="184"/>
      <c r="VNE1" s="184"/>
      <c r="VNF1" s="184"/>
      <c r="VNG1" s="184"/>
      <c r="VNH1" s="184"/>
      <c r="VNI1" s="184"/>
      <c r="VNJ1" s="184"/>
      <c r="VNK1" s="184"/>
      <c r="VNL1" s="184"/>
      <c r="VNM1" s="184"/>
      <c r="VNN1" s="184"/>
      <c r="VNO1" s="184"/>
      <c r="VNP1" s="184"/>
      <c r="VNQ1" s="184"/>
      <c r="VNR1" s="184"/>
      <c r="VNS1" s="184"/>
      <c r="VNT1" s="184"/>
      <c r="VNU1" s="184"/>
      <c r="VNV1" s="184"/>
      <c r="VNW1" s="184"/>
      <c r="VNX1" s="184"/>
      <c r="VNY1" s="184"/>
      <c r="VNZ1" s="184"/>
      <c r="VOA1" s="184"/>
      <c r="VOB1" s="184"/>
      <c r="VOC1" s="184"/>
      <c r="VOD1" s="184"/>
      <c r="VOE1" s="184"/>
      <c r="VOF1" s="184"/>
      <c r="VOG1" s="184"/>
      <c r="VOH1" s="184"/>
      <c r="VOI1" s="184"/>
      <c r="VOJ1" s="184"/>
      <c r="VOK1" s="184"/>
      <c r="VOL1" s="184"/>
      <c r="VOM1" s="184"/>
      <c r="VON1" s="184"/>
      <c r="VOO1" s="184"/>
      <c r="VOP1" s="184"/>
      <c r="VOQ1" s="184"/>
      <c r="VOR1" s="184"/>
      <c r="VOS1" s="184"/>
      <c r="VOT1" s="184"/>
      <c r="VOU1" s="184"/>
      <c r="VOV1" s="184"/>
      <c r="VOW1" s="184"/>
      <c r="VOX1" s="184"/>
      <c r="VOY1" s="184"/>
      <c r="VOZ1" s="184"/>
      <c r="VPA1" s="184"/>
      <c r="VPB1" s="184"/>
      <c r="VPC1" s="184"/>
      <c r="VPD1" s="184"/>
      <c r="VPE1" s="184"/>
      <c r="VPF1" s="184"/>
      <c r="VPG1" s="184"/>
      <c r="VPH1" s="184"/>
      <c r="VPI1" s="184"/>
      <c r="VPJ1" s="184"/>
      <c r="VPK1" s="184"/>
      <c r="VPL1" s="184"/>
      <c r="VPM1" s="184"/>
      <c r="VPN1" s="184"/>
      <c r="VPO1" s="184"/>
      <c r="VPP1" s="184"/>
      <c r="VPQ1" s="184"/>
      <c r="VPR1" s="184"/>
      <c r="VPS1" s="184"/>
      <c r="VPT1" s="184"/>
      <c r="VPU1" s="184"/>
      <c r="VPV1" s="184"/>
      <c r="VPW1" s="184"/>
      <c r="VPX1" s="184"/>
      <c r="VPY1" s="184"/>
      <c r="VPZ1" s="184"/>
      <c r="VQA1" s="184"/>
      <c r="VQB1" s="184"/>
      <c r="VQC1" s="184"/>
      <c r="VQD1" s="184"/>
      <c r="VQE1" s="184"/>
      <c r="VQF1" s="184"/>
      <c r="VQG1" s="184"/>
      <c r="VQH1" s="184"/>
      <c r="VQI1" s="184"/>
      <c r="VQJ1" s="184"/>
      <c r="VQK1" s="184"/>
      <c r="VQL1" s="184"/>
      <c r="VQM1" s="184"/>
      <c r="VQN1" s="184"/>
      <c r="VQO1" s="184"/>
      <c r="VQP1" s="184"/>
      <c r="VQQ1" s="184"/>
      <c r="VQR1" s="184"/>
      <c r="VQS1" s="184"/>
      <c r="VQT1" s="184"/>
      <c r="VQU1" s="184"/>
      <c r="VQV1" s="184"/>
      <c r="VQW1" s="184"/>
      <c r="VQX1" s="184"/>
      <c r="VQY1" s="184"/>
      <c r="VQZ1" s="184"/>
      <c r="VRA1" s="184"/>
      <c r="VRB1" s="184"/>
      <c r="VRC1" s="184"/>
      <c r="VRD1" s="184"/>
      <c r="VRE1" s="184"/>
      <c r="VRF1" s="184"/>
      <c r="VRG1" s="184"/>
      <c r="VRH1" s="184"/>
      <c r="VRI1" s="184"/>
      <c r="VRJ1" s="184"/>
      <c r="VRK1" s="184"/>
      <c r="VRL1" s="184"/>
      <c r="VRM1" s="184"/>
      <c r="VRN1" s="184"/>
      <c r="VRO1" s="184"/>
      <c r="VRP1" s="184"/>
      <c r="VRQ1" s="184"/>
      <c r="VRR1" s="184"/>
      <c r="VRS1" s="184"/>
      <c r="VRT1" s="184"/>
      <c r="VRU1" s="184"/>
      <c r="VRV1" s="184"/>
      <c r="VRW1" s="184"/>
      <c r="VRX1" s="184"/>
      <c r="VRY1" s="184"/>
      <c r="VRZ1" s="184"/>
      <c r="VSA1" s="184"/>
      <c r="VSB1" s="184"/>
      <c r="VSC1" s="184"/>
      <c r="VSD1" s="184"/>
      <c r="VSE1" s="184"/>
      <c r="VSF1" s="184"/>
      <c r="VSG1" s="184"/>
      <c r="VSH1" s="184"/>
      <c r="VSI1" s="184"/>
      <c r="VSJ1" s="184"/>
      <c r="VSK1" s="184"/>
      <c r="VSL1" s="184"/>
      <c r="VSM1" s="184"/>
      <c r="VSN1" s="184"/>
      <c r="VSO1" s="184"/>
      <c r="VSP1" s="184"/>
      <c r="VSQ1" s="184"/>
      <c r="VSR1" s="184"/>
      <c r="VSS1" s="184"/>
      <c r="VST1" s="184"/>
      <c r="VSU1" s="184"/>
      <c r="VSV1" s="184"/>
      <c r="VSW1" s="184"/>
      <c r="VSX1" s="184"/>
      <c r="VSY1" s="184"/>
      <c r="VSZ1" s="184"/>
      <c r="VTA1" s="184"/>
      <c r="VTB1" s="184"/>
      <c r="VTC1" s="184"/>
      <c r="VTD1" s="184"/>
      <c r="VTE1" s="184"/>
      <c r="VTF1" s="184"/>
      <c r="VTG1" s="184"/>
      <c r="VTH1" s="184"/>
      <c r="VTI1" s="184"/>
      <c r="VTJ1" s="184"/>
      <c r="VTK1" s="184"/>
      <c r="VTL1" s="184"/>
      <c r="VTM1" s="184"/>
      <c r="VTN1" s="184"/>
      <c r="VTO1" s="184"/>
      <c r="VTP1" s="184"/>
      <c r="VTQ1" s="184"/>
      <c r="VTR1" s="184"/>
      <c r="VTS1" s="184"/>
      <c r="VTT1" s="184"/>
      <c r="VTU1" s="184"/>
      <c r="VTV1" s="184"/>
      <c r="VTW1" s="184"/>
      <c r="VTX1" s="184"/>
      <c r="VTY1" s="184"/>
      <c r="VTZ1" s="184"/>
      <c r="VUA1" s="184"/>
      <c r="VUB1" s="184"/>
      <c r="VUC1" s="184"/>
      <c r="VUD1" s="184"/>
      <c r="VUE1" s="184"/>
      <c r="VUF1" s="184"/>
      <c r="VUG1" s="184"/>
      <c r="VUH1" s="184"/>
      <c r="VUI1" s="184"/>
      <c r="VUJ1" s="184"/>
      <c r="VUK1" s="184"/>
      <c r="VUL1" s="184"/>
      <c r="VUM1" s="184"/>
      <c r="VUN1" s="184"/>
      <c r="VUO1" s="184"/>
      <c r="VUP1" s="184"/>
      <c r="VUQ1" s="184"/>
      <c r="VUR1" s="184"/>
      <c r="VUS1" s="184"/>
      <c r="VUT1" s="184"/>
      <c r="VUU1" s="184"/>
      <c r="VUV1" s="184"/>
      <c r="VUW1" s="184"/>
      <c r="VUX1" s="184"/>
      <c r="VUY1" s="184"/>
      <c r="VUZ1" s="184"/>
      <c r="VVA1" s="184"/>
      <c r="VVB1" s="184"/>
      <c r="VVC1" s="184"/>
      <c r="VVD1" s="184"/>
      <c r="VVE1" s="184"/>
      <c r="VVF1" s="184"/>
      <c r="VVG1" s="184"/>
      <c r="VVH1" s="184"/>
      <c r="VVI1" s="184"/>
      <c r="VVJ1" s="184"/>
      <c r="VVK1" s="184"/>
      <c r="VVL1" s="184"/>
      <c r="VVM1" s="184"/>
      <c r="VVN1" s="184"/>
      <c r="VVO1" s="184"/>
      <c r="VVP1" s="184"/>
      <c r="VVQ1" s="184"/>
      <c r="VVR1" s="184"/>
      <c r="VVS1" s="184"/>
      <c r="VVT1" s="184"/>
      <c r="VVU1" s="184"/>
      <c r="VVV1" s="184"/>
      <c r="VVW1" s="184"/>
      <c r="VVX1" s="184"/>
      <c r="VVY1" s="184"/>
      <c r="VVZ1" s="184"/>
      <c r="VWA1" s="184"/>
      <c r="VWB1" s="184"/>
      <c r="VWC1" s="184"/>
      <c r="VWD1" s="184"/>
      <c r="VWE1" s="184"/>
      <c r="VWF1" s="184"/>
      <c r="VWG1" s="184"/>
      <c r="VWH1" s="184"/>
      <c r="VWI1" s="184"/>
      <c r="VWJ1" s="184"/>
      <c r="VWK1" s="184"/>
      <c r="VWL1" s="184"/>
      <c r="VWM1" s="184"/>
      <c r="VWN1" s="184"/>
      <c r="VWO1" s="184"/>
      <c r="VWP1" s="184"/>
      <c r="VWQ1" s="184"/>
      <c r="VWR1" s="184"/>
      <c r="VWS1" s="184"/>
      <c r="VWT1" s="184"/>
      <c r="VWU1" s="184"/>
      <c r="VWV1" s="184"/>
      <c r="VWW1" s="184"/>
      <c r="VWX1" s="184"/>
      <c r="VWY1" s="184"/>
      <c r="VWZ1" s="184"/>
      <c r="VXA1" s="184"/>
      <c r="VXB1" s="184"/>
      <c r="VXC1" s="184"/>
      <c r="VXD1" s="184"/>
      <c r="VXE1" s="184"/>
      <c r="VXF1" s="184"/>
      <c r="VXG1" s="184"/>
      <c r="VXH1" s="184"/>
      <c r="VXI1" s="184"/>
      <c r="VXJ1" s="184"/>
      <c r="VXK1" s="184"/>
      <c r="VXL1" s="184"/>
      <c r="VXM1" s="184"/>
      <c r="VXN1" s="184"/>
      <c r="VXO1" s="184"/>
      <c r="VXP1" s="184"/>
      <c r="VXQ1" s="184"/>
      <c r="VXR1" s="184"/>
      <c r="VXS1" s="184"/>
      <c r="VXT1" s="184"/>
      <c r="VXU1" s="184"/>
      <c r="VXV1" s="184"/>
      <c r="VXW1" s="184"/>
      <c r="VXX1" s="184"/>
      <c r="VXY1" s="184"/>
      <c r="VXZ1" s="184"/>
      <c r="VYA1" s="184"/>
      <c r="VYB1" s="184"/>
      <c r="VYC1" s="184"/>
      <c r="VYD1" s="184"/>
      <c r="VYE1" s="184"/>
      <c r="VYF1" s="184"/>
      <c r="VYG1" s="184"/>
      <c r="VYH1" s="184"/>
      <c r="VYI1" s="184"/>
      <c r="VYJ1" s="184"/>
      <c r="VYK1" s="184"/>
      <c r="VYL1" s="184"/>
      <c r="VYM1" s="184"/>
      <c r="VYN1" s="184"/>
      <c r="VYO1" s="184"/>
      <c r="VYP1" s="184"/>
      <c r="VYQ1" s="184"/>
      <c r="VYR1" s="184"/>
      <c r="VYS1" s="184"/>
      <c r="VYT1" s="184"/>
      <c r="VYU1" s="184"/>
      <c r="VYV1" s="184"/>
      <c r="VYW1" s="184"/>
      <c r="VYX1" s="184"/>
      <c r="VYY1" s="184"/>
      <c r="VYZ1" s="184"/>
      <c r="VZA1" s="184"/>
      <c r="VZB1" s="184"/>
      <c r="VZC1" s="184"/>
      <c r="VZD1" s="184"/>
      <c r="VZE1" s="184"/>
      <c r="VZF1" s="184"/>
      <c r="VZG1" s="184"/>
      <c r="VZH1" s="184"/>
      <c r="VZI1" s="184"/>
      <c r="VZJ1" s="184"/>
      <c r="VZK1" s="184"/>
      <c r="VZL1" s="184"/>
      <c r="VZM1" s="184"/>
      <c r="VZN1" s="184"/>
      <c r="VZO1" s="184"/>
      <c r="VZP1" s="184"/>
      <c r="VZQ1" s="184"/>
      <c r="VZR1" s="184"/>
      <c r="VZS1" s="184"/>
      <c r="VZT1" s="184"/>
      <c r="VZU1" s="184"/>
      <c r="VZV1" s="184"/>
      <c r="VZW1" s="184"/>
      <c r="VZX1" s="184"/>
      <c r="VZY1" s="184"/>
      <c r="VZZ1" s="184"/>
      <c r="WAA1" s="184"/>
      <c r="WAB1" s="184"/>
      <c r="WAC1" s="184"/>
      <c r="WAD1" s="184"/>
      <c r="WAE1" s="184"/>
      <c r="WAF1" s="184"/>
      <c r="WAG1" s="184"/>
      <c r="WAH1" s="184"/>
      <c r="WAI1" s="184"/>
      <c r="WAJ1" s="184"/>
      <c r="WAK1" s="184"/>
      <c r="WAL1" s="184"/>
      <c r="WAM1" s="184"/>
      <c r="WAN1" s="184"/>
      <c r="WAO1" s="184"/>
      <c r="WAP1" s="184"/>
      <c r="WAQ1" s="184"/>
      <c r="WAR1" s="184"/>
      <c r="WAS1" s="184"/>
      <c r="WAT1" s="184"/>
      <c r="WAU1" s="184"/>
      <c r="WAV1" s="184"/>
      <c r="WAW1" s="184"/>
      <c r="WAX1" s="184"/>
      <c r="WAY1" s="184"/>
      <c r="WAZ1" s="184"/>
      <c r="WBA1" s="184"/>
      <c r="WBB1" s="184"/>
      <c r="WBC1" s="184"/>
      <c r="WBD1" s="184"/>
      <c r="WBE1" s="184"/>
      <c r="WBF1" s="184"/>
      <c r="WBG1" s="184"/>
      <c r="WBH1" s="184"/>
      <c r="WBI1" s="184"/>
      <c r="WBJ1" s="184"/>
      <c r="WBK1" s="184"/>
      <c r="WBL1" s="184"/>
      <c r="WBM1" s="184"/>
      <c r="WBN1" s="184"/>
      <c r="WBO1" s="184"/>
      <c r="WBP1" s="184"/>
      <c r="WBQ1" s="184"/>
      <c r="WBR1" s="184"/>
      <c r="WBS1" s="184"/>
      <c r="WBT1" s="184"/>
      <c r="WBU1" s="184"/>
      <c r="WBV1" s="184"/>
      <c r="WBW1" s="184"/>
      <c r="WBX1" s="184"/>
      <c r="WBY1" s="184"/>
      <c r="WBZ1" s="184"/>
      <c r="WCA1" s="184"/>
      <c r="WCB1" s="184"/>
      <c r="WCC1" s="184"/>
      <c r="WCD1" s="184"/>
      <c r="WCE1" s="184"/>
      <c r="WCF1" s="184"/>
      <c r="WCG1" s="184"/>
      <c r="WCH1" s="184"/>
      <c r="WCI1" s="184"/>
      <c r="WCJ1" s="184"/>
      <c r="WCK1" s="184"/>
      <c r="WCL1" s="184"/>
      <c r="WCM1" s="184"/>
      <c r="WCN1" s="184"/>
      <c r="WCO1" s="184"/>
      <c r="WCP1" s="184"/>
      <c r="WCQ1" s="184"/>
      <c r="WCR1" s="184"/>
      <c r="WCS1" s="184"/>
      <c r="WCT1" s="184"/>
      <c r="WCU1" s="184"/>
      <c r="WCV1" s="184"/>
      <c r="WCW1" s="184"/>
      <c r="WCX1" s="184"/>
      <c r="WCY1" s="184"/>
      <c r="WCZ1" s="184"/>
      <c r="WDA1" s="184"/>
      <c r="WDB1" s="184"/>
      <c r="WDC1" s="184"/>
      <c r="WDD1" s="184"/>
      <c r="WDE1" s="184"/>
      <c r="WDF1" s="184"/>
      <c r="WDG1" s="184"/>
      <c r="WDH1" s="184"/>
      <c r="WDI1" s="184"/>
      <c r="WDJ1" s="184"/>
      <c r="WDK1" s="184"/>
      <c r="WDL1" s="184"/>
      <c r="WDM1" s="184"/>
      <c r="WDN1" s="184"/>
      <c r="WDO1" s="184"/>
      <c r="WDP1" s="184"/>
      <c r="WDQ1" s="184"/>
      <c r="WDR1" s="184"/>
      <c r="WDS1" s="184"/>
      <c r="WDT1" s="184"/>
      <c r="WDU1" s="184"/>
      <c r="WDV1" s="184"/>
      <c r="WDW1" s="184"/>
      <c r="WDX1" s="184"/>
      <c r="WDY1" s="184"/>
      <c r="WDZ1" s="184"/>
      <c r="WEA1" s="184"/>
      <c r="WEB1" s="184"/>
      <c r="WEC1" s="184"/>
      <c r="WED1" s="184"/>
      <c r="WEE1" s="184"/>
      <c r="WEF1" s="184"/>
      <c r="WEG1" s="184"/>
      <c r="WEH1" s="184"/>
      <c r="WEI1" s="184"/>
      <c r="WEJ1" s="184"/>
      <c r="WEK1" s="184"/>
      <c r="WEL1" s="184"/>
      <c r="WEM1" s="184"/>
      <c r="WEN1" s="184"/>
      <c r="WEO1" s="184"/>
      <c r="WEP1" s="184"/>
      <c r="WEQ1" s="184"/>
      <c r="WER1" s="184"/>
      <c r="WES1" s="184"/>
      <c r="WET1" s="184"/>
      <c r="WEU1" s="184"/>
      <c r="WEV1" s="184"/>
      <c r="WEW1" s="184"/>
      <c r="WEX1" s="184"/>
      <c r="WEY1" s="184"/>
      <c r="WEZ1" s="184"/>
      <c r="WFA1" s="184"/>
      <c r="WFB1" s="184"/>
      <c r="WFC1" s="184"/>
      <c r="WFD1" s="184"/>
      <c r="WFE1" s="184"/>
      <c r="WFF1" s="184"/>
      <c r="WFG1" s="184"/>
      <c r="WFH1" s="184"/>
      <c r="WFI1" s="184"/>
      <c r="WFJ1" s="184"/>
      <c r="WFK1" s="184"/>
      <c r="WFL1" s="184"/>
      <c r="WFM1" s="184"/>
      <c r="WFN1" s="184"/>
      <c r="WFO1" s="184"/>
      <c r="WFP1" s="184"/>
      <c r="WFQ1" s="184"/>
      <c r="WFR1" s="184"/>
      <c r="WFS1" s="184"/>
      <c r="WFT1" s="184"/>
      <c r="WFU1" s="184"/>
      <c r="WFV1" s="184"/>
      <c r="WFW1" s="184"/>
      <c r="WFX1" s="184"/>
      <c r="WFY1" s="184"/>
      <c r="WFZ1" s="184"/>
      <c r="WGA1" s="184"/>
      <c r="WGB1" s="184"/>
      <c r="WGC1" s="184"/>
      <c r="WGD1" s="184"/>
      <c r="WGE1" s="184"/>
      <c r="WGF1" s="184"/>
      <c r="WGG1" s="184"/>
      <c r="WGH1" s="184"/>
      <c r="WGI1" s="184"/>
      <c r="WGJ1" s="184"/>
      <c r="WGK1" s="184"/>
      <c r="WGL1" s="184"/>
      <c r="WGM1" s="184"/>
      <c r="WGN1" s="184"/>
      <c r="WGO1" s="184"/>
      <c r="WGP1" s="184"/>
      <c r="WGQ1" s="184"/>
      <c r="WGR1" s="184"/>
      <c r="WGS1" s="184"/>
      <c r="WGT1" s="184"/>
      <c r="WGU1" s="184"/>
      <c r="WGV1" s="184"/>
      <c r="WGW1" s="184"/>
      <c r="WGX1" s="184"/>
      <c r="WGY1" s="184"/>
      <c r="WGZ1" s="184"/>
      <c r="WHA1" s="184"/>
      <c r="WHB1" s="184"/>
      <c r="WHC1" s="184"/>
      <c r="WHD1" s="184"/>
      <c r="WHE1" s="184"/>
      <c r="WHF1" s="184"/>
      <c r="WHG1" s="184"/>
      <c r="WHH1" s="184"/>
      <c r="WHI1" s="184"/>
      <c r="WHJ1" s="184"/>
      <c r="WHK1" s="184"/>
      <c r="WHL1" s="184"/>
      <c r="WHM1" s="184"/>
      <c r="WHN1" s="184"/>
      <c r="WHO1" s="184"/>
      <c r="WHP1" s="184"/>
      <c r="WHQ1" s="184"/>
      <c r="WHR1" s="184"/>
      <c r="WHS1" s="184"/>
      <c r="WHT1" s="184"/>
      <c r="WHU1" s="184"/>
      <c r="WHV1" s="184"/>
      <c r="WHW1" s="184"/>
      <c r="WHX1" s="184"/>
      <c r="WHY1" s="184"/>
      <c r="WHZ1" s="184"/>
      <c r="WIA1" s="184"/>
      <c r="WIB1" s="184"/>
      <c r="WIC1" s="184"/>
      <c r="WID1" s="184"/>
      <c r="WIE1" s="184"/>
      <c r="WIF1" s="184"/>
      <c r="WIG1" s="184"/>
      <c r="WIH1" s="184"/>
      <c r="WII1" s="184"/>
      <c r="WIJ1" s="184"/>
      <c r="WIK1" s="184"/>
      <c r="WIL1" s="184"/>
      <c r="WIM1" s="184"/>
      <c r="WIN1" s="184"/>
      <c r="WIO1" s="184"/>
      <c r="WIP1" s="184"/>
      <c r="WIQ1" s="184"/>
      <c r="WIR1" s="184"/>
      <c r="WIS1" s="184"/>
      <c r="WIT1" s="184"/>
      <c r="WIU1" s="184"/>
      <c r="WIV1" s="184"/>
      <c r="WIW1" s="184"/>
      <c r="WIX1" s="184"/>
      <c r="WIY1" s="184"/>
      <c r="WIZ1" s="184"/>
      <c r="WJA1" s="184"/>
      <c r="WJB1" s="184"/>
      <c r="WJC1" s="184"/>
      <c r="WJD1" s="184"/>
      <c r="WJE1" s="184"/>
      <c r="WJF1" s="184"/>
      <c r="WJG1" s="184"/>
      <c r="WJH1" s="184"/>
      <c r="WJI1" s="184"/>
      <c r="WJJ1" s="184"/>
      <c r="WJK1" s="184"/>
      <c r="WJL1" s="184"/>
      <c r="WJM1" s="184"/>
      <c r="WJN1" s="184"/>
      <c r="WJO1" s="184"/>
      <c r="WJP1" s="184"/>
      <c r="WJQ1" s="184"/>
      <c r="WJR1" s="184"/>
      <c r="WJS1" s="184"/>
      <c r="WJT1" s="184"/>
      <c r="WJU1" s="184"/>
      <c r="WJV1" s="184"/>
      <c r="WJW1" s="184"/>
      <c r="WJX1" s="184"/>
      <c r="WJY1" s="184"/>
      <c r="WJZ1" s="184"/>
      <c r="WKA1" s="184"/>
      <c r="WKB1" s="184"/>
      <c r="WKC1" s="184"/>
      <c r="WKD1" s="184"/>
      <c r="WKE1" s="184"/>
      <c r="WKF1" s="184"/>
      <c r="WKG1" s="184"/>
      <c r="WKH1" s="184"/>
      <c r="WKI1" s="184"/>
      <c r="WKJ1" s="184"/>
      <c r="WKK1" s="184"/>
      <c r="WKL1" s="184"/>
      <c r="WKM1" s="184"/>
      <c r="WKN1" s="184"/>
      <c r="WKO1" s="184"/>
      <c r="WKP1" s="184"/>
      <c r="WKQ1" s="184"/>
      <c r="WKR1" s="184"/>
      <c r="WKS1" s="184"/>
      <c r="WKT1" s="184"/>
      <c r="WKU1" s="184"/>
      <c r="WKV1" s="184"/>
      <c r="WKW1" s="184"/>
      <c r="WKX1" s="184"/>
      <c r="WKY1" s="184"/>
      <c r="WKZ1" s="184"/>
      <c r="WLA1" s="184"/>
      <c r="WLB1" s="184"/>
      <c r="WLC1" s="184"/>
      <c r="WLD1" s="184"/>
      <c r="WLE1" s="184"/>
      <c r="WLF1" s="184"/>
      <c r="WLG1" s="184"/>
      <c r="WLH1" s="184"/>
      <c r="WLI1" s="184"/>
      <c r="WLJ1" s="184"/>
      <c r="WLK1" s="184"/>
      <c r="WLL1" s="184"/>
      <c r="WLM1" s="184"/>
      <c r="WLN1" s="184"/>
      <c r="WLO1" s="184"/>
      <c r="WLP1" s="184"/>
      <c r="WLQ1" s="184"/>
      <c r="WLR1" s="184"/>
      <c r="WLS1" s="184"/>
      <c r="WLT1" s="184"/>
      <c r="WLU1" s="184"/>
      <c r="WLV1" s="184"/>
      <c r="WLW1" s="184"/>
      <c r="WLX1" s="184"/>
      <c r="WLY1" s="184"/>
      <c r="WLZ1" s="184"/>
      <c r="WMA1" s="184"/>
      <c r="WMB1" s="184"/>
      <c r="WMC1" s="184"/>
      <c r="WMD1" s="184"/>
      <c r="WME1" s="184"/>
      <c r="WMF1" s="184"/>
      <c r="WMG1" s="184"/>
      <c r="WMH1" s="184"/>
      <c r="WMI1" s="184"/>
      <c r="WMJ1" s="184"/>
      <c r="WMK1" s="184"/>
      <c r="WML1" s="184"/>
      <c r="WMM1" s="184"/>
      <c r="WMN1" s="184"/>
      <c r="WMO1" s="184"/>
      <c r="WMP1" s="184"/>
      <c r="WMQ1" s="184"/>
      <c r="WMR1" s="184"/>
      <c r="WMS1" s="184"/>
      <c r="WMT1" s="184"/>
      <c r="WMU1" s="184"/>
      <c r="WMV1" s="184"/>
      <c r="WMW1" s="184"/>
      <c r="WMX1" s="184"/>
      <c r="WMY1" s="184"/>
      <c r="WMZ1" s="184"/>
      <c r="WNA1" s="184"/>
      <c r="WNB1" s="184"/>
      <c r="WNC1" s="184"/>
      <c r="WND1" s="184"/>
      <c r="WNE1" s="184"/>
      <c r="WNF1" s="184"/>
      <c r="WNG1" s="184"/>
      <c r="WNH1" s="184"/>
      <c r="WNI1" s="184"/>
      <c r="WNJ1" s="184"/>
      <c r="WNK1" s="184"/>
      <c r="WNL1" s="184"/>
      <c r="WNM1" s="184"/>
      <c r="WNN1" s="184"/>
      <c r="WNO1" s="184"/>
      <c r="WNP1" s="184"/>
      <c r="WNQ1" s="184"/>
      <c r="WNR1" s="184"/>
      <c r="WNS1" s="184"/>
      <c r="WNT1" s="184"/>
      <c r="WNU1" s="184"/>
      <c r="WNV1" s="184"/>
      <c r="WNW1" s="184"/>
      <c r="WNX1" s="184"/>
      <c r="WNY1" s="184"/>
      <c r="WNZ1" s="184"/>
      <c r="WOA1" s="184"/>
      <c r="WOB1" s="184"/>
      <c r="WOC1" s="184"/>
      <c r="WOD1" s="184"/>
      <c r="WOE1" s="184"/>
      <c r="WOF1" s="184"/>
      <c r="WOG1" s="184"/>
      <c r="WOH1" s="184"/>
      <c r="WOI1" s="184"/>
      <c r="WOJ1" s="184"/>
      <c r="WOK1" s="184"/>
      <c r="WOL1" s="184"/>
      <c r="WOM1" s="184"/>
      <c r="WON1" s="184"/>
      <c r="WOO1" s="184"/>
      <c r="WOP1" s="184"/>
      <c r="WOQ1" s="184"/>
      <c r="WOR1" s="184"/>
      <c r="WOS1" s="184"/>
      <c r="WOT1" s="184"/>
      <c r="WOU1" s="184"/>
      <c r="WOV1" s="184"/>
      <c r="WOW1" s="184"/>
      <c r="WOX1" s="184"/>
      <c r="WOY1" s="184"/>
      <c r="WOZ1" s="184"/>
      <c r="WPA1" s="184"/>
      <c r="WPB1" s="184"/>
      <c r="WPC1" s="184"/>
      <c r="WPD1" s="184"/>
      <c r="WPE1" s="184"/>
      <c r="WPF1" s="184"/>
      <c r="WPG1" s="184"/>
      <c r="WPH1" s="184"/>
      <c r="WPI1" s="184"/>
      <c r="WPJ1" s="184"/>
      <c r="WPK1" s="184"/>
      <c r="WPL1" s="184"/>
      <c r="WPM1" s="184"/>
      <c r="WPN1" s="184"/>
      <c r="WPO1" s="184"/>
      <c r="WPP1" s="184"/>
      <c r="WPQ1" s="184"/>
      <c r="WPR1" s="184"/>
      <c r="WPS1" s="184"/>
      <c r="WPT1" s="184"/>
      <c r="WPU1" s="184"/>
      <c r="WPV1" s="184"/>
      <c r="WPW1" s="184"/>
      <c r="WPX1" s="184"/>
      <c r="WPY1" s="184"/>
      <c r="WPZ1" s="184"/>
      <c r="WQA1" s="184"/>
      <c r="WQB1" s="184"/>
      <c r="WQC1" s="184"/>
      <c r="WQD1" s="184"/>
      <c r="WQE1" s="184"/>
      <c r="WQF1" s="184"/>
      <c r="WQG1" s="184"/>
      <c r="WQH1" s="184"/>
      <c r="WQI1" s="184"/>
      <c r="WQJ1" s="184"/>
      <c r="WQK1" s="184"/>
      <c r="WQL1" s="184"/>
      <c r="WQM1" s="184"/>
      <c r="WQN1" s="184"/>
      <c r="WQO1" s="184"/>
      <c r="WQP1" s="184"/>
      <c r="WQQ1" s="184"/>
      <c r="WQR1" s="184"/>
      <c r="WQS1" s="184"/>
      <c r="WQT1" s="184"/>
      <c r="WQU1" s="184"/>
      <c r="WQV1" s="184"/>
      <c r="WQW1" s="184"/>
      <c r="WQX1" s="184"/>
      <c r="WQY1" s="184"/>
      <c r="WQZ1" s="184"/>
      <c r="WRA1" s="184"/>
      <c r="WRB1" s="184"/>
      <c r="WRC1" s="184"/>
      <c r="WRD1" s="184"/>
      <c r="WRE1" s="184"/>
      <c r="WRF1" s="184"/>
      <c r="WRG1" s="184"/>
      <c r="WRH1" s="184"/>
      <c r="WRI1" s="184"/>
      <c r="WRJ1" s="184"/>
      <c r="WRK1" s="184"/>
      <c r="WRL1" s="184"/>
      <c r="WRM1" s="184"/>
      <c r="WRN1" s="184"/>
      <c r="WRO1" s="184"/>
      <c r="WRP1" s="184"/>
      <c r="WRQ1" s="184"/>
      <c r="WRR1" s="184"/>
      <c r="WRS1" s="184"/>
      <c r="WRT1" s="184"/>
      <c r="WRU1" s="184"/>
      <c r="WRV1" s="184"/>
      <c r="WRW1" s="184"/>
      <c r="WRX1" s="184"/>
      <c r="WRY1" s="184"/>
      <c r="WRZ1" s="184"/>
      <c r="WSA1" s="184"/>
      <c r="WSB1" s="184"/>
      <c r="WSC1" s="184"/>
      <c r="WSD1" s="184"/>
      <c r="WSE1" s="184"/>
      <c r="WSF1" s="184"/>
      <c r="WSG1" s="184"/>
      <c r="WSH1" s="184"/>
      <c r="WSI1" s="184"/>
      <c r="WSJ1" s="184"/>
      <c r="WSK1" s="184"/>
      <c r="WSL1" s="184"/>
      <c r="WSM1" s="184"/>
      <c r="WSN1" s="184"/>
      <c r="WSO1" s="184"/>
      <c r="WSP1" s="184"/>
      <c r="WSQ1" s="184"/>
      <c r="WSR1" s="184"/>
      <c r="WSS1" s="184"/>
      <c r="WST1" s="184"/>
      <c r="WSU1" s="184"/>
      <c r="WSV1" s="184"/>
      <c r="WSW1" s="184"/>
      <c r="WSX1" s="184"/>
      <c r="WSY1" s="184"/>
      <c r="WSZ1" s="184"/>
      <c r="WTA1" s="184"/>
      <c r="WTB1" s="184"/>
      <c r="WTC1" s="184"/>
      <c r="WTD1" s="184"/>
      <c r="WTE1" s="184"/>
      <c r="WTF1" s="184"/>
      <c r="WTG1" s="184"/>
      <c r="WTH1" s="184"/>
      <c r="WTI1" s="184"/>
      <c r="WTJ1" s="184"/>
      <c r="WTK1" s="184"/>
      <c r="WTL1" s="184"/>
      <c r="WTM1" s="184"/>
      <c r="WTN1" s="184"/>
      <c r="WTO1" s="184"/>
      <c r="WTP1" s="184"/>
      <c r="WTQ1" s="184"/>
      <c r="WTR1" s="184"/>
      <c r="WTS1" s="184"/>
      <c r="WTT1" s="184"/>
      <c r="WTU1" s="184"/>
      <c r="WTV1" s="184"/>
      <c r="WTW1" s="184"/>
      <c r="WTX1" s="184"/>
      <c r="WTY1" s="184"/>
      <c r="WTZ1" s="184"/>
      <c r="WUA1" s="184"/>
      <c r="WUB1" s="184"/>
      <c r="WUC1" s="184"/>
      <c r="WUD1" s="184"/>
      <c r="WUE1" s="184"/>
      <c r="WUF1" s="184"/>
      <c r="WUG1" s="184"/>
      <c r="WUH1" s="184"/>
      <c r="WUI1" s="184"/>
      <c r="WUJ1" s="184"/>
      <c r="WUK1" s="184"/>
      <c r="WUL1" s="184"/>
      <c r="WUM1" s="184"/>
      <c r="WUN1" s="184"/>
      <c r="WUO1" s="184"/>
      <c r="WUP1" s="184"/>
      <c r="WUQ1" s="184"/>
      <c r="WUR1" s="184"/>
      <c r="WUS1" s="184"/>
      <c r="WUT1" s="184"/>
      <c r="WUU1" s="184"/>
      <c r="WUV1" s="184"/>
      <c r="WUW1" s="184"/>
      <c r="WUX1" s="184"/>
      <c r="WUY1" s="184"/>
      <c r="WUZ1" s="184"/>
      <c r="WVA1" s="184"/>
      <c r="WVB1" s="184"/>
      <c r="WVC1" s="184"/>
      <c r="WVD1" s="184"/>
      <c r="WVE1" s="184"/>
      <c r="WVF1" s="184"/>
      <c r="WVG1" s="184"/>
      <c r="WVH1" s="184"/>
      <c r="WVI1" s="184"/>
      <c r="WVJ1" s="184"/>
      <c r="WVK1" s="184"/>
      <c r="WVL1" s="184"/>
      <c r="WVM1" s="184"/>
      <c r="WVN1" s="184"/>
      <c r="WVO1" s="184"/>
      <c r="WVP1" s="184"/>
      <c r="WVQ1" s="184"/>
      <c r="WVR1" s="184"/>
      <c r="WVS1" s="184"/>
      <c r="WVT1" s="184"/>
      <c r="WVU1" s="184"/>
      <c r="WVV1" s="184"/>
      <c r="WVW1" s="184"/>
      <c r="WVX1" s="184"/>
      <c r="WVY1" s="184"/>
      <c r="WVZ1" s="184"/>
      <c r="WWA1" s="184"/>
      <c r="WWB1" s="184"/>
      <c r="WWC1" s="184"/>
      <c r="WWD1" s="184"/>
      <c r="WWE1" s="184"/>
      <c r="WWF1" s="184"/>
      <c r="WWG1" s="184"/>
      <c r="WWH1" s="184"/>
      <c r="WWI1" s="184"/>
      <c r="WWJ1" s="184"/>
      <c r="WWK1" s="184"/>
      <c r="WWL1" s="184"/>
      <c r="WWM1" s="184"/>
      <c r="WWN1" s="184"/>
      <c r="WWO1" s="184"/>
      <c r="WWP1" s="184"/>
      <c r="WWQ1" s="184"/>
      <c r="WWR1" s="184"/>
      <c r="WWS1" s="184"/>
      <c r="WWT1" s="184"/>
      <c r="WWU1" s="184"/>
      <c r="WWV1" s="184"/>
      <c r="WWW1" s="184"/>
      <c r="WWX1" s="184"/>
      <c r="WWY1" s="184"/>
      <c r="WWZ1" s="184"/>
      <c r="WXA1" s="184"/>
      <c r="WXB1" s="184"/>
      <c r="WXC1" s="184"/>
      <c r="WXD1" s="184"/>
      <c r="WXE1" s="184"/>
      <c r="WXF1" s="184"/>
      <c r="WXG1" s="184"/>
      <c r="WXH1" s="184"/>
      <c r="WXI1" s="184"/>
      <c r="WXJ1" s="184"/>
      <c r="WXK1" s="184"/>
      <c r="WXL1" s="184"/>
      <c r="WXM1" s="184"/>
      <c r="WXN1" s="184"/>
      <c r="WXO1" s="184"/>
      <c r="WXP1" s="184"/>
      <c r="WXQ1" s="184"/>
      <c r="WXR1" s="184"/>
      <c r="WXS1" s="184"/>
      <c r="WXT1" s="184"/>
      <c r="WXU1" s="184"/>
      <c r="WXV1" s="184"/>
      <c r="WXW1" s="184"/>
      <c r="WXX1" s="184"/>
      <c r="WXY1" s="184"/>
      <c r="WXZ1" s="184"/>
      <c r="WYA1" s="184"/>
      <c r="WYB1" s="184"/>
      <c r="WYC1" s="184"/>
      <c r="WYD1" s="184"/>
      <c r="WYE1" s="184"/>
      <c r="WYF1" s="184"/>
      <c r="WYG1" s="184"/>
      <c r="WYH1" s="184"/>
      <c r="WYI1" s="184"/>
      <c r="WYJ1" s="184"/>
      <c r="WYK1" s="184"/>
      <c r="WYL1" s="184"/>
      <c r="WYM1" s="184"/>
      <c r="WYN1" s="184"/>
      <c r="WYO1" s="184"/>
      <c r="WYP1" s="184"/>
      <c r="WYQ1" s="184"/>
      <c r="WYR1" s="184"/>
      <c r="WYS1" s="184"/>
      <c r="WYT1" s="184"/>
      <c r="WYU1" s="184"/>
      <c r="WYV1" s="184"/>
      <c r="WYW1" s="184"/>
      <c r="WYX1" s="184"/>
      <c r="WYY1" s="184"/>
      <c r="WYZ1" s="184"/>
      <c r="WZA1" s="184"/>
      <c r="WZB1" s="184"/>
      <c r="WZC1" s="184"/>
      <c r="WZD1" s="184"/>
      <c r="WZE1" s="184"/>
      <c r="WZF1" s="184"/>
      <c r="WZG1" s="184"/>
      <c r="WZH1" s="184"/>
      <c r="WZI1" s="184"/>
      <c r="WZJ1" s="184"/>
      <c r="WZK1" s="184"/>
      <c r="WZL1" s="184"/>
      <c r="WZM1" s="184"/>
      <c r="WZN1" s="184"/>
      <c r="WZO1" s="184"/>
      <c r="WZP1" s="184"/>
      <c r="WZQ1" s="184"/>
      <c r="WZR1" s="184"/>
      <c r="WZS1" s="184"/>
      <c r="WZT1" s="184"/>
      <c r="WZU1" s="184"/>
      <c r="WZV1" s="184"/>
      <c r="WZW1" s="184"/>
      <c r="WZX1" s="184"/>
      <c r="WZY1" s="184"/>
      <c r="WZZ1" s="184"/>
      <c r="XAA1" s="184"/>
      <c r="XAB1" s="184"/>
      <c r="XAC1" s="184"/>
      <c r="XAD1" s="184"/>
      <c r="XAE1" s="184"/>
      <c r="XAF1" s="184"/>
      <c r="XAG1" s="184"/>
      <c r="XAH1" s="184"/>
      <c r="XAI1" s="184"/>
      <c r="XAJ1" s="184"/>
      <c r="XAK1" s="184"/>
      <c r="XAL1" s="184"/>
      <c r="XAM1" s="184"/>
      <c r="XAN1" s="184"/>
      <c r="XAO1" s="184"/>
      <c r="XAP1" s="184"/>
      <c r="XAQ1" s="184"/>
      <c r="XAR1" s="184"/>
      <c r="XAS1" s="184"/>
      <c r="XAT1" s="184"/>
      <c r="XAU1" s="184"/>
      <c r="XAV1" s="184"/>
      <c r="XAW1" s="184"/>
      <c r="XAX1" s="184"/>
      <c r="XAY1" s="184"/>
      <c r="XAZ1" s="184"/>
      <c r="XBA1" s="184"/>
      <c r="XBB1" s="184"/>
      <c r="XBC1" s="184"/>
      <c r="XBD1" s="184"/>
      <c r="XBE1" s="184"/>
      <c r="XBF1" s="184"/>
      <c r="XBG1" s="184"/>
      <c r="XBH1" s="184"/>
      <c r="XBI1" s="184"/>
      <c r="XBJ1" s="184"/>
      <c r="XBK1" s="184"/>
      <c r="XBL1" s="184"/>
      <c r="XBM1" s="184"/>
      <c r="XBN1" s="184"/>
      <c r="XBO1" s="184"/>
      <c r="XBP1" s="184"/>
      <c r="XBQ1" s="184"/>
      <c r="XBR1" s="184"/>
      <c r="XBS1" s="184"/>
      <c r="XBT1" s="184"/>
      <c r="XBU1" s="184"/>
      <c r="XBV1" s="184"/>
      <c r="XBW1" s="184"/>
      <c r="XBX1" s="184"/>
      <c r="XBY1" s="184"/>
      <c r="XBZ1" s="184"/>
      <c r="XCA1" s="184"/>
      <c r="XCB1" s="184"/>
      <c r="XCC1" s="184"/>
      <c r="XCD1" s="184"/>
      <c r="XCE1" s="184"/>
      <c r="XCF1" s="184"/>
      <c r="XCG1" s="184"/>
      <c r="XCH1" s="184"/>
      <c r="XCI1" s="184"/>
      <c r="XCJ1" s="184"/>
      <c r="XCK1" s="184"/>
      <c r="XCL1" s="184"/>
      <c r="XCM1" s="184"/>
      <c r="XCN1" s="184"/>
      <c r="XCO1" s="184"/>
      <c r="XCP1" s="184"/>
      <c r="XCQ1" s="184"/>
      <c r="XCR1" s="184"/>
      <c r="XCS1" s="184"/>
      <c r="XCT1" s="184"/>
      <c r="XCU1" s="184"/>
      <c r="XCV1" s="184"/>
      <c r="XCW1" s="184"/>
      <c r="XCX1" s="184"/>
      <c r="XCY1" s="184"/>
      <c r="XCZ1" s="184"/>
      <c r="XDA1" s="184"/>
      <c r="XDB1" s="184"/>
      <c r="XDC1" s="184"/>
      <c r="XDD1" s="184"/>
      <c r="XDE1" s="184"/>
      <c r="XDF1" s="184"/>
      <c r="XDG1" s="184"/>
      <c r="XDH1" s="184"/>
      <c r="XDI1" s="184"/>
      <c r="XDJ1" s="184"/>
      <c r="XDK1" s="184"/>
      <c r="XDL1" s="184"/>
      <c r="XDM1" s="184"/>
      <c r="XDN1" s="184"/>
      <c r="XDO1" s="184"/>
      <c r="XDP1" s="184"/>
      <c r="XDQ1" s="184"/>
      <c r="XDR1" s="184"/>
      <c r="XDS1" s="184"/>
      <c r="XDT1" s="184"/>
      <c r="XDU1" s="184"/>
      <c r="XDV1" s="184"/>
      <c r="XDW1" s="184"/>
      <c r="XDX1" s="184"/>
      <c r="XDY1" s="184"/>
      <c r="XDZ1" s="184"/>
      <c r="XEA1" s="184"/>
      <c r="XEB1" s="184"/>
      <c r="XEC1" s="184"/>
      <c r="XED1" s="184"/>
      <c r="XEE1" s="184"/>
      <c r="XEF1" s="184"/>
      <c r="XEG1" s="184"/>
      <c r="XEH1" s="184"/>
      <c r="XEI1" s="184"/>
      <c r="XEJ1" s="184"/>
      <c r="XEK1" s="184"/>
      <c r="XEL1" s="184"/>
      <c r="XEM1" s="184"/>
      <c r="XEN1" s="184"/>
      <c r="XEO1" s="184"/>
      <c r="XEP1" s="184"/>
      <c r="XEQ1" s="184"/>
      <c r="XER1" s="184"/>
      <c r="XES1" s="184"/>
      <c r="XET1" s="184"/>
      <c r="XEU1" s="184"/>
      <c r="XEV1" s="184"/>
      <c r="XEW1" s="184"/>
      <c r="XEX1" s="184"/>
      <c r="XEY1" s="184"/>
      <c r="XEZ1" s="184"/>
      <c r="XFA1" s="184"/>
      <c r="XFB1" s="184"/>
      <c r="XFC1" s="184"/>
      <c r="XFD1" s="184"/>
    </row>
    <row r="2" spans="1:16384" ht="15" x14ac:dyDescent="0.25">
      <c r="A2" s="119" t="s">
        <v>353</v>
      </c>
      <c r="B2" s="120" t="s">
        <v>352</v>
      </c>
      <c r="C2" s="120" t="s">
        <v>196</v>
      </c>
      <c r="D2" s="120" t="s">
        <v>350</v>
      </c>
      <c r="E2" s="118"/>
      <c r="F2" s="268" t="s">
        <v>283</v>
      </c>
      <c r="G2" s="268"/>
      <c r="H2" s="268"/>
      <c r="I2" s="269"/>
      <c r="J2" s="53"/>
    </row>
    <row r="3" spans="1:16384" ht="15" x14ac:dyDescent="0.25">
      <c r="A3" s="121" t="s">
        <v>389</v>
      </c>
      <c r="B3" s="120" t="s">
        <v>349</v>
      </c>
      <c r="C3" s="120" t="s">
        <v>284</v>
      </c>
      <c r="D3" s="120" t="s">
        <v>351</v>
      </c>
      <c r="E3" s="118"/>
      <c r="F3" s="117" t="s">
        <v>284</v>
      </c>
      <c r="G3" s="117"/>
      <c r="H3" s="117"/>
      <c r="I3" s="117"/>
      <c r="J3" s="53"/>
    </row>
    <row r="4" spans="1:16384" s="97" customFormat="1" ht="30" x14ac:dyDescent="0.2">
      <c r="A4" s="77" t="s">
        <v>5</v>
      </c>
      <c r="B4" s="79" t="s">
        <v>285</v>
      </c>
      <c r="C4" s="79" t="s">
        <v>43</v>
      </c>
      <c r="D4" s="77" t="s">
        <v>973</v>
      </c>
      <c r="E4" s="78" t="s">
        <v>974</v>
      </c>
      <c r="F4" s="87" t="s">
        <v>282</v>
      </c>
      <c r="G4" s="117"/>
      <c r="H4" s="117"/>
      <c r="I4" s="117"/>
      <c r="J4" s="122"/>
    </row>
    <row r="5" spans="1:16384" ht="15" x14ac:dyDescent="0.25">
      <c r="G5" s="117"/>
      <c r="H5" s="117"/>
      <c r="I5" s="117"/>
      <c r="J5" s="71"/>
    </row>
    <row r="6" spans="1:16384" ht="15" x14ac:dyDescent="0.25">
      <c r="G6" s="117"/>
      <c r="H6" s="117"/>
      <c r="I6" s="117"/>
      <c r="J6" s="71"/>
    </row>
    <row r="7" spans="1:16384" ht="15" x14ac:dyDescent="0.25">
      <c r="G7" s="117"/>
      <c r="H7" s="117"/>
      <c r="I7" s="117"/>
      <c r="J7" s="71"/>
    </row>
    <row r="8" spans="1:16384" ht="15" x14ac:dyDescent="0.25">
      <c r="G8" s="117"/>
      <c r="H8" s="117"/>
      <c r="I8" s="117"/>
      <c r="J8" s="71"/>
    </row>
    <row r="9" spans="1:16384" ht="15" x14ac:dyDescent="0.25">
      <c r="G9" s="117"/>
      <c r="H9" s="117"/>
      <c r="I9" s="117"/>
      <c r="J9" s="71"/>
    </row>
    <row r="10" spans="1:16384" ht="15" x14ac:dyDescent="0.25">
      <c r="G10" s="117"/>
      <c r="H10" s="117"/>
      <c r="I10" s="117"/>
      <c r="J10" s="71"/>
    </row>
    <row r="11" spans="1:16384" ht="15" x14ac:dyDescent="0.25">
      <c r="G11" s="117"/>
      <c r="H11" s="117"/>
      <c r="I11" s="117"/>
      <c r="J11" s="71"/>
    </row>
    <row r="12" spans="1:16384" ht="15" x14ac:dyDescent="0.25">
      <c r="G12" s="117"/>
      <c r="H12" s="117"/>
      <c r="I12" s="117"/>
      <c r="J12" s="71"/>
    </row>
    <row r="13" spans="1:16384" ht="15" x14ac:dyDescent="0.25">
      <c r="G13" s="117"/>
      <c r="H13" s="117"/>
      <c r="I13" s="117"/>
      <c r="J13" s="71"/>
    </row>
    <row r="14" spans="1:16384" ht="15" x14ac:dyDescent="0.25">
      <c r="G14" s="117"/>
      <c r="H14" s="117"/>
      <c r="I14" s="117"/>
      <c r="J14" s="71"/>
    </row>
    <row r="15" spans="1:16384" ht="15" x14ac:dyDescent="0.2">
      <c r="G15" s="117"/>
      <c r="H15" s="117"/>
      <c r="I15" s="117"/>
    </row>
    <row r="16" spans="1:16384" ht="15" x14ac:dyDescent="0.2">
      <c r="G16" s="117"/>
      <c r="H16" s="117"/>
      <c r="I16" s="117"/>
    </row>
    <row r="17" spans="7:9" ht="15" x14ac:dyDescent="0.2">
      <c r="G17" s="117"/>
      <c r="H17" s="117"/>
      <c r="I17" s="117"/>
    </row>
    <row r="18" spans="7:9" ht="15" x14ac:dyDescent="0.2">
      <c r="G18" s="117"/>
      <c r="H18" s="117"/>
      <c r="I18" s="117"/>
    </row>
    <row r="19" spans="7:9" ht="15" x14ac:dyDescent="0.2">
      <c r="G19" s="117"/>
      <c r="H19" s="117"/>
      <c r="I19" s="117"/>
    </row>
    <row r="20" spans="7:9" ht="15" x14ac:dyDescent="0.2">
      <c r="G20" s="117"/>
      <c r="H20" s="117"/>
      <c r="I20" s="117"/>
    </row>
    <row r="21" spans="7:9" ht="15" x14ac:dyDescent="0.2">
      <c r="G21" s="117"/>
      <c r="H21" s="117"/>
      <c r="I21" s="117"/>
    </row>
    <row r="22" spans="7:9" ht="15" x14ac:dyDescent="0.2">
      <c r="G22" s="117"/>
      <c r="H22" s="117"/>
      <c r="I22" s="117"/>
    </row>
    <row r="23" spans="7:9" ht="15" x14ac:dyDescent="0.2">
      <c r="G23" s="117"/>
      <c r="H23" s="117"/>
      <c r="I23" s="117"/>
    </row>
    <row r="24" spans="7:9" ht="15" x14ac:dyDescent="0.2">
      <c r="G24" s="117"/>
      <c r="H24" s="117"/>
      <c r="I24" s="117"/>
    </row>
    <row r="25" spans="7:9" ht="15" x14ac:dyDescent="0.2">
      <c r="G25" s="117"/>
      <c r="H25" s="117"/>
      <c r="I25" s="117"/>
    </row>
    <row r="26" spans="7:9" ht="15" x14ac:dyDescent="0.2">
      <c r="G26" s="117"/>
      <c r="H26" s="117"/>
      <c r="I26" s="117"/>
    </row>
    <row r="27" spans="7:9" ht="15" x14ac:dyDescent="0.2">
      <c r="G27" s="117"/>
      <c r="H27" s="117"/>
      <c r="I27" s="117"/>
    </row>
    <row r="28" spans="7:9" ht="15" x14ac:dyDescent="0.2">
      <c r="G28" s="117"/>
      <c r="H28" s="117"/>
      <c r="I28" s="117"/>
    </row>
    <row r="29" spans="7:9" ht="15" x14ac:dyDescent="0.2">
      <c r="G29" s="117"/>
      <c r="H29" s="117"/>
      <c r="I29" s="117"/>
    </row>
    <row r="30" spans="7:9" ht="15" x14ac:dyDescent="0.2">
      <c r="G30" s="117"/>
      <c r="H30" s="117"/>
      <c r="I30" s="117"/>
    </row>
    <row r="31" spans="7:9" ht="15" x14ac:dyDescent="0.2">
      <c r="G31" s="117"/>
      <c r="H31" s="117"/>
      <c r="I31" s="117"/>
    </row>
    <row r="32" spans="7:9" ht="15" x14ac:dyDescent="0.2">
      <c r="G32" s="117"/>
      <c r="H32" s="117"/>
      <c r="I32" s="117"/>
    </row>
    <row r="33" spans="7:9" ht="15" x14ac:dyDescent="0.2">
      <c r="G33" s="117"/>
      <c r="H33" s="117"/>
      <c r="I33" s="117"/>
    </row>
    <row r="34" spans="7:9" ht="15" x14ac:dyDescent="0.2">
      <c r="G34" s="117"/>
      <c r="H34" s="117"/>
      <c r="I34" s="117"/>
    </row>
    <row r="35" spans="7:9" ht="15" x14ac:dyDescent="0.2">
      <c r="G35" s="117"/>
      <c r="H35" s="117"/>
      <c r="I35" s="117"/>
    </row>
    <row r="36" spans="7:9" ht="15" x14ac:dyDescent="0.2">
      <c r="G36" s="117"/>
      <c r="H36" s="117"/>
      <c r="I36" s="117"/>
    </row>
    <row r="37" spans="7:9" ht="15" x14ac:dyDescent="0.2">
      <c r="G37" s="117"/>
      <c r="H37" s="117"/>
      <c r="I37" s="117"/>
    </row>
    <row r="38" spans="7:9" ht="15" x14ac:dyDescent="0.2">
      <c r="G38" s="117"/>
      <c r="H38" s="117"/>
      <c r="I38" s="117"/>
    </row>
    <row r="39" spans="7:9" ht="15" x14ac:dyDescent="0.2">
      <c r="G39" s="117"/>
      <c r="H39" s="117"/>
      <c r="I39" s="117"/>
    </row>
    <row r="40" spans="7:9" ht="15" x14ac:dyDescent="0.2">
      <c r="G40" s="117"/>
      <c r="H40" s="117"/>
      <c r="I40" s="117"/>
    </row>
    <row r="41" spans="7:9" ht="15" x14ac:dyDescent="0.2">
      <c r="G41" s="117"/>
      <c r="H41" s="117"/>
      <c r="I41" s="117"/>
    </row>
    <row r="42" spans="7:9" ht="15" x14ac:dyDescent="0.2">
      <c r="G42" s="117"/>
      <c r="H42" s="117"/>
      <c r="I42" s="117"/>
    </row>
    <row r="43" spans="7:9" ht="15" x14ac:dyDescent="0.2">
      <c r="G43" s="117"/>
      <c r="H43" s="117"/>
      <c r="I43" s="117"/>
    </row>
    <row r="44" spans="7:9" ht="15" x14ac:dyDescent="0.2">
      <c r="G44" s="117"/>
      <c r="H44" s="117"/>
      <c r="I44" s="117"/>
    </row>
    <row r="45" spans="7:9" ht="15" x14ac:dyDescent="0.2">
      <c r="G45" s="117"/>
      <c r="H45" s="117"/>
      <c r="I45" s="117"/>
    </row>
    <row r="46" spans="7:9" ht="15" x14ac:dyDescent="0.2">
      <c r="G46" s="117"/>
      <c r="H46" s="117"/>
      <c r="I46" s="117"/>
    </row>
    <row r="47" spans="7:9" ht="15" x14ac:dyDescent="0.2">
      <c r="G47" s="117"/>
      <c r="H47" s="117"/>
      <c r="I47" s="117"/>
    </row>
    <row r="48" spans="7:9" ht="15" x14ac:dyDescent="0.2">
      <c r="G48" s="117"/>
      <c r="H48" s="117"/>
      <c r="I48" s="117"/>
    </row>
    <row r="49" spans="7:9" ht="15" x14ac:dyDescent="0.2">
      <c r="G49" s="117"/>
      <c r="H49" s="117"/>
      <c r="I49" s="117"/>
    </row>
    <row r="50" spans="7:9" ht="15" x14ac:dyDescent="0.2">
      <c r="G50" s="117"/>
      <c r="H50" s="117"/>
      <c r="I50" s="117"/>
    </row>
    <row r="51" spans="7:9" ht="15" x14ac:dyDescent="0.2">
      <c r="G51" s="117"/>
      <c r="H51" s="117"/>
      <c r="I51" s="117"/>
    </row>
    <row r="52" spans="7:9" ht="15" x14ac:dyDescent="0.2">
      <c r="G52" s="117"/>
      <c r="H52" s="117"/>
      <c r="I52" s="117"/>
    </row>
    <row r="53" spans="7:9" ht="15" x14ac:dyDescent="0.2">
      <c r="G53" s="117"/>
      <c r="H53" s="117"/>
      <c r="I53" s="117"/>
    </row>
    <row r="54" spans="7:9" ht="15" x14ac:dyDescent="0.2">
      <c r="G54" s="117"/>
      <c r="H54" s="117"/>
      <c r="I54" s="117"/>
    </row>
  </sheetData>
  <protectedRanges>
    <protectedRange algorithmName="SHA-512" hashValue="tJCJQaOgfmy2r1rFYCnjXhzZEhE2kP4S8Vf+gB8pONH/1a7tGQ/hC3ume17TqtVdr7YBov/Z4zJR/nYK8XqTtQ==" saltValue="EGiuSnaV98/e+Uxf8wUSWg==" spinCount="100000" sqref="A2:E4 F3 F2:I2 F4" name="Range1"/>
  </protectedRanges>
  <mergeCells count="1">
    <mergeCell ref="F2:I2"/>
  </mergeCells>
  <conditionalFormatting sqref="A5:A5000">
    <cfRule type="duplicateValues" dxfId="0"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How to use</vt:lpstr>
      <vt:lpstr>Indicator-Concept Matrix</vt:lpstr>
      <vt:lpstr>Generate SDMX &amp; Params</vt:lpstr>
      <vt:lpstr>Dropdowns</vt:lpstr>
      <vt:lpstr>Concept Scheme</vt:lpstr>
      <vt:lpstr>DSDs</vt:lpstr>
      <vt:lpstr>Dataflows</vt:lpstr>
      <vt:lpstr>CountDims</vt:lpstr>
      <vt:lpstr>DSD-Concept Matrix</vt:lpstr>
      <vt:lpstr>XML_Fragments</vt:lpstr>
      <vt:lpstr>ConstraintsSummary</vt:lpstr>
      <vt:lpstr>CL_FREQ</vt:lpstr>
      <vt:lpstr>XML_Output</vt:lpstr>
      <vt:lpstr>CL_AREA</vt:lpstr>
      <vt:lpstr>CL_MEASURE</vt:lpstr>
      <vt:lpstr>CL_UNIT_MEASURE</vt:lpstr>
      <vt:lpstr>CL_CONF_STATUS</vt:lpstr>
      <vt:lpstr>CL_DECIMALS</vt:lpstr>
      <vt:lpstr>CL_OBS_STATUS</vt:lpstr>
      <vt:lpstr>CL_TIME_FORMAT</vt:lpstr>
      <vt:lpstr>CL_UNIT_MULT</vt:lpstr>
      <vt:lpstr>New CL Template</vt:lpstr>
      <vt:lpstr>'DSD-Concept Matrix'!ConAttrVals</vt:lpstr>
      <vt:lpstr>'DSD-Concept Matrix'!ConDims</vt:lpstr>
      <vt:lpstr>'DSD-Concept Matrix'!ConDimVals</vt:lpstr>
      <vt:lpstr>CountConsforDSDs</vt:lpstr>
      <vt:lpstr>CountDSDs</vt:lpstr>
      <vt:lpstr>CountUniqueDSDs</vt:lpstr>
      <vt:lpstr>'Indicator-Concept Matrix'!Criteria</vt:lpstr>
      <vt:lpstr>drpBoolean</vt:lpstr>
      <vt:lpstr>drpConceptRoles</vt:lpstr>
      <vt:lpstr>drpDimAttrMeas</vt:lpstr>
      <vt:lpstr>drpSenderReceiver</vt:lpstr>
      <vt:lpstr>drpTypes</vt:lpstr>
      <vt:lpstr>'DSD-Concept Matrix'!DSDDimCount</vt:lpstr>
      <vt:lpstr>'DSD-Concept Matrix'!DSDs</vt:lpstr>
      <vt:lpstr>FIRSTROW</vt:lpstr>
    </vt:vector>
  </TitlesOfParts>
  <Company>European Central 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National Account DSD Matrix</dc:title>
  <dc:creator>Daniel Suranyi</dc:creator>
  <cp:lastModifiedBy>BARRACLOUGH David</cp:lastModifiedBy>
  <cp:lastPrinted>2014-08-06T09:27:06Z</cp:lastPrinted>
  <dcterms:created xsi:type="dcterms:W3CDTF">2011-12-08T17:03:22Z</dcterms:created>
  <dcterms:modified xsi:type="dcterms:W3CDTF">2019-05-23T11:07:57Z</dcterms:modified>
</cp:coreProperties>
</file>