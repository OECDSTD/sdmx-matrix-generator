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comments1.xml" ContentType="application/vnd.openxmlformats-officedocument.spreadsheetml.comments+xml"/>
  <Override PartName="/xl/tables/table2.xml" ContentType="application/vnd.openxmlformats-officedocument.spreadsheetml.table+xml"/>
  <Override PartName="/xl/tables/table3.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codeName="{51196F13-6AD0-C1B8-E2B4-A1F9AE17003E}"/>
  <workbookPr codeName="ThisWorkbook" defaultThemeVersion="124226"/>
  <mc:AlternateContent xmlns:mc="http://schemas.openxmlformats.org/markup-compatibility/2006">
    <mc:Choice Requires="x15">
      <x15ac:absPath xmlns:x15ac="http://schemas.microsoft.com/office/spreadsheetml/2010/11/ac" url="\\FS-CH-1.main.oecd.org\Users1\barraclough_d\SDMX\SWG\SDMX Matrix Generator\"/>
    </mc:Choice>
  </mc:AlternateContent>
  <bookViews>
    <workbookView xWindow="0" yWindow="0" windowWidth="16815" windowHeight="7395" tabRatio="868"/>
  </bookViews>
  <sheets>
    <sheet name="Generate SDMX &amp; Params" sheetId="84" r:id="rId1"/>
    <sheet name="Dropdowns" sheetId="92" state="hidden" r:id="rId2"/>
    <sheet name="How to use" sheetId="75" r:id="rId3"/>
    <sheet name="Indicator-Concept Matrix" sheetId="76" r:id="rId4"/>
    <sheet name="Concept Scheme" sheetId="68" r:id="rId5"/>
    <sheet name="DSDs" sheetId="85" r:id="rId6"/>
    <sheet name="Dataflows" sheetId="87" r:id="rId7"/>
    <sheet name="DSD-Concept Matrix" sheetId="2" r:id="rId8"/>
    <sheet name="CountDims" sheetId="77" state="hidden" r:id="rId9"/>
    <sheet name="XML_Fragments" sheetId="82" state="hidden" r:id="rId10"/>
    <sheet name="ConstraintsSummary" sheetId="90" r:id="rId11"/>
    <sheet name="CL_FREQ" sheetId="54" r:id="rId12"/>
    <sheet name="XML_Output" sheetId="83" state="hidden" r:id="rId13"/>
    <sheet name="CL_AREA" sheetId="49" r:id="rId14"/>
    <sheet name="CL_MEASURE" sheetId="78" r:id="rId15"/>
    <sheet name="CL_UNIT_MEASURE" sheetId="80" r:id="rId16"/>
    <sheet name="CL_CONF_STATUS" sheetId="69" r:id="rId17"/>
    <sheet name="CL_DECIMALS" sheetId="131" r:id="rId18"/>
    <sheet name="CL_OBS_STATUS" sheetId="70" r:id="rId19"/>
    <sheet name="CL_TIME_FORMAT" sheetId="72" r:id="rId20"/>
    <sheet name="CL_UNIT_MULT" sheetId="73" r:id="rId21"/>
    <sheet name="New CL Template" sheetId="91" r:id="rId22"/>
  </sheets>
  <functionGroups builtInGroupCount="18"/>
  <definedNames>
    <definedName name="_xlnm._FilterDatabase" localSheetId="13" hidden="1">CL_AREA!$A$4:$B$253</definedName>
    <definedName name="_xlnm._FilterDatabase" localSheetId="11" hidden="1">CL_FREQ!$A$4:$B$4</definedName>
    <definedName name="_xlnm._FilterDatabase" localSheetId="14" hidden="1">CL_MEASURE!$A$1:$B$940</definedName>
    <definedName name="_xlnm._FilterDatabase" localSheetId="15" hidden="1">CL_UNIT_MEASURE!$A$1:$B$944</definedName>
    <definedName name="_xlnm._FilterDatabase" localSheetId="7" hidden="1">'DSD-Concept Matrix'!$H$5:$K$5</definedName>
    <definedName name="_xlnm._FilterDatabase" localSheetId="3" hidden="1">'Indicator-Concept Matrix'!$A$1:$A$3</definedName>
    <definedName name="_Toc521320262" localSheetId="13">CL_AREA!#REF!</definedName>
    <definedName name="ConAttrs">'DSD-Concept Matrix'!#REF!</definedName>
    <definedName name="ConAttrVals">'DSD-Concept Matrix'!$K$6:$K$42</definedName>
    <definedName name="ConDims">'DSD-Concept Matrix'!$H$3:$I$4</definedName>
    <definedName name="ConDimVals">'DSD-Concept Matrix'!$F$6:$K$53</definedName>
    <definedName name="CountConsforDSDs">CountDims!$CC$2:$CC$36</definedName>
    <definedName name="CountDSDs">CountDims!$A$2:$A$48</definedName>
    <definedName name="CountUniqueDSDs">CountDims!$AQ$2:$AQ$36</definedName>
    <definedName name="_xlnm.Criteria" localSheetId="3">'Indicator-Concept Matrix'!$D$2:$E$2</definedName>
    <definedName name="DataflowIDs">OFFSET(Dataflows!$A$2,0,0,COUNTA(Dataflows!$A:$A),1)</definedName>
    <definedName name="drpBoolean">Dropdowns!$B$15:$B$16</definedName>
    <definedName name="drpConceptRoles">Dropdowns!$B$20:$B$26</definedName>
    <definedName name="drpDimAttrMeas">Dropdowns!$B$1:$B$10</definedName>
    <definedName name="drpSenderReceiver">Dropdowns!$B$17:$B$19</definedName>
    <definedName name="drpTypes">Dropdowns!$B$11:$B$14</definedName>
    <definedName name="DSDDimCount">'DSD-Concept Matrix'!$D$6:$D$42</definedName>
    <definedName name="DSDIds">OFFSET(DSDs!$A$2,0,0,COUNTA(DSDs!$A:$A),1)</definedName>
    <definedName name="DSDs">'DSD-Concept Matrix'!$C$6:$C$42</definedName>
    <definedName name="FIRSTROW">CountDims!$AR$2:$CB$2</definedName>
    <definedName name="Functional_category">#VALUE!</definedName>
    <definedName name="International_account_item" localSheetId="14">#REF!</definedName>
    <definedName name="International_account_item" localSheetId="15">#REF!</definedName>
    <definedName name="International_account_item" localSheetId="6">#REF!</definedName>
    <definedName name="International_account_item">#REF!</definedName>
    <definedName name="old_iai" localSheetId="14">#REF!</definedName>
    <definedName name="old_iai" localSheetId="15">#REF!</definedName>
    <definedName name="old_iai" localSheetId="6">#REF!</definedName>
    <definedName name="old_iai">#REF!</definedName>
    <definedName name="old_range" localSheetId="14">#REF!</definedName>
    <definedName name="old_range" localSheetId="15">#REF!</definedName>
    <definedName name="old_range" localSheetId="6">#REF!</definedName>
    <definedName name="old_range">#REF!</definedName>
    <definedName name="old_test" localSheetId="14">#REF!</definedName>
    <definedName name="old_test" localSheetId="15">#REF!</definedName>
    <definedName name="old_test" localSheetId="6">#REF!</definedName>
    <definedName name="old_test">#REF!</definedName>
    <definedName name="old_test1" localSheetId="14">#REF!</definedName>
    <definedName name="old_test1" localSheetId="15">#REF!</definedName>
    <definedName name="old_test1" localSheetId="6">#REF!</definedName>
    <definedName name="old_test1">#REF!</definedName>
    <definedName name="Range_DSTNotes" localSheetId="14">#REF!</definedName>
    <definedName name="Range_DSTNotes" localSheetId="15">#REF!</definedName>
    <definedName name="Range_DSTNotes" localSheetId="6">#REF!</definedName>
    <definedName name="Range_DSTNotes">#REF!</definedName>
    <definedName name="Reporting_sector_financial">#VALUE!</definedName>
    <definedName name="Test" localSheetId="14">#REF!</definedName>
    <definedName name="Test" localSheetId="15">#REF!</definedName>
    <definedName name="Test" localSheetId="6">#REF!</definedName>
    <definedName name="Test">#REF!</definedName>
    <definedName name="Test1" localSheetId="14">#REF!</definedName>
    <definedName name="Test1" localSheetId="15">#REF!</definedName>
    <definedName name="Test1" localSheetId="6">#REF!</definedName>
    <definedName name="Test1">#REF!</definedName>
    <definedName name="Z_609B000A_3B9D_4F2C_A882_9D8FED21A0B4_.wvu.Cols" localSheetId="7" hidden="1">'DSD-Concept Matrix'!#REF!</definedName>
    <definedName name="Z_609B000A_3B9D_4F2C_A882_9D8FED21A0B4_.wvu.FilterData" localSheetId="13" hidden="1">CL_AREA!$A$4:$B$253</definedName>
    <definedName name="Z_609B000A_3B9D_4F2C_A882_9D8FED21A0B4_.wvu.FilterData" localSheetId="11" hidden="1">CL_FREQ!$A$4:$B$4</definedName>
    <definedName name="Z_609B000A_3B9D_4F2C_A882_9D8FED21A0B4_.wvu.FilterData" localSheetId="14" hidden="1">CL_MEASURE!$A$1:$B$706</definedName>
    <definedName name="Z_609B000A_3B9D_4F2C_A882_9D8FED21A0B4_.wvu.FilterData" localSheetId="15" hidden="1">CL_UNIT_MEASURE!$A$1:$B$710</definedName>
    <definedName name="Z_609B000A_3B9D_4F2C_A882_9D8FED21A0B4_.wvu.FilterData" localSheetId="7" hidden="1">'DSD-Concept Matrix'!$A$5:$K$37</definedName>
    <definedName name="Z_AA319F07_CC98_498A_B8F0_88469E3CB718_.wvu.Cols" localSheetId="7" hidden="1">'DSD-Concept Matrix'!#REF!</definedName>
    <definedName name="Z_AA319F07_CC98_498A_B8F0_88469E3CB718_.wvu.FilterData" localSheetId="13" hidden="1">CL_AREA!$A$4:$B$253</definedName>
    <definedName name="Z_AA319F07_CC98_498A_B8F0_88469E3CB718_.wvu.FilterData" localSheetId="11" hidden="1">CL_FREQ!$A$4:$B$4</definedName>
    <definedName name="Z_AA319F07_CC98_498A_B8F0_88469E3CB718_.wvu.FilterData" localSheetId="14" hidden="1">CL_MEASURE!$A$1:$B$706</definedName>
    <definedName name="Z_AA319F07_CC98_498A_B8F0_88469E3CB718_.wvu.FilterData" localSheetId="15" hidden="1">CL_UNIT_MEASURE!$A$1:$B$710</definedName>
    <definedName name="Z_AA319F07_CC98_498A_B8F0_88469E3CB718_.wvu.FilterData" localSheetId="7" hidden="1">'DSD-Concept Matrix'!$A$5:$K$37</definedName>
    <definedName name="Z_ACF55590_2DD5_4F64_8513_A5656764A8B4_.wvu.FilterData" localSheetId="13" hidden="1">CL_AREA!$A$4:$B$253</definedName>
    <definedName name="Z_ACF55590_2DD5_4F64_8513_A5656764A8B4_.wvu.FilterData" localSheetId="11" hidden="1">CL_FREQ!$A$4:$B$4</definedName>
    <definedName name="Z_ACF55590_2DD5_4F64_8513_A5656764A8B4_.wvu.FilterData" localSheetId="14" hidden="1">CL_MEASURE!$A$1:$B$706</definedName>
    <definedName name="Z_ACF55590_2DD5_4F64_8513_A5656764A8B4_.wvu.FilterData" localSheetId="15" hidden="1">CL_UNIT_MEASURE!$A$1:$B$710</definedName>
    <definedName name="Z_ACF55590_2DD5_4F64_8513_A5656764A8B4_.wvu.FilterData" localSheetId="7" hidden="1">'DSD-Concept Matrix'!$A$5:$K$37</definedName>
    <definedName name="Z_E66E0E75_407A_4A45_A7DD_4716A0845D40_.wvu.FilterData" localSheetId="13" hidden="1">CL_AREA!$A$4:$B$253</definedName>
    <definedName name="Z_E66E0E75_407A_4A45_A7DD_4716A0845D40_.wvu.FilterData" localSheetId="11" hidden="1">CL_FREQ!$A$4:$B$4</definedName>
    <definedName name="Z_E66E0E75_407A_4A45_A7DD_4716A0845D40_.wvu.FilterData" localSheetId="14" hidden="1">CL_MEASURE!$A$1:$B$706</definedName>
    <definedName name="Z_E66E0E75_407A_4A45_A7DD_4716A0845D40_.wvu.FilterData" localSheetId="15" hidden="1">CL_UNIT_MEASURE!$A$1:$B$710</definedName>
    <definedName name="Z_E66E0E75_407A_4A45_A7DD_4716A0845D40_.wvu.FilterData" localSheetId="7" hidden="1">'DSD-Concept Matrix'!$A$5:$K$37</definedName>
    <definedName name="Z_E7F7CB01_84EF_4CA7_B9F6_361080D9FD6D_.wvu.Cols" localSheetId="7" hidden="1">'DSD-Concept Matrix'!#REF!</definedName>
    <definedName name="Z_E7F7CB01_84EF_4CA7_B9F6_361080D9FD6D_.wvu.FilterData" localSheetId="13" hidden="1">CL_AREA!$A$4:$B$253</definedName>
    <definedName name="Z_E7F7CB01_84EF_4CA7_B9F6_361080D9FD6D_.wvu.FilterData" localSheetId="11" hidden="1">CL_FREQ!$A$4:$B$4</definedName>
    <definedName name="Z_E7F7CB01_84EF_4CA7_B9F6_361080D9FD6D_.wvu.FilterData" localSheetId="14" hidden="1">CL_MEASURE!$A$1:$B$706</definedName>
    <definedName name="Z_E7F7CB01_84EF_4CA7_B9F6_361080D9FD6D_.wvu.FilterData" localSheetId="15" hidden="1">CL_UNIT_MEASURE!$A$1:$B$710</definedName>
    <definedName name="Z_E7F7CB01_84EF_4CA7_B9F6_361080D9FD6D_.wvu.FilterData" localSheetId="7" hidden="1">'DSD-Concept Matrix'!$A$5:$K$37</definedName>
    <definedName name="Z_F7C97EE9_0129_4AF7_B3C1_B3102CE6FFA5_.wvu.FilterData" localSheetId="13" hidden="1">CL_AREA!$A$4:$B$253</definedName>
    <definedName name="Z_F7C97EE9_0129_4AF7_B3C1_B3102CE6FFA5_.wvu.FilterData" localSheetId="11" hidden="1">CL_FREQ!$A$4:$B$4</definedName>
    <definedName name="Z_F7C97EE9_0129_4AF7_B3C1_B3102CE6FFA5_.wvu.FilterData" localSheetId="14" hidden="1">CL_MEASURE!$A$1:$B$706</definedName>
    <definedName name="Z_F7C97EE9_0129_4AF7_B3C1_B3102CE6FFA5_.wvu.FilterData" localSheetId="15" hidden="1">CL_UNIT_MEASURE!$A$1:$B$710</definedName>
    <definedName name="Z_F7C97EE9_0129_4AF7_B3C1_B3102CE6FFA5_.wvu.FilterData" localSheetId="7" hidden="1">'DSD-Concept Matrix'!$A$5:$K$37</definedName>
    <definedName name="Z_FC4FBBDB_A3CF_4CB2_B1C9_D5DDEB34891E_.wvu.FilterData" localSheetId="13" hidden="1">CL_AREA!$A$4:$B$253</definedName>
    <definedName name="Z_FC4FBBDB_A3CF_4CB2_B1C9_D5DDEB34891E_.wvu.FilterData" localSheetId="11" hidden="1">CL_FREQ!$A$4:$B$4</definedName>
    <definedName name="Z_FC4FBBDB_A3CF_4CB2_B1C9_D5DDEB34891E_.wvu.FilterData" localSheetId="14" hidden="1">CL_MEASURE!$A$1:$B$706</definedName>
    <definedName name="Z_FC4FBBDB_A3CF_4CB2_B1C9_D5DDEB34891E_.wvu.FilterData" localSheetId="15" hidden="1">CL_UNIT_MEASURE!$A$1:$B$710</definedName>
    <definedName name="Z_FC4FBBDB_A3CF_4CB2_B1C9_D5DDEB34891E_.wvu.FilterData" localSheetId="7" hidden="1">'DSD-Concept Matrix'!$A$5:$K$37</definedName>
  </definedNames>
  <calcPr calcId="162913"/>
  <customWorkbookViews>
    <customWorkbookView name="Balabanova, Zlatina - Personal View" guid="{AA319F07-CC98-498A-B8F0-88469E3CB718}" mergeInterval="0" personalView="1" maximized="1" windowWidth="1276" windowHeight="769" tabRatio="699" activeSheetId="5"/>
    <customWorkbookView name="larosa - Personal View" guid="{F7C97EE9-0129-4AF7-B3C1-B3102CE6FFA5}" mergeInterval="0" personalView="1" maximized="1" xWindow="1" yWindow="1" windowWidth="1676" windowHeight="805" tabRatio="933" activeSheetId="2"/>
    <customWorkbookView name="Daniel - Personal View" guid="{E66E0E75-407A-4A45-A7DD-4716A0845D40}" mergeInterval="0" personalView="1" maximized="1" windowWidth="1276" windowHeight="662" tabRatio="933" activeSheetId="2"/>
    <customWorkbookView name="fabien.jacquet - Personal View" guid="{ACF55590-2DD5-4F64-8513-A5656764A8B4}" mergeInterval="0" personalView="1" maximized="1" xWindow="1" yWindow="1" windowWidth="1596" windowHeight="670" tabRatio="929" activeSheetId="2"/>
    <customWorkbookView name="BIKAUSKAITE Agne (ESTAT-EXT) - Personal View" guid="{FC4FBBDB-A3CF-4CB2-B1C9-D5DDEB34891E}" mergeInterval="0" personalView="1" maximized="1" windowWidth="1276" windowHeight="799" tabRatio="933" activeSheetId="36"/>
    <customWorkbookView name="SURANYI Daniel (ESTAT) - Personal View" guid="{E7F7CB01-84EF-4CA7-B9F6-361080D9FD6D}" mergeInterval="0" personalView="1" maximized="1" windowWidth="1276" windowHeight="779" tabRatio="699" activeSheetId="2"/>
    <customWorkbookView name="Daniel Suranyi - Personal View" guid="{609B000A-3B9D-4F2C-A882-9D8FED21A0B4}" mergeInterval="0" personalView="1" maximized="1" windowWidth="1276" windowHeight="565" tabRatio="903" activeSheetId="2"/>
  </customWorkbookViews>
</workbook>
</file>

<file path=xl/calcChain.xml><?xml version="1.0" encoding="utf-8"?>
<calcChain xmlns="http://schemas.openxmlformats.org/spreadsheetml/2006/main">
  <c r="C40" i="85" l="1"/>
  <c r="K2" i="87"/>
  <c r="C39" i="87" l="1"/>
  <c r="C5" i="2" l="1" a="1"/>
  <c r="C5" i="2" s="1"/>
  <c r="A6" i="77" l="1"/>
  <c r="A4" i="77"/>
  <c r="A5" i="77"/>
  <c r="AK48" i="77" l="1"/>
  <c r="AJ48" i="77"/>
  <c r="AI48" i="77"/>
  <c r="AH48" i="77"/>
  <c r="AG48" i="77"/>
  <c r="AF48" i="77"/>
  <c r="AE48" i="77"/>
  <c r="AD48" i="77"/>
  <c r="AC48" i="77"/>
  <c r="AB48" i="77"/>
  <c r="AA48" i="77"/>
  <c r="Z48" i="77"/>
  <c r="Y48" i="77"/>
  <c r="X48" i="77"/>
  <c r="W48" i="77"/>
  <c r="V48" i="77"/>
  <c r="U48" i="77"/>
  <c r="T48" i="77"/>
  <c r="S48" i="77"/>
  <c r="R48" i="77"/>
  <c r="Q48" i="77"/>
  <c r="P48" i="77"/>
  <c r="O48" i="77"/>
  <c r="N48" i="77"/>
  <c r="M48" i="77"/>
  <c r="L48" i="77"/>
  <c r="K48" i="77"/>
  <c r="J48" i="77"/>
  <c r="I48" i="77"/>
  <c r="H48" i="77"/>
  <c r="G48" i="77"/>
  <c r="F48" i="77"/>
  <c r="E48" i="77"/>
  <c r="D48" i="77"/>
  <c r="C48" i="77"/>
  <c r="B48" i="77"/>
  <c r="AK47" i="77"/>
  <c r="AJ47" i="77"/>
  <c r="AI47" i="77"/>
  <c r="AH47" i="77"/>
  <c r="AG47" i="77"/>
  <c r="AF47" i="77"/>
  <c r="AE47" i="77"/>
  <c r="AD47" i="77"/>
  <c r="AC47" i="77"/>
  <c r="AB47" i="77"/>
  <c r="AA47" i="77"/>
  <c r="Z47" i="77"/>
  <c r="Y47" i="77"/>
  <c r="X47" i="77"/>
  <c r="W47" i="77"/>
  <c r="V47" i="77"/>
  <c r="U47" i="77"/>
  <c r="T47" i="77"/>
  <c r="S47" i="77"/>
  <c r="R47" i="77"/>
  <c r="Q47" i="77"/>
  <c r="P47" i="77"/>
  <c r="O47" i="77"/>
  <c r="N47" i="77"/>
  <c r="M47" i="77"/>
  <c r="L47" i="77"/>
  <c r="K47" i="77"/>
  <c r="J47" i="77"/>
  <c r="I47" i="77"/>
  <c r="H47" i="77"/>
  <c r="G47" i="77"/>
  <c r="F47" i="77"/>
  <c r="E47" i="77"/>
  <c r="D47" i="77"/>
  <c r="C47" i="77"/>
  <c r="B47" i="77"/>
  <c r="AK46" i="77"/>
  <c r="AJ46" i="77"/>
  <c r="AI46" i="77"/>
  <c r="AH46" i="77"/>
  <c r="AG46" i="77"/>
  <c r="AF46" i="77"/>
  <c r="AE46" i="77"/>
  <c r="AD46" i="77"/>
  <c r="AC46" i="77"/>
  <c r="AB46" i="77"/>
  <c r="AA46" i="77"/>
  <c r="Z46" i="77"/>
  <c r="Y46" i="77"/>
  <c r="X46" i="77"/>
  <c r="W46" i="77"/>
  <c r="V46" i="77"/>
  <c r="U46" i="77"/>
  <c r="T46" i="77"/>
  <c r="S46" i="77"/>
  <c r="R46" i="77"/>
  <c r="Q46" i="77"/>
  <c r="P46" i="77"/>
  <c r="O46" i="77"/>
  <c r="N46" i="77"/>
  <c r="M46" i="77"/>
  <c r="L46" i="77"/>
  <c r="K46" i="77"/>
  <c r="J46" i="77"/>
  <c r="I46" i="77"/>
  <c r="H46" i="77"/>
  <c r="G46" i="77"/>
  <c r="F46" i="77"/>
  <c r="E46" i="77"/>
  <c r="D46" i="77"/>
  <c r="C46" i="77"/>
  <c r="B46" i="77"/>
  <c r="AK45" i="77"/>
  <c r="AJ45" i="77"/>
  <c r="AI45" i="77"/>
  <c r="AH45" i="77"/>
  <c r="AG45" i="77"/>
  <c r="AF45" i="77"/>
  <c r="AE45" i="77"/>
  <c r="AD45" i="77"/>
  <c r="AC45" i="77"/>
  <c r="AB45" i="77"/>
  <c r="AA45" i="77"/>
  <c r="Z45" i="77"/>
  <c r="Y45" i="77"/>
  <c r="X45" i="77"/>
  <c r="W45" i="77"/>
  <c r="V45" i="77"/>
  <c r="U45" i="77"/>
  <c r="T45" i="77"/>
  <c r="S45" i="77"/>
  <c r="R45" i="77"/>
  <c r="Q45" i="77"/>
  <c r="P45" i="77"/>
  <c r="O45" i="77"/>
  <c r="N45" i="77"/>
  <c r="M45" i="77"/>
  <c r="L45" i="77"/>
  <c r="K45" i="77"/>
  <c r="J45" i="77"/>
  <c r="I45" i="77"/>
  <c r="H45" i="77"/>
  <c r="G45" i="77"/>
  <c r="F45" i="77"/>
  <c r="E45" i="77"/>
  <c r="D45" i="77"/>
  <c r="C45" i="77"/>
  <c r="B45" i="77"/>
  <c r="AK44" i="77"/>
  <c r="AJ44" i="77"/>
  <c r="AI44" i="77"/>
  <c r="AH44" i="77"/>
  <c r="AG44" i="77"/>
  <c r="AF44" i="77"/>
  <c r="AE44" i="77"/>
  <c r="AD44" i="77"/>
  <c r="AC44" i="77"/>
  <c r="AB44" i="77"/>
  <c r="AA44" i="77"/>
  <c r="Z44" i="77"/>
  <c r="Y44" i="77"/>
  <c r="X44" i="77"/>
  <c r="W44" i="77"/>
  <c r="V44" i="77"/>
  <c r="U44" i="77"/>
  <c r="T44" i="77"/>
  <c r="S44" i="77"/>
  <c r="R44" i="77"/>
  <c r="Q44" i="77"/>
  <c r="P44" i="77"/>
  <c r="O44" i="77"/>
  <c r="N44" i="77"/>
  <c r="M44" i="77"/>
  <c r="L44" i="77"/>
  <c r="K44" i="77"/>
  <c r="J44" i="77"/>
  <c r="I44" i="77"/>
  <c r="H44" i="77"/>
  <c r="G44" i="77"/>
  <c r="F44" i="77"/>
  <c r="E44" i="77"/>
  <c r="D44" i="77"/>
  <c r="C44" i="77"/>
  <c r="B44" i="77"/>
  <c r="AK43" i="77"/>
  <c r="AJ43" i="77"/>
  <c r="AI43" i="77"/>
  <c r="AH43" i="77"/>
  <c r="AG43" i="77"/>
  <c r="AF43" i="77"/>
  <c r="AE43" i="77"/>
  <c r="AD43" i="77"/>
  <c r="AC43" i="77"/>
  <c r="AB43" i="77"/>
  <c r="AA43" i="77"/>
  <c r="Z43" i="77"/>
  <c r="Y43" i="77"/>
  <c r="X43" i="77"/>
  <c r="W43" i="77"/>
  <c r="V43" i="77"/>
  <c r="U43" i="77"/>
  <c r="T43" i="77"/>
  <c r="S43" i="77"/>
  <c r="R43" i="77"/>
  <c r="Q43" i="77"/>
  <c r="P43" i="77"/>
  <c r="O43" i="77"/>
  <c r="N43" i="77"/>
  <c r="M43" i="77"/>
  <c r="L43" i="77"/>
  <c r="K43" i="77"/>
  <c r="J43" i="77"/>
  <c r="I43" i="77"/>
  <c r="H43" i="77"/>
  <c r="G43" i="77"/>
  <c r="F43" i="77"/>
  <c r="E43" i="77"/>
  <c r="D43" i="77"/>
  <c r="C43" i="77"/>
  <c r="B43" i="77"/>
  <c r="AK42" i="77"/>
  <c r="AJ42" i="77"/>
  <c r="AI42" i="77"/>
  <c r="AH42" i="77"/>
  <c r="AG42" i="77"/>
  <c r="AF42" i="77"/>
  <c r="AE42" i="77"/>
  <c r="AD42" i="77"/>
  <c r="AC42" i="77"/>
  <c r="AB42" i="77"/>
  <c r="AA42" i="77"/>
  <c r="Z42" i="77"/>
  <c r="Y42" i="77"/>
  <c r="X42" i="77"/>
  <c r="W42" i="77"/>
  <c r="V42" i="77"/>
  <c r="U42" i="77"/>
  <c r="T42" i="77"/>
  <c r="S42" i="77"/>
  <c r="R42" i="77"/>
  <c r="Q42" i="77"/>
  <c r="P42" i="77"/>
  <c r="O42" i="77"/>
  <c r="N42" i="77"/>
  <c r="M42" i="77"/>
  <c r="L42" i="77"/>
  <c r="K42" i="77"/>
  <c r="J42" i="77"/>
  <c r="I42" i="77"/>
  <c r="H42" i="77"/>
  <c r="G42" i="77"/>
  <c r="F42" i="77"/>
  <c r="E42" i="77"/>
  <c r="D42" i="77"/>
  <c r="C42" i="77"/>
  <c r="B42" i="77"/>
  <c r="AK41" i="77"/>
  <c r="AJ41" i="77"/>
  <c r="AI41" i="77"/>
  <c r="AH41" i="77"/>
  <c r="AG41" i="77"/>
  <c r="AF41" i="77"/>
  <c r="AE41" i="77"/>
  <c r="AD41" i="77"/>
  <c r="AC41" i="77"/>
  <c r="AB41" i="77"/>
  <c r="AA41" i="77"/>
  <c r="Z41" i="77"/>
  <c r="Y41" i="77"/>
  <c r="X41" i="77"/>
  <c r="W41" i="77"/>
  <c r="V41" i="77"/>
  <c r="U41" i="77"/>
  <c r="T41" i="77"/>
  <c r="S41" i="77"/>
  <c r="R41" i="77"/>
  <c r="Q41" i="77"/>
  <c r="P41" i="77"/>
  <c r="O41" i="77"/>
  <c r="N41" i="77"/>
  <c r="M41" i="77"/>
  <c r="L41" i="77"/>
  <c r="K41" i="77"/>
  <c r="J41" i="77"/>
  <c r="I41" i="77"/>
  <c r="H41" i="77"/>
  <c r="G41" i="77"/>
  <c r="F41" i="77"/>
  <c r="E41" i="77"/>
  <c r="D41" i="77"/>
  <c r="C41" i="77"/>
  <c r="B41" i="77"/>
  <c r="AK40" i="77"/>
  <c r="AJ40" i="77"/>
  <c r="AI40" i="77"/>
  <c r="AH40" i="77"/>
  <c r="AG40" i="77"/>
  <c r="AF40" i="77"/>
  <c r="AE40" i="77"/>
  <c r="AD40" i="77"/>
  <c r="AC40" i="77"/>
  <c r="AB40" i="77"/>
  <c r="AA40" i="77"/>
  <c r="Z40" i="77"/>
  <c r="Y40" i="77"/>
  <c r="X40" i="77"/>
  <c r="W40" i="77"/>
  <c r="V40" i="77"/>
  <c r="U40" i="77"/>
  <c r="T40" i="77"/>
  <c r="S40" i="77"/>
  <c r="R40" i="77"/>
  <c r="Q40" i="77"/>
  <c r="P40" i="77"/>
  <c r="O40" i="77"/>
  <c r="N40" i="77"/>
  <c r="M40" i="77"/>
  <c r="L40" i="77"/>
  <c r="K40" i="77"/>
  <c r="J40" i="77"/>
  <c r="I40" i="77"/>
  <c r="H40" i="77"/>
  <c r="G40" i="77"/>
  <c r="F40" i="77"/>
  <c r="E40" i="77"/>
  <c r="D40" i="77"/>
  <c r="C40" i="77"/>
  <c r="B40" i="77"/>
  <c r="AK39" i="77"/>
  <c r="AJ39" i="77"/>
  <c r="AI39" i="77"/>
  <c r="AH39" i="77"/>
  <c r="AG39" i="77"/>
  <c r="AF39" i="77"/>
  <c r="AE39" i="77"/>
  <c r="AD39" i="77"/>
  <c r="AC39" i="77"/>
  <c r="AB39" i="77"/>
  <c r="AA39" i="77"/>
  <c r="Z39" i="77"/>
  <c r="Y39" i="77"/>
  <c r="X39" i="77"/>
  <c r="W39" i="77"/>
  <c r="V39" i="77"/>
  <c r="U39" i="77"/>
  <c r="T39" i="77"/>
  <c r="S39" i="77"/>
  <c r="R39" i="77"/>
  <c r="Q39" i="77"/>
  <c r="P39" i="77"/>
  <c r="O39" i="77"/>
  <c r="N39" i="77"/>
  <c r="M39" i="77"/>
  <c r="L39" i="77"/>
  <c r="K39" i="77"/>
  <c r="J39" i="77"/>
  <c r="I39" i="77"/>
  <c r="H39" i="77"/>
  <c r="G39" i="77"/>
  <c r="F39" i="77"/>
  <c r="E39" i="77"/>
  <c r="D39" i="77"/>
  <c r="C39" i="77"/>
  <c r="B39" i="77"/>
  <c r="AK38" i="77"/>
  <c r="AJ38" i="77"/>
  <c r="AI38" i="77"/>
  <c r="AH38" i="77"/>
  <c r="AG38" i="77"/>
  <c r="AF38" i="77"/>
  <c r="AE38" i="77"/>
  <c r="AD38" i="77"/>
  <c r="AC38" i="77"/>
  <c r="AB38" i="77"/>
  <c r="AA38" i="77"/>
  <c r="Z38" i="77"/>
  <c r="Y38" i="77"/>
  <c r="X38" i="77"/>
  <c r="W38" i="77"/>
  <c r="V38" i="77"/>
  <c r="U38" i="77"/>
  <c r="T38" i="77"/>
  <c r="S38" i="77"/>
  <c r="R38" i="77"/>
  <c r="Q38" i="77"/>
  <c r="P38" i="77"/>
  <c r="O38" i="77"/>
  <c r="N38" i="77"/>
  <c r="M38" i="77"/>
  <c r="L38" i="77"/>
  <c r="K38" i="77"/>
  <c r="J38" i="77"/>
  <c r="I38" i="77"/>
  <c r="H38" i="77"/>
  <c r="G38" i="77"/>
  <c r="F38" i="77"/>
  <c r="E38" i="77"/>
  <c r="D38" i="77"/>
  <c r="C38" i="77"/>
  <c r="B38" i="77"/>
  <c r="AK37" i="77"/>
  <c r="AJ37" i="77"/>
  <c r="AI37" i="77"/>
  <c r="AH37" i="77"/>
  <c r="AG37" i="77"/>
  <c r="AF37" i="77"/>
  <c r="AE37" i="77"/>
  <c r="AD37" i="77"/>
  <c r="AC37" i="77"/>
  <c r="AB37" i="77"/>
  <c r="AA37" i="77"/>
  <c r="Z37" i="77"/>
  <c r="Y37" i="77"/>
  <c r="X37" i="77"/>
  <c r="W37" i="77"/>
  <c r="V37" i="77"/>
  <c r="U37" i="77"/>
  <c r="T37" i="77"/>
  <c r="S37" i="77"/>
  <c r="R37" i="77"/>
  <c r="Q37" i="77"/>
  <c r="P37" i="77"/>
  <c r="O37" i="77"/>
  <c r="N37" i="77"/>
  <c r="M37" i="77"/>
  <c r="L37" i="77"/>
  <c r="K37" i="77"/>
  <c r="J37" i="77"/>
  <c r="I37" i="77"/>
  <c r="H37" i="77"/>
  <c r="G37" i="77"/>
  <c r="F37" i="77"/>
  <c r="E37" i="77"/>
  <c r="D37" i="77"/>
  <c r="C37" i="77"/>
  <c r="B37" i="77"/>
  <c r="AK36" i="77"/>
  <c r="AJ36" i="77"/>
  <c r="AI36" i="77"/>
  <c r="AH36" i="77"/>
  <c r="AG36" i="77"/>
  <c r="AF36" i="77"/>
  <c r="AE36" i="77"/>
  <c r="AD36" i="77"/>
  <c r="AC36" i="77"/>
  <c r="AB36" i="77"/>
  <c r="AA36" i="77"/>
  <c r="Z36" i="77"/>
  <c r="Y36" i="77"/>
  <c r="X36" i="77"/>
  <c r="W36" i="77"/>
  <c r="V36" i="77"/>
  <c r="U36" i="77"/>
  <c r="T36" i="77"/>
  <c r="S36" i="77"/>
  <c r="R36" i="77"/>
  <c r="Q36" i="77"/>
  <c r="P36" i="77"/>
  <c r="O36" i="77"/>
  <c r="N36" i="77"/>
  <c r="M36" i="77"/>
  <c r="L36" i="77"/>
  <c r="K36" i="77"/>
  <c r="J36" i="77"/>
  <c r="I36" i="77"/>
  <c r="H36" i="77"/>
  <c r="G36" i="77"/>
  <c r="F36" i="77"/>
  <c r="E36" i="77"/>
  <c r="D36" i="77"/>
  <c r="C36" i="77"/>
  <c r="B36" i="77"/>
  <c r="AK35" i="77"/>
  <c r="AJ35" i="77"/>
  <c r="AI35" i="77"/>
  <c r="AH35" i="77"/>
  <c r="AG35" i="77"/>
  <c r="AF35" i="77"/>
  <c r="AE35" i="77"/>
  <c r="AD35" i="77"/>
  <c r="AC35" i="77"/>
  <c r="AB35" i="77"/>
  <c r="AA35" i="77"/>
  <c r="Z35" i="77"/>
  <c r="Y35" i="77"/>
  <c r="X35" i="77"/>
  <c r="W35" i="77"/>
  <c r="V35" i="77"/>
  <c r="U35" i="77"/>
  <c r="T35" i="77"/>
  <c r="S35" i="77"/>
  <c r="R35" i="77"/>
  <c r="Q35" i="77"/>
  <c r="P35" i="77"/>
  <c r="O35" i="77"/>
  <c r="N35" i="77"/>
  <c r="M35" i="77"/>
  <c r="L35" i="77"/>
  <c r="K35" i="77"/>
  <c r="J35" i="77"/>
  <c r="I35" i="77"/>
  <c r="H35" i="77"/>
  <c r="G35" i="77"/>
  <c r="F35" i="77"/>
  <c r="E35" i="77"/>
  <c r="D35" i="77"/>
  <c r="C35" i="77"/>
  <c r="B35" i="77"/>
  <c r="AK34" i="77"/>
  <c r="AJ34" i="77"/>
  <c r="AI34" i="77"/>
  <c r="AH34" i="77"/>
  <c r="AG34" i="77"/>
  <c r="AF34" i="77"/>
  <c r="AE34" i="77"/>
  <c r="AD34" i="77"/>
  <c r="AC34" i="77"/>
  <c r="AB34" i="77"/>
  <c r="AA34" i="77"/>
  <c r="Z34" i="77"/>
  <c r="Y34" i="77"/>
  <c r="X34" i="77"/>
  <c r="W34" i="77"/>
  <c r="V34" i="77"/>
  <c r="U34" i="77"/>
  <c r="T34" i="77"/>
  <c r="S34" i="77"/>
  <c r="R34" i="77"/>
  <c r="Q34" i="77"/>
  <c r="P34" i="77"/>
  <c r="O34" i="77"/>
  <c r="N34" i="77"/>
  <c r="M34" i="77"/>
  <c r="L34" i="77"/>
  <c r="K34" i="77"/>
  <c r="J34" i="77"/>
  <c r="I34" i="77"/>
  <c r="H34" i="77"/>
  <c r="G34" i="77"/>
  <c r="F34" i="77"/>
  <c r="E34" i="77"/>
  <c r="D34" i="77"/>
  <c r="C34" i="77"/>
  <c r="B34" i="77"/>
  <c r="AK33" i="77"/>
  <c r="AJ33" i="77"/>
  <c r="AI33" i="77"/>
  <c r="AH33" i="77"/>
  <c r="AG33" i="77"/>
  <c r="AF33" i="77"/>
  <c r="AE33" i="77"/>
  <c r="AD33" i="77"/>
  <c r="AC33" i="77"/>
  <c r="AB33" i="77"/>
  <c r="AA33" i="77"/>
  <c r="Z33" i="77"/>
  <c r="Y33" i="77"/>
  <c r="X33" i="77"/>
  <c r="W33" i="77"/>
  <c r="V33" i="77"/>
  <c r="U33" i="77"/>
  <c r="T33" i="77"/>
  <c r="S33" i="77"/>
  <c r="R33" i="77"/>
  <c r="Q33" i="77"/>
  <c r="P33" i="77"/>
  <c r="O33" i="77"/>
  <c r="N33" i="77"/>
  <c r="M33" i="77"/>
  <c r="L33" i="77"/>
  <c r="K33" i="77"/>
  <c r="J33" i="77"/>
  <c r="I33" i="77"/>
  <c r="H33" i="77"/>
  <c r="G33" i="77"/>
  <c r="F33" i="77"/>
  <c r="E33" i="77"/>
  <c r="D33" i="77"/>
  <c r="C33" i="77"/>
  <c r="B33" i="77"/>
  <c r="AK32" i="77"/>
  <c r="AJ32" i="77"/>
  <c r="AI32" i="77"/>
  <c r="AH32" i="77"/>
  <c r="AG32" i="77"/>
  <c r="AF32" i="77"/>
  <c r="AE32" i="77"/>
  <c r="AD32" i="77"/>
  <c r="AC32" i="77"/>
  <c r="AB32" i="77"/>
  <c r="AA32" i="77"/>
  <c r="Z32" i="77"/>
  <c r="Y32" i="77"/>
  <c r="X32" i="77"/>
  <c r="W32" i="77"/>
  <c r="V32" i="77"/>
  <c r="U32" i="77"/>
  <c r="T32" i="77"/>
  <c r="S32" i="77"/>
  <c r="R32" i="77"/>
  <c r="Q32" i="77"/>
  <c r="P32" i="77"/>
  <c r="O32" i="77"/>
  <c r="N32" i="77"/>
  <c r="M32" i="77"/>
  <c r="L32" i="77"/>
  <c r="K32" i="77"/>
  <c r="J32" i="77"/>
  <c r="I32" i="77"/>
  <c r="H32" i="77"/>
  <c r="G32" i="77"/>
  <c r="F32" i="77"/>
  <c r="E32" i="77"/>
  <c r="D32" i="77"/>
  <c r="C32" i="77"/>
  <c r="B32" i="77"/>
  <c r="AK31" i="77"/>
  <c r="AJ31" i="77"/>
  <c r="AI31" i="77"/>
  <c r="AH31" i="77"/>
  <c r="AG31" i="77"/>
  <c r="AF31" i="77"/>
  <c r="AE31" i="77"/>
  <c r="AD31" i="77"/>
  <c r="AC31" i="77"/>
  <c r="AB31" i="77"/>
  <c r="AA31" i="77"/>
  <c r="Z31" i="77"/>
  <c r="Y31" i="77"/>
  <c r="X31" i="77"/>
  <c r="W31" i="77"/>
  <c r="V31" i="77"/>
  <c r="U31" i="77"/>
  <c r="T31" i="77"/>
  <c r="S31" i="77"/>
  <c r="R31" i="77"/>
  <c r="Q31" i="77"/>
  <c r="P31" i="77"/>
  <c r="O31" i="77"/>
  <c r="N31" i="77"/>
  <c r="M31" i="77"/>
  <c r="L31" i="77"/>
  <c r="K31" i="77"/>
  <c r="J31" i="77"/>
  <c r="I31" i="77"/>
  <c r="H31" i="77"/>
  <c r="G31" i="77"/>
  <c r="F31" i="77"/>
  <c r="E31" i="77"/>
  <c r="D31" i="77"/>
  <c r="C31" i="77"/>
  <c r="B31" i="77"/>
  <c r="AK30" i="77"/>
  <c r="AJ30" i="77"/>
  <c r="AI30" i="77"/>
  <c r="AH30" i="77"/>
  <c r="AG30" i="77"/>
  <c r="AF30" i="77"/>
  <c r="AE30" i="77"/>
  <c r="AD30" i="77"/>
  <c r="AC30" i="77"/>
  <c r="AB30" i="77"/>
  <c r="AA30" i="77"/>
  <c r="Z30" i="77"/>
  <c r="Y30" i="77"/>
  <c r="X30" i="77"/>
  <c r="W30" i="77"/>
  <c r="V30" i="77"/>
  <c r="U30" i="77"/>
  <c r="T30" i="77"/>
  <c r="S30" i="77"/>
  <c r="R30" i="77"/>
  <c r="Q30" i="77"/>
  <c r="P30" i="77"/>
  <c r="O30" i="77"/>
  <c r="N30" i="77"/>
  <c r="M30" i="77"/>
  <c r="L30" i="77"/>
  <c r="K30" i="77"/>
  <c r="J30" i="77"/>
  <c r="I30" i="77"/>
  <c r="H30" i="77"/>
  <c r="G30" i="77"/>
  <c r="F30" i="77"/>
  <c r="E30" i="77"/>
  <c r="D30" i="77"/>
  <c r="C30" i="77"/>
  <c r="B30" i="77"/>
  <c r="AK29" i="77"/>
  <c r="AJ29" i="77"/>
  <c r="AI29" i="77"/>
  <c r="AH29" i="77"/>
  <c r="AG29" i="77"/>
  <c r="AF29" i="77"/>
  <c r="AE29" i="77"/>
  <c r="AD29" i="77"/>
  <c r="AC29" i="77"/>
  <c r="AB29" i="77"/>
  <c r="AA29" i="77"/>
  <c r="Z29" i="77"/>
  <c r="Y29" i="77"/>
  <c r="X29" i="77"/>
  <c r="W29" i="77"/>
  <c r="V29" i="77"/>
  <c r="U29" i="77"/>
  <c r="T29" i="77"/>
  <c r="S29" i="77"/>
  <c r="R29" i="77"/>
  <c r="Q29" i="77"/>
  <c r="P29" i="77"/>
  <c r="O29" i="77"/>
  <c r="N29" i="77"/>
  <c r="M29" i="77"/>
  <c r="L29" i="77"/>
  <c r="K29" i="77"/>
  <c r="J29" i="77"/>
  <c r="I29" i="77"/>
  <c r="H29" i="77"/>
  <c r="G29" i="77"/>
  <c r="F29" i="77"/>
  <c r="E29" i="77"/>
  <c r="D29" i="77"/>
  <c r="C29" i="77"/>
  <c r="B29" i="77"/>
  <c r="AK28" i="77"/>
  <c r="AJ28" i="77"/>
  <c r="AI28" i="77"/>
  <c r="AH28" i="77"/>
  <c r="AG28" i="77"/>
  <c r="AF28" i="77"/>
  <c r="AE28" i="77"/>
  <c r="AD28" i="77"/>
  <c r="AC28" i="77"/>
  <c r="AB28" i="77"/>
  <c r="AA28" i="77"/>
  <c r="Z28" i="77"/>
  <c r="Y28" i="77"/>
  <c r="X28" i="77"/>
  <c r="W28" i="77"/>
  <c r="V28" i="77"/>
  <c r="U28" i="77"/>
  <c r="T28" i="77"/>
  <c r="S28" i="77"/>
  <c r="R28" i="77"/>
  <c r="Q28" i="77"/>
  <c r="P28" i="77"/>
  <c r="O28" i="77"/>
  <c r="N28" i="77"/>
  <c r="M28" i="77"/>
  <c r="L28" i="77"/>
  <c r="K28" i="77"/>
  <c r="J28" i="77"/>
  <c r="I28" i="77"/>
  <c r="H28" i="77"/>
  <c r="G28" i="77"/>
  <c r="F28" i="77"/>
  <c r="E28" i="77"/>
  <c r="D28" i="77"/>
  <c r="C28" i="77"/>
  <c r="B28" i="77"/>
  <c r="AK27" i="77"/>
  <c r="AJ27" i="77"/>
  <c r="AI27" i="77"/>
  <c r="AH27" i="77"/>
  <c r="AG27" i="77"/>
  <c r="AF27" i="77"/>
  <c r="AE27" i="77"/>
  <c r="AD27" i="77"/>
  <c r="AC27" i="77"/>
  <c r="AB27" i="77"/>
  <c r="AA27" i="77"/>
  <c r="Z27" i="77"/>
  <c r="Y27" i="77"/>
  <c r="X27" i="77"/>
  <c r="W27" i="77"/>
  <c r="V27" i="77"/>
  <c r="U27" i="77"/>
  <c r="T27" i="77"/>
  <c r="S27" i="77"/>
  <c r="R27" i="77"/>
  <c r="Q27" i="77"/>
  <c r="P27" i="77"/>
  <c r="O27" i="77"/>
  <c r="N27" i="77"/>
  <c r="M27" i="77"/>
  <c r="L27" i="77"/>
  <c r="K27" i="77"/>
  <c r="J27" i="77"/>
  <c r="I27" i="77"/>
  <c r="H27" i="77"/>
  <c r="G27" i="77"/>
  <c r="F27" i="77"/>
  <c r="E27" i="77"/>
  <c r="D27" i="77"/>
  <c r="C27" i="77"/>
  <c r="B27" i="77"/>
  <c r="AK26" i="77"/>
  <c r="AJ26" i="77"/>
  <c r="AI26" i="77"/>
  <c r="AH26" i="77"/>
  <c r="AG26" i="77"/>
  <c r="AF26" i="77"/>
  <c r="AE26" i="77"/>
  <c r="AD26" i="77"/>
  <c r="AC26" i="77"/>
  <c r="AB26" i="77"/>
  <c r="AA26" i="77"/>
  <c r="Z26" i="77"/>
  <c r="Y26" i="77"/>
  <c r="X26" i="77"/>
  <c r="W26" i="77"/>
  <c r="V26" i="77"/>
  <c r="U26" i="77"/>
  <c r="T26" i="77"/>
  <c r="S26" i="77"/>
  <c r="R26" i="77"/>
  <c r="Q26" i="77"/>
  <c r="P26" i="77"/>
  <c r="O26" i="77"/>
  <c r="N26" i="77"/>
  <c r="M26" i="77"/>
  <c r="L26" i="77"/>
  <c r="K26" i="77"/>
  <c r="J26" i="77"/>
  <c r="I26" i="77"/>
  <c r="H26" i="77"/>
  <c r="G26" i="77"/>
  <c r="F26" i="77"/>
  <c r="E26" i="77"/>
  <c r="D26" i="77"/>
  <c r="C26" i="77"/>
  <c r="B26" i="77"/>
  <c r="AK25" i="77"/>
  <c r="AJ25" i="77"/>
  <c r="AI25" i="77"/>
  <c r="AH25" i="77"/>
  <c r="AG25" i="77"/>
  <c r="AF25" i="77"/>
  <c r="AE25" i="77"/>
  <c r="AD25" i="77"/>
  <c r="AC25" i="77"/>
  <c r="AB25" i="77"/>
  <c r="AA25" i="77"/>
  <c r="Z25" i="77"/>
  <c r="Y25" i="77"/>
  <c r="X25" i="77"/>
  <c r="W25" i="77"/>
  <c r="V25" i="77"/>
  <c r="U25" i="77"/>
  <c r="T25" i="77"/>
  <c r="S25" i="77"/>
  <c r="R25" i="77"/>
  <c r="Q25" i="77"/>
  <c r="P25" i="77"/>
  <c r="O25" i="77"/>
  <c r="N25" i="77"/>
  <c r="M25" i="77"/>
  <c r="L25" i="77"/>
  <c r="K25" i="77"/>
  <c r="J25" i="77"/>
  <c r="I25" i="77"/>
  <c r="H25" i="77"/>
  <c r="G25" i="77"/>
  <c r="F25" i="77"/>
  <c r="E25" i="77"/>
  <c r="D25" i="77"/>
  <c r="C25" i="77"/>
  <c r="B25" i="77"/>
  <c r="AK24" i="77"/>
  <c r="AJ24" i="77"/>
  <c r="AI24" i="77"/>
  <c r="AH24" i="77"/>
  <c r="AG24" i="77"/>
  <c r="AF24" i="77"/>
  <c r="AE24" i="77"/>
  <c r="AD24" i="77"/>
  <c r="AC24" i="77"/>
  <c r="AB24" i="77"/>
  <c r="AA24" i="77"/>
  <c r="Z24" i="77"/>
  <c r="Y24" i="77"/>
  <c r="X24" i="77"/>
  <c r="W24" i="77"/>
  <c r="V24" i="77"/>
  <c r="U24" i="77"/>
  <c r="T24" i="77"/>
  <c r="S24" i="77"/>
  <c r="R24" i="77"/>
  <c r="Q24" i="77"/>
  <c r="P24" i="77"/>
  <c r="O24" i="77"/>
  <c r="N24" i="77"/>
  <c r="M24" i="77"/>
  <c r="L24" i="77"/>
  <c r="K24" i="77"/>
  <c r="J24" i="77"/>
  <c r="I24" i="77"/>
  <c r="H24" i="77"/>
  <c r="G24" i="77"/>
  <c r="F24" i="77"/>
  <c r="E24" i="77"/>
  <c r="D24" i="77"/>
  <c r="C24" i="77"/>
  <c r="B24" i="77"/>
  <c r="AK23" i="77"/>
  <c r="AJ23" i="77"/>
  <c r="AI23" i="77"/>
  <c r="AH23" i="77"/>
  <c r="AG23" i="77"/>
  <c r="AF23" i="77"/>
  <c r="AE23" i="77"/>
  <c r="AD23" i="77"/>
  <c r="AC23" i="77"/>
  <c r="AB23" i="77"/>
  <c r="AA23" i="77"/>
  <c r="Z23" i="77"/>
  <c r="Y23" i="77"/>
  <c r="X23" i="77"/>
  <c r="W23" i="77"/>
  <c r="V23" i="77"/>
  <c r="U23" i="77"/>
  <c r="T23" i="77"/>
  <c r="S23" i="77"/>
  <c r="R23" i="77"/>
  <c r="Q23" i="77"/>
  <c r="P23" i="77"/>
  <c r="O23" i="77"/>
  <c r="N23" i="77"/>
  <c r="M23" i="77"/>
  <c r="L23" i="77"/>
  <c r="K23" i="77"/>
  <c r="J23" i="77"/>
  <c r="I23" i="77"/>
  <c r="H23" i="77"/>
  <c r="G23" i="77"/>
  <c r="F23" i="77"/>
  <c r="E23" i="77"/>
  <c r="D23" i="77"/>
  <c r="C23" i="77"/>
  <c r="B23" i="77"/>
  <c r="AK22" i="77"/>
  <c r="AJ22" i="77"/>
  <c r="AI22" i="77"/>
  <c r="AH22" i="77"/>
  <c r="AG22" i="77"/>
  <c r="AF22" i="77"/>
  <c r="AE22" i="77"/>
  <c r="AD22" i="77"/>
  <c r="AC22" i="77"/>
  <c r="AB22" i="77"/>
  <c r="AA22" i="77"/>
  <c r="Z22" i="77"/>
  <c r="Y22" i="77"/>
  <c r="X22" i="77"/>
  <c r="W22" i="77"/>
  <c r="V22" i="77"/>
  <c r="U22" i="77"/>
  <c r="T22" i="77"/>
  <c r="S22" i="77"/>
  <c r="R22" i="77"/>
  <c r="Q22" i="77"/>
  <c r="P22" i="77"/>
  <c r="O22" i="77"/>
  <c r="N22" i="77"/>
  <c r="M22" i="77"/>
  <c r="L22" i="77"/>
  <c r="K22" i="77"/>
  <c r="J22" i="77"/>
  <c r="I22" i="77"/>
  <c r="H22" i="77"/>
  <c r="G22" i="77"/>
  <c r="F22" i="77"/>
  <c r="E22" i="77"/>
  <c r="D22" i="77"/>
  <c r="C22" i="77"/>
  <c r="B22" i="77"/>
  <c r="AK21" i="77"/>
  <c r="AJ21" i="77"/>
  <c r="AI21" i="77"/>
  <c r="AH21" i="77"/>
  <c r="AG21" i="77"/>
  <c r="AF21" i="77"/>
  <c r="AE21" i="77"/>
  <c r="AD21" i="77"/>
  <c r="AC21" i="77"/>
  <c r="AB21" i="77"/>
  <c r="AA21" i="77"/>
  <c r="Z21" i="77"/>
  <c r="Y21" i="77"/>
  <c r="X21" i="77"/>
  <c r="W21" i="77"/>
  <c r="V21" i="77"/>
  <c r="U21" i="77"/>
  <c r="T21" i="77"/>
  <c r="S21" i="77"/>
  <c r="R21" i="77"/>
  <c r="Q21" i="77"/>
  <c r="P21" i="77"/>
  <c r="O21" i="77"/>
  <c r="N21" i="77"/>
  <c r="M21" i="77"/>
  <c r="L21" i="77"/>
  <c r="K21" i="77"/>
  <c r="J21" i="77"/>
  <c r="I21" i="77"/>
  <c r="H21" i="77"/>
  <c r="G21" i="77"/>
  <c r="F21" i="77"/>
  <c r="E21" i="77"/>
  <c r="D21" i="77"/>
  <c r="C21" i="77"/>
  <c r="B21" i="77"/>
  <c r="AK20" i="77"/>
  <c r="AJ20" i="77"/>
  <c r="AI20" i="77"/>
  <c r="AH20" i="77"/>
  <c r="AG20" i="77"/>
  <c r="AF20" i="77"/>
  <c r="AE20" i="77"/>
  <c r="AD20" i="77"/>
  <c r="AC20" i="77"/>
  <c r="AB20" i="77"/>
  <c r="AA20" i="77"/>
  <c r="Z20" i="77"/>
  <c r="Y20" i="77"/>
  <c r="X20" i="77"/>
  <c r="W20" i="77"/>
  <c r="V20" i="77"/>
  <c r="U20" i="77"/>
  <c r="T20" i="77"/>
  <c r="S20" i="77"/>
  <c r="R20" i="77"/>
  <c r="Q20" i="77"/>
  <c r="P20" i="77"/>
  <c r="O20" i="77"/>
  <c r="N20" i="77"/>
  <c r="M20" i="77"/>
  <c r="L20" i="77"/>
  <c r="K20" i="77"/>
  <c r="J20" i="77"/>
  <c r="I20" i="77"/>
  <c r="H20" i="77"/>
  <c r="G20" i="77"/>
  <c r="F20" i="77"/>
  <c r="E20" i="77"/>
  <c r="D20" i="77"/>
  <c r="C20" i="77"/>
  <c r="B20" i="77"/>
  <c r="AK19" i="77"/>
  <c r="AJ19" i="77"/>
  <c r="AI19" i="77"/>
  <c r="AH19" i="77"/>
  <c r="AG19" i="77"/>
  <c r="AF19" i="77"/>
  <c r="AE19" i="77"/>
  <c r="AD19" i="77"/>
  <c r="AC19" i="77"/>
  <c r="AB19" i="77"/>
  <c r="AA19" i="77"/>
  <c r="Z19" i="77"/>
  <c r="Y19" i="77"/>
  <c r="X19" i="77"/>
  <c r="W19" i="77"/>
  <c r="V19" i="77"/>
  <c r="U19" i="77"/>
  <c r="T19" i="77"/>
  <c r="S19" i="77"/>
  <c r="R19" i="77"/>
  <c r="Q19" i="77"/>
  <c r="P19" i="77"/>
  <c r="O19" i="77"/>
  <c r="N19" i="77"/>
  <c r="M19" i="77"/>
  <c r="L19" i="77"/>
  <c r="K19" i="77"/>
  <c r="J19" i="77"/>
  <c r="I19" i="77"/>
  <c r="H19" i="77"/>
  <c r="G19" i="77"/>
  <c r="F19" i="77"/>
  <c r="E19" i="77"/>
  <c r="D19" i="77"/>
  <c r="C19" i="77"/>
  <c r="B19" i="77"/>
  <c r="AK18" i="77"/>
  <c r="AJ18" i="77"/>
  <c r="AI18" i="77"/>
  <c r="AH18" i="77"/>
  <c r="AG18" i="77"/>
  <c r="AF18" i="77"/>
  <c r="AE18" i="77"/>
  <c r="AD18" i="77"/>
  <c r="AC18" i="77"/>
  <c r="AB18" i="77"/>
  <c r="AA18" i="77"/>
  <c r="Z18" i="77"/>
  <c r="Y18" i="77"/>
  <c r="X18" i="77"/>
  <c r="W18" i="77"/>
  <c r="V18" i="77"/>
  <c r="U18" i="77"/>
  <c r="T18" i="77"/>
  <c r="S18" i="77"/>
  <c r="R18" i="77"/>
  <c r="Q18" i="77"/>
  <c r="P18" i="77"/>
  <c r="O18" i="77"/>
  <c r="N18" i="77"/>
  <c r="M18" i="77"/>
  <c r="L18" i="77"/>
  <c r="K18" i="77"/>
  <c r="J18" i="77"/>
  <c r="I18" i="77"/>
  <c r="H18" i="77"/>
  <c r="G18" i="77"/>
  <c r="F18" i="77"/>
  <c r="E18" i="77"/>
  <c r="D18" i="77"/>
  <c r="C18" i="77"/>
  <c r="B18" i="77"/>
  <c r="AK17" i="77"/>
  <c r="AJ17" i="77"/>
  <c r="AI17" i="77"/>
  <c r="AH17" i="77"/>
  <c r="AG17" i="77"/>
  <c r="AF17" i="77"/>
  <c r="AE17" i="77"/>
  <c r="AD17" i="77"/>
  <c r="AC17" i="77"/>
  <c r="AB17" i="77"/>
  <c r="AA17" i="77"/>
  <c r="Z17" i="77"/>
  <c r="Y17" i="77"/>
  <c r="X17" i="77"/>
  <c r="W17" i="77"/>
  <c r="V17" i="77"/>
  <c r="U17" i="77"/>
  <c r="T17" i="77"/>
  <c r="S17" i="77"/>
  <c r="R17" i="77"/>
  <c r="Q17" i="77"/>
  <c r="P17" i="77"/>
  <c r="O17" i="77"/>
  <c r="N17" i="77"/>
  <c r="M17" i="77"/>
  <c r="L17" i="77"/>
  <c r="K17" i="77"/>
  <c r="J17" i="77"/>
  <c r="I17" i="77"/>
  <c r="H17" i="77"/>
  <c r="G17" i="77"/>
  <c r="F17" i="77"/>
  <c r="E17" i="77"/>
  <c r="D17" i="77"/>
  <c r="C17" i="77"/>
  <c r="B17" i="77"/>
  <c r="AK16" i="77"/>
  <c r="AJ16" i="77"/>
  <c r="AI16" i="77"/>
  <c r="AH16" i="77"/>
  <c r="AG16" i="77"/>
  <c r="AF16" i="77"/>
  <c r="AE16" i="77"/>
  <c r="AD16" i="77"/>
  <c r="AC16" i="77"/>
  <c r="AB16" i="77"/>
  <c r="AA16" i="77"/>
  <c r="Z16" i="77"/>
  <c r="Y16" i="77"/>
  <c r="X16" i="77"/>
  <c r="W16" i="77"/>
  <c r="V16" i="77"/>
  <c r="U16" i="77"/>
  <c r="T16" i="77"/>
  <c r="S16" i="77"/>
  <c r="R16" i="77"/>
  <c r="Q16" i="77"/>
  <c r="P16" i="77"/>
  <c r="O16" i="77"/>
  <c r="N16" i="77"/>
  <c r="M16" i="77"/>
  <c r="L16" i="77"/>
  <c r="K16" i="77"/>
  <c r="J16" i="77"/>
  <c r="I16" i="77"/>
  <c r="H16" i="77"/>
  <c r="G16" i="77"/>
  <c r="F16" i="77"/>
  <c r="E16" i="77"/>
  <c r="D16" i="77"/>
  <c r="C16" i="77"/>
  <c r="B16" i="77"/>
  <c r="AK15" i="77"/>
  <c r="AJ15" i="77"/>
  <c r="AI15" i="77"/>
  <c r="AH15" i="77"/>
  <c r="AG15" i="77"/>
  <c r="AF15" i="77"/>
  <c r="AE15" i="77"/>
  <c r="AD15" i="77"/>
  <c r="AC15" i="77"/>
  <c r="AB15" i="77"/>
  <c r="AA15" i="77"/>
  <c r="Z15" i="77"/>
  <c r="Y15" i="77"/>
  <c r="X15" i="77"/>
  <c r="W15" i="77"/>
  <c r="V15" i="77"/>
  <c r="U15" i="77"/>
  <c r="T15" i="77"/>
  <c r="S15" i="77"/>
  <c r="R15" i="77"/>
  <c r="Q15" i="77"/>
  <c r="P15" i="77"/>
  <c r="O15" i="77"/>
  <c r="N15" i="77"/>
  <c r="M15" i="77"/>
  <c r="L15" i="77"/>
  <c r="K15" i="77"/>
  <c r="J15" i="77"/>
  <c r="I15" i="77"/>
  <c r="H15" i="77"/>
  <c r="G15" i="77"/>
  <c r="F15" i="77"/>
  <c r="E15" i="77"/>
  <c r="D15" i="77"/>
  <c r="C15" i="77"/>
  <c r="B15" i="77"/>
  <c r="AK14" i="77"/>
  <c r="AJ14" i="77"/>
  <c r="AI14" i="77"/>
  <c r="AH14" i="77"/>
  <c r="AG14" i="77"/>
  <c r="AF14" i="77"/>
  <c r="AE14" i="77"/>
  <c r="AD14" i="77"/>
  <c r="AC14" i="77"/>
  <c r="AB14" i="77"/>
  <c r="AA14" i="77"/>
  <c r="Z14" i="77"/>
  <c r="Y14" i="77"/>
  <c r="X14" i="77"/>
  <c r="W14" i="77"/>
  <c r="V14" i="77"/>
  <c r="U14" i="77"/>
  <c r="T14" i="77"/>
  <c r="S14" i="77"/>
  <c r="R14" i="77"/>
  <c r="Q14" i="77"/>
  <c r="P14" i="77"/>
  <c r="O14" i="77"/>
  <c r="N14" i="77"/>
  <c r="M14" i="77"/>
  <c r="L14" i="77"/>
  <c r="K14" i="77"/>
  <c r="J14" i="77"/>
  <c r="I14" i="77"/>
  <c r="H14" i="77"/>
  <c r="G14" i="77"/>
  <c r="F14" i="77"/>
  <c r="E14" i="77"/>
  <c r="D14" i="77"/>
  <c r="C14" i="77"/>
  <c r="B14" i="77"/>
  <c r="AK13" i="77"/>
  <c r="AJ13" i="77"/>
  <c r="AI13" i="77"/>
  <c r="AH13" i="77"/>
  <c r="AG13" i="77"/>
  <c r="AF13" i="77"/>
  <c r="AE13" i="77"/>
  <c r="AD13" i="77"/>
  <c r="AC13" i="77"/>
  <c r="AB13" i="77"/>
  <c r="AA13" i="77"/>
  <c r="Z13" i="77"/>
  <c r="Y13" i="77"/>
  <c r="X13" i="77"/>
  <c r="W13" i="77"/>
  <c r="V13" i="77"/>
  <c r="U13" i="77"/>
  <c r="T13" i="77"/>
  <c r="S13" i="77"/>
  <c r="R13" i="77"/>
  <c r="Q13" i="77"/>
  <c r="P13" i="77"/>
  <c r="O13" i="77"/>
  <c r="N13" i="77"/>
  <c r="M13" i="77"/>
  <c r="L13" i="77"/>
  <c r="K13" i="77"/>
  <c r="J13" i="77"/>
  <c r="I13" i="77"/>
  <c r="H13" i="77"/>
  <c r="G13" i="77"/>
  <c r="F13" i="77"/>
  <c r="E13" i="77"/>
  <c r="D13" i="77"/>
  <c r="C13" i="77"/>
  <c r="B13" i="77"/>
  <c r="AK12" i="77"/>
  <c r="AJ12" i="77"/>
  <c r="AI12" i="77"/>
  <c r="AH12" i="77"/>
  <c r="AG12" i="77"/>
  <c r="AF12" i="77"/>
  <c r="AE12" i="77"/>
  <c r="AD12" i="77"/>
  <c r="AC12" i="77"/>
  <c r="AB12" i="77"/>
  <c r="AA12" i="77"/>
  <c r="Z12" i="77"/>
  <c r="Y12" i="77"/>
  <c r="X12" i="77"/>
  <c r="W12" i="77"/>
  <c r="V12" i="77"/>
  <c r="U12" i="77"/>
  <c r="T12" i="77"/>
  <c r="S12" i="77"/>
  <c r="R12" i="77"/>
  <c r="Q12" i="77"/>
  <c r="P12" i="77"/>
  <c r="O12" i="77"/>
  <c r="N12" i="77"/>
  <c r="M12" i="77"/>
  <c r="L12" i="77"/>
  <c r="K12" i="77"/>
  <c r="J12" i="77"/>
  <c r="I12" i="77"/>
  <c r="H12" i="77"/>
  <c r="G12" i="77"/>
  <c r="F12" i="77"/>
  <c r="E12" i="77"/>
  <c r="D12" i="77"/>
  <c r="C12" i="77"/>
  <c r="B12" i="77"/>
  <c r="AK11" i="77"/>
  <c r="AJ11" i="77"/>
  <c r="AI11" i="77"/>
  <c r="AH11" i="77"/>
  <c r="AG11" i="77"/>
  <c r="AF11" i="77"/>
  <c r="AE11" i="77"/>
  <c r="AD11" i="77"/>
  <c r="AC11" i="77"/>
  <c r="AB11" i="77"/>
  <c r="AA11" i="77"/>
  <c r="Z11" i="77"/>
  <c r="Y11" i="77"/>
  <c r="X11" i="77"/>
  <c r="W11" i="77"/>
  <c r="V11" i="77"/>
  <c r="U11" i="77"/>
  <c r="T11" i="77"/>
  <c r="S11" i="77"/>
  <c r="R11" i="77"/>
  <c r="Q11" i="77"/>
  <c r="P11" i="77"/>
  <c r="O11" i="77"/>
  <c r="N11" i="77"/>
  <c r="M11" i="77"/>
  <c r="L11" i="77"/>
  <c r="K11" i="77"/>
  <c r="J11" i="77"/>
  <c r="I11" i="77"/>
  <c r="H11" i="77"/>
  <c r="G11" i="77"/>
  <c r="F11" i="77"/>
  <c r="E11" i="77"/>
  <c r="D11" i="77"/>
  <c r="C11" i="77"/>
  <c r="B11" i="77"/>
  <c r="AK10" i="77"/>
  <c r="AJ10" i="77"/>
  <c r="AI10" i="77"/>
  <c r="AH10" i="77"/>
  <c r="AG10" i="77"/>
  <c r="AF10" i="77"/>
  <c r="AE10" i="77"/>
  <c r="AD10" i="77"/>
  <c r="AC10" i="77"/>
  <c r="AB10" i="77"/>
  <c r="AA10" i="77"/>
  <c r="Z10" i="77"/>
  <c r="Y10" i="77"/>
  <c r="X10" i="77"/>
  <c r="W10" i="77"/>
  <c r="V10" i="77"/>
  <c r="U10" i="77"/>
  <c r="T10" i="77"/>
  <c r="S10" i="77"/>
  <c r="R10" i="77"/>
  <c r="Q10" i="77"/>
  <c r="P10" i="77"/>
  <c r="O10" i="77"/>
  <c r="N10" i="77"/>
  <c r="M10" i="77"/>
  <c r="L10" i="77"/>
  <c r="K10" i="77"/>
  <c r="J10" i="77"/>
  <c r="I10" i="77"/>
  <c r="H10" i="77"/>
  <c r="G10" i="77"/>
  <c r="F10" i="77"/>
  <c r="E10" i="77"/>
  <c r="D10" i="77"/>
  <c r="C10" i="77"/>
  <c r="B10" i="77"/>
  <c r="AK9" i="77"/>
  <c r="AJ9" i="77"/>
  <c r="AI9" i="77"/>
  <c r="AH9" i="77"/>
  <c r="AG9" i="77"/>
  <c r="AF9" i="77"/>
  <c r="AE9" i="77"/>
  <c r="AD9" i="77"/>
  <c r="AC9" i="77"/>
  <c r="AB9" i="77"/>
  <c r="AA9" i="77"/>
  <c r="Z9" i="77"/>
  <c r="Y9" i="77"/>
  <c r="X9" i="77"/>
  <c r="W9" i="77"/>
  <c r="V9" i="77"/>
  <c r="U9" i="77"/>
  <c r="T9" i="77"/>
  <c r="S9" i="77"/>
  <c r="R9" i="77"/>
  <c r="Q9" i="77"/>
  <c r="P9" i="77"/>
  <c r="O9" i="77"/>
  <c r="N9" i="77"/>
  <c r="M9" i="77"/>
  <c r="L9" i="77"/>
  <c r="K9" i="77"/>
  <c r="J9" i="77"/>
  <c r="I9" i="77"/>
  <c r="H9" i="77"/>
  <c r="G9" i="77"/>
  <c r="F9" i="77"/>
  <c r="E9" i="77"/>
  <c r="D9" i="77"/>
  <c r="C9" i="77"/>
  <c r="B9" i="77"/>
  <c r="AK8" i="77"/>
  <c r="AJ8" i="77"/>
  <c r="AI8" i="77"/>
  <c r="AH8" i="77"/>
  <c r="AG8" i="77"/>
  <c r="AF8" i="77"/>
  <c r="AE8" i="77"/>
  <c r="AD8" i="77"/>
  <c r="AC8" i="77"/>
  <c r="AB8" i="77"/>
  <c r="AA8" i="77"/>
  <c r="Z8" i="77"/>
  <c r="Y8" i="77"/>
  <c r="X8" i="77"/>
  <c r="W8" i="77"/>
  <c r="V8" i="77"/>
  <c r="U8" i="77"/>
  <c r="T8" i="77"/>
  <c r="S8" i="77"/>
  <c r="R8" i="77"/>
  <c r="Q8" i="77"/>
  <c r="P8" i="77"/>
  <c r="O8" i="77"/>
  <c r="N8" i="77"/>
  <c r="M8" i="77"/>
  <c r="L8" i="77"/>
  <c r="K8" i="77"/>
  <c r="J8" i="77"/>
  <c r="I8" i="77"/>
  <c r="H8" i="77"/>
  <c r="G8" i="77"/>
  <c r="F8" i="77"/>
  <c r="E8" i="77"/>
  <c r="D8" i="77"/>
  <c r="C8" i="77"/>
  <c r="B8" i="77"/>
  <c r="AK7" i="77"/>
  <c r="AJ7" i="77"/>
  <c r="AI7" i="77"/>
  <c r="AH7" i="77"/>
  <c r="AG7" i="77"/>
  <c r="AF7" i="77"/>
  <c r="AE7" i="77"/>
  <c r="AD7" i="77"/>
  <c r="AC7" i="77"/>
  <c r="AB7" i="77"/>
  <c r="AA7" i="77"/>
  <c r="Z7" i="77"/>
  <c r="Y7" i="77"/>
  <c r="X7" i="77"/>
  <c r="W7" i="77"/>
  <c r="V7" i="77"/>
  <c r="U7" i="77"/>
  <c r="T7" i="77"/>
  <c r="S7" i="77"/>
  <c r="R7" i="77"/>
  <c r="Q7" i="77"/>
  <c r="P7" i="77"/>
  <c r="O7" i="77"/>
  <c r="N7" i="77"/>
  <c r="M7" i="77"/>
  <c r="L7" i="77"/>
  <c r="K7" i="77"/>
  <c r="J7" i="77"/>
  <c r="I7" i="77"/>
  <c r="H7" i="77"/>
  <c r="G7" i="77"/>
  <c r="F7" i="77"/>
  <c r="E7" i="77"/>
  <c r="D7" i="77"/>
  <c r="C7" i="77"/>
  <c r="B7" i="77"/>
  <c r="AK6" i="77"/>
  <c r="AJ6" i="77"/>
  <c r="AI6" i="77"/>
  <c r="AH6" i="77"/>
  <c r="AG6" i="77"/>
  <c r="AF6" i="77"/>
  <c r="AE6" i="77"/>
  <c r="AD6" i="77"/>
  <c r="AC6" i="77"/>
  <c r="AB6" i="77"/>
  <c r="AA6" i="77"/>
  <c r="Z6" i="77"/>
  <c r="Y6" i="77"/>
  <c r="X6" i="77"/>
  <c r="W6" i="77"/>
  <c r="V6" i="77"/>
  <c r="U6" i="77"/>
  <c r="T6" i="77"/>
  <c r="S6" i="77"/>
  <c r="R6" i="77"/>
  <c r="Q6" i="77"/>
  <c r="P6" i="77"/>
  <c r="O6" i="77"/>
  <c r="N6" i="77"/>
  <c r="M6" i="77"/>
  <c r="L6" i="77"/>
  <c r="K6" i="77"/>
  <c r="J6" i="77"/>
  <c r="I6" i="77"/>
  <c r="H6" i="77"/>
  <c r="G6" i="77"/>
  <c r="F6" i="77"/>
  <c r="E6" i="77"/>
  <c r="D6" i="77"/>
  <c r="C6" i="77"/>
  <c r="B6" i="77"/>
  <c r="AK5" i="77"/>
  <c r="AJ5" i="77"/>
  <c r="AI5" i="77"/>
  <c r="AH5" i="77"/>
  <c r="AG5" i="77"/>
  <c r="AF5" i="77"/>
  <c r="AE5" i="77"/>
  <c r="AD5" i="77"/>
  <c r="AC5" i="77"/>
  <c r="AB5" i="77"/>
  <c r="AA5" i="77"/>
  <c r="Z5" i="77"/>
  <c r="Y5" i="77"/>
  <c r="X5" i="77"/>
  <c r="W5" i="77"/>
  <c r="V5" i="77"/>
  <c r="U5" i="77"/>
  <c r="T5" i="77"/>
  <c r="S5" i="77"/>
  <c r="R5" i="77"/>
  <c r="Q5" i="77"/>
  <c r="P5" i="77"/>
  <c r="O5" i="77"/>
  <c r="N5" i="77"/>
  <c r="M5" i="77"/>
  <c r="L5" i="77"/>
  <c r="K5" i="77"/>
  <c r="J5" i="77"/>
  <c r="I5" i="77"/>
  <c r="H5" i="77"/>
  <c r="G5" i="77"/>
  <c r="F5" i="77"/>
  <c r="E5" i="77"/>
  <c r="D5" i="77"/>
  <c r="C5" i="77"/>
  <c r="B5" i="77"/>
  <c r="AK4" i="77"/>
  <c r="AJ4" i="77"/>
  <c r="AI4" i="77"/>
  <c r="AH4" i="77"/>
  <c r="AG4" i="77"/>
  <c r="AF4" i="77"/>
  <c r="AE4" i="77"/>
  <c r="AD4" i="77"/>
  <c r="AC4" i="77"/>
  <c r="AB4" i="77"/>
  <c r="AA4" i="77"/>
  <c r="Z4" i="77"/>
  <c r="Y4" i="77"/>
  <c r="X4" i="77"/>
  <c r="W4" i="77"/>
  <c r="V4" i="77"/>
  <c r="U4" i="77"/>
  <c r="T4" i="77"/>
  <c r="S4" i="77"/>
  <c r="R4" i="77"/>
  <c r="Q4" i="77"/>
  <c r="P4" i="77"/>
  <c r="O4" i="77"/>
  <c r="N4" i="77"/>
  <c r="M4" i="77"/>
  <c r="L4" i="77"/>
  <c r="K4" i="77"/>
  <c r="J4" i="77"/>
  <c r="I4" i="77"/>
  <c r="H4" i="77"/>
  <c r="G4" i="77"/>
  <c r="F4" i="77"/>
  <c r="E4" i="77"/>
  <c r="D4" i="77"/>
  <c r="C4" i="77"/>
  <c r="B4" i="77"/>
  <c r="AK3" i="77"/>
  <c r="AJ3" i="77"/>
  <c r="AI3" i="77"/>
  <c r="AH3" i="77"/>
  <c r="AG3" i="77"/>
  <c r="AF3" i="77"/>
  <c r="AE3" i="77"/>
  <c r="AD3" i="77"/>
  <c r="AC3" i="77"/>
  <c r="AB3" i="77"/>
  <c r="AA3" i="77"/>
  <c r="Z3" i="77"/>
  <c r="Y3" i="77"/>
  <c r="X3" i="77"/>
  <c r="W3" i="77"/>
  <c r="V3" i="77"/>
  <c r="U3" i="77"/>
  <c r="T3" i="77"/>
  <c r="S3" i="77"/>
  <c r="R3" i="77"/>
  <c r="Q3" i="77"/>
  <c r="P3" i="77"/>
  <c r="O3" i="77"/>
  <c r="N3" i="77"/>
  <c r="M3" i="77"/>
  <c r="L3" i="77"/>
  <c r="K3" i="77"/>
  <c r="J3" i="77"/>
  <c r="I3" i="77"/>
  <c r="H3" i="77"/>
  <c r="G3" i="77"/>
  <c r="F3" i="77"/>
  <c r="E3" i="77"/>
  <c r="D3" i="77"/>
  <c r="C3" i="77"/>
  <c r="B3" i="77"/>
  <c r="AK2" i="77"/>
  <c r="AJ2" i="77"/>
  <c r="AI2" i="77"/>
  <c r="AH2" i="77"/>
  <c r="AG2" i="77"/>
  <c r="AF2" i="77"/>
  <c r="AE2" i="77"/>
  <c r="AD2" i="77"/>
  <c r="AC2" i="77"/>
  <c r="AB2" i="77"/>
  <c r="AA2" i="77"/>
  <c r="Z2" i="77"/>
  <c r="Y2" i="77"/>
  <c r="X2" i="77"/>
  <c r="W2" i="77"/>
  <c r="V2" i="77"/>
  <c r="U2" i="77"/>
  <c r="T2" i="77"/>
  <c r="S2" i="77"/>
  <c r="R2" i="77"/>
  <c r="Q2" i="77"/>
  <c r="P2" i="77"/>
  <c r="O2" i="77"/>
  <c r="N2" i="77"/>
  <c r="M2" i="77"/>
  <c r="L2" i="77"/>
  <c r="K2" i="77"/>
  <c r="J2" i="77"/>
  <c r="I2" i="77"/>
  <c r="H2" i="77"/>
  <c r="G2" i="77"/>
  <c r="F2" i="77"/>
  <c r="E2" i="77"/>
  <c r="D2" i="77"/>
  <c r="C2" i="77"/>
  <c r="B2" i="77"/>
  <c r="A48" i="77"/>
  <c r="A47" i="77"/>
  <c r="A46" i="77"/>
  <c r="A45" i="77"/>
  <c r="A44" i="77"/>
  <c r="A43" i="77"/>
  <c r="A42" i="77"/>
  <c r="A41" i="77"/>
  <c r="A40" i="77"/>
  <c r="A39" i="77"/>
  <c r="A38" i="77"/>
  <c r="A37" i="77"/>
  <c r="A36" i="77"/>
  <c r="A35" i="77"/>
  <c r="A34" i="77"/>
  <c r="A33" i="77"/>
  <c r="A32" i="77"/>
  <c r="A31" i="77"/>
  <c r="A30" i="77"/>
  <c r="A29" i="77"/>
  <c r="A28" i="77"/>
  <c r="A27" i="77"/>
  <c r="A26" i="77"/>
  <c r="A25" i="77"/>
  <c r="A24" i="77"/>
  <c r="A23" i="77"/>
  <c r="A22" i="77"/>
  <c r="A21" i="77"/>
  <c r="A20" i="77"/>
  <c r="A19" i="77"/>
  <c r="A18" i="77"/>
  <c r="A17" i="77"/>
  <c r="A16" i="77"/>
  <c r="A15" i="77"/>
  <c r="A14" i="77"/>
  <c r="A13" i="77"/>
  <c r="A12" i="77"/>
  <c r="A11" i="77"/>
  <c r="A10" i="77"/>
  <c r="A9" i="77"/>
  <c r="A8" i="77"/>
  <c r="A7" i="77"/>
  <c r="A3" i="77"/>
  <c r="A2" i="77"/>
  <c r="AQ2" i="77" l="1"/>
  <c r="AM48" i="77"/>
  <c r="AM23" i="77"/>
  <c r="AM4" i="77"/>
  <c r="AM20" i="77"/>
  <c r="AM8" i="77"/>
  <c r="AM5" i="77"/>
  <c r="AM9" i="77"/>
  <c r="AM12" i="77"/>
  <c r="AM21" i="77"/>
  <c r="AM25" i="77"/>
  <c r="AM28" i="77"/>
  <c r="AM33" i="77"/>
  <c r="AM37" i="77"/>
  <c r="AM41" i="77"/>
  <c r="AM44" i="77"/>
  <c r="AM45" i="77"/>
  <c r="AM6" i="77"/>
  <c r="AM10" i="77"/>
  <c r="AM18" i="77"/>
  <c r="AM22" i="77"/>
  <c r="AM26" i="77"/>
  <c r="AM30" i="77"/>
  <c r="AM3" i="77"/>
  <c r="AM2" i="77"/>
  <c r="AM7" i="77"/>
  <c r="AM14" i="77"/>
  <c r="AM19" i="77"/>
  <c r="AM27" i="77"/>
  <c r="AM35" i="77"/>
  <c r="AM38" i="77"/>
  <c r="AM39" i="77"/>
  <c r="AM42" i="77"/>
  <c r="AM43" i="77"/>
  <c r="AM47" i="77"/>
  <c r="AM11" i="77"/>
  <c r="AM13" i="77"/>
  <c r="AM16" i="77"/>
  <c r="AM15" i="77"/>
  <c r="AM17" i="77"/>
  <c r="AM24" i="77"/>
  <c r="AM29" i="77"/>
  <c r="AM31" i="77"/>
  <c r="AM32" i="77"/>
  <c r="AM34" i="77"/>
  <c r="AM36" i="77"/>
  <c r="AM40" i="77"/>
  <c r="AM46" i="77"/>
  <c r="AQ3" i="77" l="1"/>
  <c r="AQ4" i="77" s="1"/>
  <c r="AR2" i="77"/>
  <c r="BG2" i="77"/>
  <c r="BV2" i="77"/>
  <c r="AX2" i="77"/>
  <c r="BM2" i="77"/>
  <c r="BH2" i="77"/>
  <c r="BW2" i="77"/>
  <c r="BN2" i="77"/>
  <c r="AT2" i="77"/>
  <c r="BX2" i="77"/>
  <c r="BD2" i="77"/>
  <c r="BS2" i="77"/>
  <c r="AU2" i="77"/>
  <c r="BJ2" i="77"/>
  <c r="BQ2" i="77"/>
  <c r="BP2" i="77"/>
  <c r="CA2" i="77"/>
  <c r="BC2" i="77"/>
  <c r="AS2" i="77"/>
  <c r="BT2" i="77"/>
  <c r="AZ2" i="77"/>
  <c r="BK2" i="77"/>
  <c r="BZ2" i="77"/>
  <c r="BF2" i="77"/>
  <c r="BE2" i="77"/>
  <c r="BY2" i="77"/>
  <c r="BI2" i="77"/>
  <c r="BU2" i="77"/>
  <c r="BL2" i="77"/>
  <c r="AV2" i="77"/>
  <c r="BO2" i="77"/>
  <c r="AY2" i="77"/>
  <c r="BR2" i="77"/>
  <c r="BB2" i="77"/>
  <c r="AW2" i="77"/>
  <c r="BA2" i="77"/>
  <c r="CB2" i="77"/>
  <c r="BO3" i="77" l="1"/>
  <c r="AQ5" i="77"/>
  <c r="BV5" i="77" s="1"/>
  <c r="BN3" i="77"/>
  <c r="BZ3" i="77"/>
  <c r="AX3" i="77"/>
  <c r="BJ3" i="77"/>
  <c r="BK3" i="77"/>
  <c r="BL3" i="77"/>
  <c r="AV3" i="77"/>
  <c r="BG3" i="77"/>
  <c r="BQ3" i="77"/>
  <c r="AR3" i="77"/>
  <c r="AT3" i="77"/>
  <c r="BD3" i="77"/>
  <c r="BF3" i="77"/>
  <c r="CA3" i="77"/>
  <c r="BS3" i="77"/>
  <c r="CB3" i="77"/>
  <c r="AZ3" i="77"/>
  <c r="BX3" i="77"/>
  <c r="AW3" i="77"/>
  <c r="BH3" i="77"/>
  <c r="BT3" i="77"/>
  <c r="BC3" i="77"/>
  <c r="BR3" i="77"/>
  <c r="AY3" i="77"/>
  <c r="BA3" i="77"/>
  <c r="AU3" i="77"/>
  <c r="BM3" i="77"/>
  <c r="BW3" i="77"/>
  <c r="BI3" i="77"/>
  <c r="BB3" i="77"/>
  <c r="BV3" i="77"/>
  <c r="BY3" i="77"/>
  <c r="BP3" i="77"/>
  <c r="BE3" i="77"/>
  <c r="AS3" i="77"/>
  <c r="BU3" i="77"/>
  <c r="CC2" i="77"/>
  <c r="AQ6" i="77" l="1"/>
  <c r="CC3" i="77"/>
  <c r="BM4" i="77"/>
  <c r="BJ4" i="77"/>
  <c r="BH4" i="77"/>
  <c r="BL4" i="77"/>
  <c r="AS4" i="77"/>
  <c r="AT4" i="77"/>
  <c r="BN4" i="77"/>
  <c r="BW4" i="77"/>
  <c r="AW4" i="77"/>
  <c r="AV4" i="77"/>
  <c r="BR4" i="77"/>
  <c r="BT4" i="77"/>
  <c r="AU4" i="77"/>
  <c r="BA4" i="77"/>
  <c r="BO4" i="77"/>
  <c r="AX4" i="77"/>
  <c r="BV4" i="77"/>
  <c r="BF4" i="77"/>
  <c r="BC4" i="77"/>
  <c r="CA4" i="77"/>
  <c r="BI4" i="77"/>
  <c r="BQ4" i="77"/>
  <c r="BK4" i="77"/>
  <c r="AR4" i="77"/>
  <c r="AZ4" i="77"/>
  <c r="BS4" i="77"/>
  <c r="BB4" i="77"/>
  <c r="BD4" i="77"/>
  <c r="BZ4" i="77"/>
  <c r="BX4" i="77"/>
  <c r="AY4" i="77"/>
  <c r="BE4" i="77"/>
  <c r="BG4" i="77"/>
  <c r="BP4" i="77"/>
  <c r="BU4" i="77"/>
  <c r="BY4" i="77"/>
  <c r="CB4" i="77"/>
  <c r="BH5" i="77"/>
  <c r="BC5" i="77"/>
  <c r="AT5" i="77"/>
  <c r="BZ5" i="77"/>
  <c r="BG5" i="77"/>
  <c r="AR5" i="77"/>
  <c r="BX5" i="77"/>
  <c r="BS5" i="77"/>
  <c r="BM5" i="77"/>
  <c r="BJ5" i="77"/>
  <c r="BL5" i="77"/>
  <c r="AV5" i="77"/>
  <c r="CB5" i="77"/>
  <c r="BW5" i="77"/>
  <c r="BQ5" i="77"/>
  <c r="BN5" i="77"/>
  <c r="AW5" i="77"/>
  <c r="BA5" i="77"/>
  <c r="AX5" i="77"/>
  <c r="AZ5" i="77"/>
  <c r="BP5" i="77"/>
  <c r="AU5" i="77"/>
  <c r="BK5" i="77"/>
  <c r="CA5" i="77"/>
  <c r="BE5" i="77"/>
  <c r="BU5" i="77"/>
  <c r="BB5" i="77"/>
  <c r="BR5" i="77"/>
  <c r="BD5" i="77"/>
  <c r="BT5" i="77"/>
  <c r="AY5" i="77"/>
  <c r="BO5" i="77"/>
  <c r="AS5" i="77"/>
  <c r="BI5" i="77"/>
  <c r="BY5" i="77"/>
  <c r="BF5" i="77"/>
  <c r="AQ7" i="77" l="1"/>
  <c r="CC4" i="77"/>
  <c r="CC5" i="77"/>
  <c r="BZ6" i="77"/>
  <c r="AU6" i="77"/>
  <c r="BJ6" i="77"/>
  <c r="BM6" i="77"/>
  <c r="BG6" i="77"/>
  <c r="AZ6" i="77"/>
  <c r="AT6" i="77"/>
  <c r="BN6" i="77"/>
  <c r="AW6" i="77"/>
  <c r="BU6" i="77"/>
  <c r="BK6" i="77"/>
  <c r="BD6" i="77"/>
  <c r="AX6" i="77"/>
  <c r="BR6" i="77"/>
  <c r="BE6" i="77"/>
  <c r="BY6" i="77"/>
  <c r="BW6" i="77"/>
  <c r="BP6" i="77"/>
  <c r="BB6" i="77"/>
  <c r="BI6" i="77"/>
  <c r="CA6" i="77"/>
  <c r="BT6" i="77"/>
  <c r="AS6" i="77"/>
  <c r="BF6" i="77"/>
  <c r="BV6" i="77"/>
  <c r="BA6" i="77"/>
  <c r="BQ6" i="77"/>
  <c r="AY6" i="77"/>
  <c r="BO6" i="77"/>
  <c r="AR6" i="77"/>
  <c r="BH6" i="77"/>
  <c r="BX6" i="77"/>
  <c r="BC6" i="77"/>
  <c r="BS6" i="77"/>
  <c r="AV6" i="77"/>
  <c r="BL6" i="77"/>
  <c r="CB6" i="77"/>
  <c r="AQ8" i="77" l="1"/>
  <c r="AV7" i="77"/>
  <c r="BQ7" i="77"/>
  <c r="AT7" i="77"/>
  <c r="BG7" i="77"/>
  <c r="CA7" i="77"/>
  <c r="BX7" i="77"/>
  <c r="BA7" i="77"/>
  <c r="BH7" i="77"/>
  <c r="BL7" i="77"/>
  <c r="AZ7" i="77"/>
  <c r="BE7" i="77"/>
  <c r="AR7" i="77"/>
  <c r="BW7" i="77"/>
  <c r="AS7" i="77"/>
  <c r="BV7" i="77"/>
  <c r="BN7" i="77"/>
  <c r="AU7" i="77"/>
  <c r="BT7" i="77"/>
  <c r="CB7" i="77"/>
  <c r="AY7" i="77"/>
  <c r="BO7" i="77"/>
  <c r="BR7" i="77"/>
  <c r="BZ7" i="77"/>
  <c r="BC7" i="77"/>
  <c r="BF7" i="77"/>
  <c r="BM7" i="77"/>
  <c r="AX7" i="77"/>
  <c r="AW7" i="77"/>
  <c r="BS7" i="77"/>
  <c r="BP7" i="77"/>
  <c r="BU7" i="77"/>
  <c r="BK7" i="77"/>
  <c r="BD7" i="77"/>
  <c r="BI7" i="77"/>
  <c r="BJ7" i="77"/>
  <c r="BB7" i="77"/>
  <c r="BY7" i="77"/>
  <c r="CC6" i="77"/>
  <c r="BT8" i="77" l="1"/>
  <c r="BO8" i="77"/>
  <c r="AU8" i="77"/>
  <c r="AT8" i="77"/>
  <c r="BM8" i="77"/>
  <c r="BL8" i="77"/>
  <c r="BG8" i="77"/>
  <c r="BI8" i="77"/>
  <c r="BU8" i="77"/>
  <c r="BD8" i="77"/>
  <c r="AQ9" i="77"/>
  <c r="AW8" i="77"/>
  <c r="AS8" i="77"/>
  <c r="BP8" i="77"/>
  <c r="BQ8" i="77"/>
  <c r="BE8" i="77"/>
  <c r="BA8" i="77"/>
  <c r="AV8" i="77"/>
  <c r="BV8" i="77"/>
  <c r="AR8" i="77"/>
  <c r="CA8" i="77"/>
  <c r="BN8" i="77"/>
  <c r="AZ8" i="77"/>
  <c r="BZ8" i="77"/>
  <c r="BX8" i="77"/>
  <c r="BB8" i="77"/>
  <c r="BS8" i="77"/>
  <c r="BF8" i="77"/>
  <c r="AY8" i="77"/>
  <c r="BK8" i="77"/>
  <c r="AX8" i="77"/>
  <c r="BW8" i="77"/>
  <c r="BJ8" i="77"/>
  <c r="BH8" i="77"/>
  <c r="CB8" i="77"/>
  <c r="BC8" i="77"/>
  <c r="BY8" i="77"/>
  <c r="BR8" i="77"/>
  <c r="CC7" i="77"/>
  <c r="AQ10" i="77" l="1"/>
  <c r="AQ11" i="77" s="1"/>
  <c r="AQ12" i="77" s="1"/>
  <c r="AQ13" i="77" s="1"/>
  <c r="AQ14" i="77" s="1"/>
  <c r="AQ15" i="77" s="1"/>
  <c r="AQ16" i="77" s="1"/>
  <c r="AQ17" i="77" s="1"/>
  <c r="AQ18" i="77" s="1"/>
  <c r="AQ19" i="77" s="1"/>
  <c r="AQ20" i="77" s="1"/>
  <c r="AQ21" i="77" s="1"/>
  <c r="AQ22" i="77" s="1"/>
  <c r="AQ23" i="77" s="1"/>
  <c r="AQ24" i="77" s="1"/>
  <c r="AQ25" i="77" s="1"/>
  <c r="AQ26" i="77" s="1"/>
  <c r="AQ27" i="77" s="1"/>
  <c r="AQ28" i="77" s="1"/>
  <c r="AQ29" i="77" s="1"/>
  <c r="AQ30" i="77" s="1"/>
  <c r="AQ31" i="77" s="1"/>
  <c r="AQ32" i="77" s="1"/>
  <c r="AQ33" i="77" s="1"/>
  <c r="AQ34" i="77" s="1"/>
  <c r="AQ35" i="77" s="1"/>
  <c r="AQ36" i="77" s="1"/>
  <c r="CC8" i="77"/>
  <c r="AV9" i="77"/>
  <c r="AW9" i="77"/>
  <c r="AT9" i="77"/>
  <c r="BS9" i="77"/>
  <c r="BX9" i="77"/>
  <c r="BI9" i="77"/>
  <c r="BN9" i="77"/>
  <c r="BG9" i="77"/>
  <c r="BO9" i="77"/>
  <c r="BC9" i="77"/>
  <c r="BP9" i="77"/>
  <c r="AX9" i="77"/>
  <c r="CB9" i="77"/>
  <c r="BZ9" i="77"/>
  <c r="BE9" i="77"/>
  <c r="AR9" i="77"/>
  <c r="BT9" i="77"/>
  <c r="CA9" i="77"/>
  <c r="BA9" i="77"/>
  <c r="BD9" i="77"/>
  <c r="BK9" i="77"/>
  <c r="BB9" i="77"/>
  <c r="AY9" i="77"/>
  <c r="AS9" i="77"/>
  <c r="BU9" i="77"/>
  <c r="BH9" i="77"/>
  <c r="BV9" i="77"/>
  <c r="BM9" i="77"/>
  <c r="AZ9" i="77"/>
  <c r="BY9" i="77"/>
  <c r="BL9" i="77"/>
  <c r="BJ9" i="77"/>
  <c r="BW9" i="77"/>
  <c r="AU9" i="77"/>
  <c r="BQ9" i="77"/>
  <c r="BF9" i="77"/>
  <c r="BR9" i="77"/>
  <c r="BR10" i="77" l="1"/>
  <c r="BQ10" i="77"/>
  <c r="AW10" i="77"/>
  <c r="BP10" i="77"/>
  <c r="BE10" i="77"/>
  <c r="BU10" i="77"/>
  <c r="AR10" i="77"/>
  <c r="BI10" i="77"/>
  <c r="CB10" i="77"/>
  <c r="BF10" i="77"/>
  <c r="BV10" i="77"/>
  <c r="BW10" i="77"/>
  <c r="AY10" i="77"/>
  <c r="BK10" i="77"/>
  <c r="CA10" i="77"/>
  <c r="BA10" i="77"/>
  <c r="BO10" i="77"/>
  <c r="BY10" i="77"/>
  <c r="AV10" i="77"/>
  <c r="BZ10" i="77"/>
  <c r="AX10" i="77"/>
  <c r="BD10" i="77"/>
  <c r="BT10" i="77"/>
  <c r="BB10" i="77"/>
  <c r="BN10" i="77"/>
  <c r="BH10" i="77"/>
  <c r="AT10" i="77"/>
  <c r="BM10" i="77"/>
  <c r="BG10" i="77"/>
  <c r="AS10" i="77"/>
  <c r="AZ10" i="77"/>
  <c r="BL10" i="77"/>
  <c r="BX10" i="77"/>
  <c r="AQ37" i="77"/>
  <c r="AQ38" i="77" s="1"/>
  <c r="AQ39" i="77" s="1"/>
  <c r="AQ40" i="77" s="1"/>
  <c r="AQ41" i="77" s="1"/>
  <c r="AQ42" i="77" s="1"/>
  <c r="AQ43" i="77" s="1"/>
  <c r="AQ44" i="77" s="1"/>
  <c r="AQ45" i="77" s="1"/>
  <c r="AQ46" i="77" s="1"/>
  <c r="AQ47" i="77" s="1"/>
  <c r="AQ48" i="77" s="1"/>
  <c r="BZ11" i="77"/>
  <c r="BJ10" i="77"/>
  <c r="BC10" i="77"/>
  <c r="BS10" i="77"/>
  <c r="AU10" i="77"/>
  <c r="CC9" i="77"/>
  <c r="D5" i="2"/>
  <c r="BL11" i="77"/>
  <c r="BD11" i="77"/>
  <c r="AX11" i="77"/>
  <c r="AU11" i="77"/>
  <c r="BV11" i="77"/>
  <c r="CA11" i="77"/>
  <c r="BM11" i="77"/>
  <c r="BA11" i="77"/>
  <c r="AS11" i="77"/>
  <c r="BJ11" i="77"/>
  <c r="BK11" i="77"/>
  <c r="AR11" i="77"/>
  <c r="AV11" i="77"/>
  <c r="BX11" i="77"/>
  <c r="CB11" i="77"/>
  <c r="BT11" i="77"/>
  <c r="BB11" i="77"/>
  <c r="AZ11" i="77"/>
  <c r="BC11" i="77"/>
  <c r="BS11" i="77"/>
  <c r="BQ11" i="77"/>
  <c r="BI11" i="77"/>
  <c r="BF11" i="77"/>
  <c r="BE11" i="77"/>
  <c r="BR11" i="77"/>
  <c r="BU11" i="77"/>
  <c r="BH11" i="77"/>
  <c r="BT12" i="77"/>
  <c r="AT11" i="77"/>
  <c r="BY11" i="77"/>
  <c r="BN11" i="77"/>
  <c r="BP11" i="77"/>
  <c r="AW11" i="77"/>
  <c r="BG11" i="77"/>
  <c r="AY11" i="77"/>
  <c r="BW11" i="77"/>
  <c r="BO11" i="77"/>
  <c r="CC10" i="77" l="1"/>
  <c r="BF12" i="77"/>
  <c r="AS12" i="77"/>
  <c r="BY12" i="77"/>
  <c r="BS12" i="77"/>
  <c r="BV12" i="77"/>
  <c r="BI12" i="77"/>
  <c r="AV12" i="77"/>
  <c r="AW12" i="77"/>
  <c r="BZ12" i="77"/>
  <c r="CC11" i="77"/>
  <c r="BU12" i="77"/>
  <c r="BG12" i="77"/>
  <c r="BR12" i="77"/>
  <c r="BM12" i="77"/>
  <c r="BA12" i="77"/>
  <c r="BW12" i="77"/>
  <c r="BQ12" i="77"/>
  <c r="BX12" i="77"/>
  <c r="AX12" i="77"/>
  <c r="CA12" i="77"/>
  <c r="BN12" i="77"/>
  <c r="AU12" i="77"/>
  <c r="BE12" i="77"/>
  <c r="AZ12" i="77"/>
  <c r="AT12" i="77"/>
  <c r="BL12" i="77"/>
  <c r="BC12" i="77"/>
  <c r="AR12" i="77"/>
  <c r="BD12" i="77"/>
  <c r="AY12" i="77"/>
  <c r="BB12" i="77"/>
  <c r="BK12" i="77"/>
  <c r="BP12" i="77"/>
  <c r="BO12" i="77"/>
  <c r="CB12" i="77"/>
  <c r="BJ12" i="77"/>
  <c r="BH12" i="77"/>
  <c r="BS13" i="77" l="1"/>
  <c r="BC13" i="77"/>
  <c r="BV13" i="77"/>
  <c r="BF13" i="77"/>
  <c r="BX13" i="77"/>
  <c r="AR13" i="77"/>
  <c r="AW13" i="77"/>
  <c r="AV13" i="77"/>
  <c r="BA13" i="77"/>
  <c r="BZ13" i="77"/>
  <c r="AY13" i="77"/>
  <c r="BR13" i="77"/>
  <c r="BP13" i="77"/>
  <c r="BT13" i="77"/>
  <c r="AS13" i="77"/>
  <c r="BW13" i="77"/>
  <c r="BG13" i="77"/>
  <c r="CA13" i="77"/>
  <c r="BJ13" i="77"/>
  <c r="AT13" i="77"/>
  <c r="AZ13" i="77"/>
  <c r="BE13" i="77"/>
  <c r="BD13" i="77"/>
  <c r="BI13" i="77"/>
  <c r="BO13" i="77"/>
  <c r="BB13" i="77"/>
  <c r="BU13" i="77"/>
  <c r="BY13" i="77"/>
  <c r="CB13" i="77"/>
  <c r="BK13" i="77"/>
  <c r="AU13" i="77"/>
  <c r="BN13" i="77"/>
  <c r="AX13" i="77"/>
  <c r="BH13" i="77"/>
  <c r="BM13" i="77"/>
  <c r="BL13" i="77"/>
  <c r="BQ13" i="77"/>
  <c r="CC12" i="77"/>
  <c r="BX14" i="77" l="1"/>
  <c r="BH14" i="77"/>
  <c r="AR14" i="77"/>
  <c r="BK14" i="77"/>
  <c r="BZ14" i="77"/>
  <c r="BE14" i="77"/>
  <c r="BI14" i="77"/>
  <c r="AW14" i="77"/>
  <c r="AS14" i="77"/>
  <c r="BP14" i="77"/>
  <c r="AZ14" i="77"/>
  <c r="BV14" i="77"/>
  <c r="BA14" i="77"/>
  <c r="BO14" i="77"/>
  <c r="AT14" i="77"/>
  <c r="BR14" i="77"/>
  <c r="BN14" i="77"/>
  <c r="BM14" i="77"/>
  <c r="CB14" i="77"/>
  <c r="BL14" i="77"/>
  <c r="AV14" i="77"/>
  <c r="BQ14" i="77"/>
  <c r="AU14" i="77"/>
  <c r="BJ14" i="77"/>
  <c r="BS14" i="77"/>
  <c r="BG14" i="77"/>
  <c r="BC14" i="77"/>
  <c r="BB14" i="77"/>
  <c r="BT14" i="77"/>
  <c r="BD14" i="77"/>
  <c r="CA14" i="77"/>
  <c r="BF14" i="77"/>
  <c r="BU14" i="77"/>
  <c r="AY14" i="77"/>
  <c r="AX14" i="77"/>
  <c r="BY14" i="77"/>
  <c r="BW14" i="77"/>
  <c r="CC13" i="77"/>
  <c r="CB16" i="77" l="1"/>
  <c r="BL16" i="77"/>
  <c r="AV16" i="77"/>
  <c r="BQ16" i="77"/>
  <c r="AU16" i="77"/>
  <c r="BJ16" i="77"/>
  <c r="BY16" i="77"/>
  <c r="BC16" i="77"/>
  <c r="AW16" i="77"/>
  <c r="BH16" i="77"/>
  <c r="BK16" i="77"/>
  <c r="BE16" i="77"/>
  <c r="AX16" i="77"/>
  <c r="BP16" i="77"/>
  <c r="AZ16" i="77"/>
  <c r="BV16" i="77"/>
  <c r="BA16" i="77"/>
  <c r="BO16" i="77"/>
  <c r="AT16" i="77"/>
  <c r="BI16" i="77"/>
  <c r="BM16" i="77"/>
  <c r="BR16" i="77"/>
  <c r="BG16" i="77"/>
  <c r="BX16" i="77"/>
  <c r="AR16" i="77"/>
  <c r="BZ16" i="77"/>
  <c r="BS16" i="77"/>
  <c r="BW16" i="77"/>
  <c r="BT16" i="77"/>
  <c r="BD16" i="77"/>
  <c r="CA16" i="77"/>
  <c r="BF16" i="77"/>
  <c r="BU16" i="77"/>
  <c r="AY16" i="77"/>
  <c r="BN16" i="77"/>
  <c r="AS16" i="77"/>
  <c r="BB16" i="77"/>
  <c r="CC14" i="77"/>
  <c r="BZ15" i="77"/>
  <c r="BJ15" i="77"/>
  <c r="AT15" i="77"/>
  <c r="BL15" i="77"/>
  <c r="CA15" i="77"/>
  <c r="BE15" i="77"/>
  <c r="BT15" i="77"/>
  <c r="AY15" i="77"/>
  <c r="BS15" i="77"/>
  <c r="BH15" i="77"/>
  <c r="BR15" i="77"/>
  <c r="BB15" i="77"/>
  <c r="BW15" i="77"/>
  <c r="BA15" i="77"/>
  <c r="BP15" i="77"/>
  <c r="AU15" i="77"/>
  <c r="BI15" i="77"/>
  <c r="BX15" i="77"/>
  <c r="BM15" i="77"/>
  <c r="BN15" i="77"/>
  <c r="AX15" i="77"/>
  <c r="BQ15" i="77"/>
  <c r="AV15" i="77"/>
  <c r="BK15" i="77"/>
  <c r="BY15" i="77"/>
  <c r="BD15" i="77"/>
  <c r="BC15" i="77"/>
  <c r="AR15" i="77"/>
  <c r="BV15" i="77"/>
  <c r="BF15" i="77"/>
  <c r="CB15" i="77"/>
  <c r="BG15" i="77"/>
  <c r="BU15" i="77"/>
  <c r="AZ15" i="77"/>
  <c r="BO15" i="77"/>
  <c r="AS15" i="77"/>
  <c r="AW15" i="77"/>
  <c r="BN17" i="77"/>
  <c r="CC16" i="77" l="1"/>
  <c r="BP18" i="77"/>
  <c r="AS17" i="77"/>
  <c r="AZ17" i="77"/>
  <c r="BL17" i="77"/>
  <c r="BC17" i="77"/>
  <c r="BM17" i="77"/>
  <c r="BY17" i="77"/>
  <c r="BI17" i="77"/>
  <c r="AU17" i="77"/>
  <c r="BP17" i="77"/>
  <c r="BG17" i="77"/>
  <c r="BX17" i="77"/>
  <c r="BB17" i="77"/>
  <c r="BR17" i="77"/>
  <c r="AW17" i="77"/>
  <c r="BO17" i="77"/>
  <c r="BU17" i="77"/>
  <c r="CB17" i="77"/>
  <c r="BF17" i="77"/>
  <c r="BV17" i="77"/>
  <c r="BH17" i="77"/>
  <c r="BS17" i="77"/>
  <c r="AY17" i="77"/>
  <c r="BT17" i="77"/>
  <c r="BE17" i="77"/>
  <c r="AV17" i="77"/>
  <c r="BQ17" i="77"/>
  <c r="AT17" i="77"/>
  <c r="BJ17" i="77"/>
  <c r="BZ17" i="77"/>
  <c r="CC15" i="77"/>
  <c r="AR17" i="77"/>
  <c r="BD17" i="77"/>
  <c r="CA17" i="77"/>
  <c r="BK17" i="77"/>
  <c r="BA17" i="77"/>
  <c r="BW17" i="77"/>
  <c r="AX17" i="77"/>
  <c r="CC17" i="77" l="1"/>
  <c r="BZ19" i="77"/>
  <c r="BI18" i="77"/>
  <c r="BA18" i="77"/>
  <c r="BB18" i="77"/>
  <c r="BR18" i="77"/>
  <c r="AY18" i="77"/>
  <c r="BO18" i="77"/>
  <c r="AR18" i="77"/>
  <c r="BH18" i="77"/>
  <c r="BX18" i="77"/>
  <c r="AS18" i="77"/>
  <c r="AX18" i="77"/>
  <c r="BK18" i="77"/>
  <c r="BD18" i="77"/>
  <c r="BE18" i="77"/>
  <c r="BQ18" i="77"/>
  <c r="BV18" i="77"/>
  <c r="BC18" i="77"/>
  <c r="BS18" i="77"/>
  <c r="AV18" i="77"/>
  <c r="BL18" i="77"/>
  <c r="CB18" i="77"/>
  <c r="BM18" i="77"/>
  <c r="BN18" i="77"/>
  <c r="AU18" i="77"/>
  <c r="CA18" i="77"/>
  <c r="BT18" i="77"/>
  <c r="BY18" i="77"/>
  <c r="BF18" i="77"/>
  <c r="BU18" i="77"/>
  <c r="AW18" i="77"/>
  <c r="AT18" i="77"/>
  <c r="BJ18" i="77"/>
  <c r="BZ18" i="77"/>
  <c r="BG18" i="77"/>
  <c r="BW18" i="77"/>
  <c r="AZ18" i="77"/>
  <c r="CC18" i="77" l="1"/>
  <c r="BS19" i="77"/>
  <c r="AR19" i="77"/>
  <c r="BX19" i="77"/>
  <c r="BQ19" i="77"/>
  <c r="AX19" i="77"/>
  <c r="BN19" i="77"/>
  <c r="BG19" i="77"/>
  <c r="CA19" i="77"/>
  <c r="AV19" i="77"/>
  <c r="BL19" i="77"/>
  <c r="CB19" i="77"/>
  <c r="BE19" i="77"/>
  <c r="BU19" i="77"/>
  <c r="BB19" i="77"/>
  <c r="BR19" i="77"/>
  <c r="BK19" i="77"/>
  <c r="BH19" i="77"/>
  <c r="BA19" i="77"/>
  <c r="BW19" i="77"/>
  <c r="AZ19" i="77"/>
  <c r="AS19" i="77"/>
  <c r="BF19" i="77"/>
  <c r="BT20" i="77"/>
  <c r="AY19" i="77"/>
  <c r="BP19" i="77"/>
  <c r="BI19" i="77"/>
  <c r="BY19" i="77"/>
  <c r="BV19" i="77"/>
  <c r="BC19" i="77"/>
  <c r="AU19" i="77"/>
  <c r="BO19" i="77"/>
  <c r="BD19" i="77"/>
  <c r="BT19" i="77"/>
  <c r="AW19" i="77"/>
  <c r="BM19" i="77"/>
  <c r="AT19" i="77"/>
  <c r="BJ19" i="77"/>
  <c r="CC19" i="77" l="1"/>
  <c r="BZ21" i="77"/>
  <c r="BI20" i="77"/>
  <c r="BA20" i="77"/>
  <c r="BB20" i="77"/>
  <c r="BR20" i="77"/>
  <c r="AY20" i="77"/>
  <c r="BO20" i="77"/>
  <c r="AR20" i="77"/>
  <c r="BH20" i="77"/>
  <c r="BX20" i="77"/>
  <c r="BY20" i="77"/>
  <c r="BF20" i="77"/>
  <c r="BC20" i="77"/>
  <c r="AV20" i="77"/>
  <c r="BL20" i="77"/>
  <c r="CB20" i="77"/>
  <c r="BU20" i="77"/>
  <c r="AW20" i="77"/>
  <c r="AT20" i="77"/>
  <c r="BJ20" i="77"/>
  <c r="BZ20" i="77"/>
  <c r="BG20" i="77"/>
  <c r="BW20" i="77"/>
  <c r="AZ20" i="77"/>
  <c r="BP20" i="77"/>
  <c r="BE20" i="77"/>
  <c r="BQ20" i="77"/>
  <c r="BV20" i="77"/>
  <c r="BS20" i="77"/>
  <c r="AS20" i="77"/>
  <c r="BM20" i="77"/>
  <c r="AX20" i="77"/>
  <c r="BN20" i="77"/>
  <c r="AU20" i="77"/>
  <c r="BK20" i="77"/>
  <c r="CA20" i="77"/>
  <c r="BD20" i="77"/>
  <c r="CC20" i="77" l="1"/>
  <c r="BS21" i="77"/>
  <c r="AR21" i="77"/>
  <c r="BX21" i="77"/>
  <c r="BQ21" i="77"/>
  <c r="AX21" i="77"/>
  <c r="BG21" i="77"/>
  <c r="CA21" i="77"/>
  <c r="AV21" i="77"/>
  <c r="BL21" i="77"/>
  <c r="CB21" i="77"/>
  <c r="BE21" i="77"/>
  <c r="BU21" i="77"/>
  <c r="BB21" i="77"/>
  <c r="BR21" i="77"/>
  <c r="BT22" i="77"/>
  <c r="AY21" i="77"/>
  <c r="BP21" i="77"/>
  <c r="BY21" i="77"/>
  <c r="BK21" i="77"/>
  <c r="BH21" i="77"/>
  <c r="BA21" i="77"/>
  <c r="BN21" i="77"/>
  <c r="BW21" i="77"/>
  <c r="AZ21" i="77"/>
  <c r="AS21" i="77"/>
  <c r="BI21" i="77"/>
  <c r="BF21" i="77"/>
  <c r="BV21" i="77"/>
  <c r="BC21" i="77"/>
  <c r="AU21" i="77"/>
  <c r="BO21" i="77"/>
  <c r="BD21" i="77"/>
  <c r="BT21" i="77"/>
  <c r="AW21" i="77"/>
  <c r="BM21" i="77"/>
  <c r="AT21" i="77"/>
  <c r="BJ21" i="77"/>
  <c r="CC21" i="77" l="1"/>
  <c r="CB23" i="77"/>
  <c r="BI22" i="77"/>
  <c r="BA22" i="77"/>
  <c r="BB22" i="77"/>
  <c r="BR22" i="77"/>
  <c r="AY22" i="77"/>
  <c r="BO22" i="77"/>
  <c r="AR22" i="77"/>
  <c r="BH22" i="77"/>
  <c r="BX22" i="77"/>
  <c r="BY22" i="77"/>
  <c r="BF22" i="77"/>
  <c r="BC22" i="77"/>
  <c r="AV22" i="77"/>
  <c r="CB22" i="77"/>
  <c r="BU22" i="77"/>
  <c r="AW22" i="77"/>
  <c r="AT22" i="77"/>
  <c r="BJ22" i="77"/>
  <c r="BZ22" i="77"/>
  <c r="BG22" i="77"/>
  <c r="BW22" i="77"/>
  <c r="AZ22" i="77"/>
  <c r="BP22" i="77"/>
  <c r="BE22" i="77"/>
  <c r="BQ22" i="77"/>
  <c r="BV22" i="77"/>
  <c r="BS22" i="77"/>
  <c r="BL22" i="77"/>
  <c r="AS22" i="77"/>
  <c r="BM22" i="77"/>
  <c r="AX22" i="77"/>
  <c r="BN22" i="77"/>
  <c r="AU22" i="77"/>
  <c r="BK22" i="77"/>
  <c r="CA22" i="77"/>
  <c r="BD22" i="77"/>
  <c r="CC22" i="77" l="1"/>
  <c r="BV23" i="77"/>
  <c r="AZ23" i="77"/>
  <c r="BA23" i="77"/>
  <c r="BB23" i="77"/>
  <c r="BU23" i="77"/>
  <c r="BP23" i="77"/>
  <c r="BG23" i="77"/>
  <c r="BQ23" i="77"/>
  <c r="BD23" i="77"/>
  <c r="BW23" i="77"/>
  <c r="BE23" i="77"/>
  <c r="BY23" i="77"/>
  <c r="BF23" i="77"/>
  <c r="CA23" i="77"/>
  <c r="BT23" i="77"/>
  <c r="AY23" i="77"/>
  <c r="BR23" i="77"/>
  <c r="BS23" i="77"/>
  <c r="AU23" i="77"/>
  <c r="BH23" i="77"/>
  <c r="BI23" i="77"/>
  <c r="BJ23" i="77"/>
  <c r="BX23" i="77"/>
  <c r="BR24" i="77"/>
  <c r="AR23" i="77"/>
  <c r="AS23" i="77"/>
  <c r="AT23" i="77"/>
  <c r="BZ23" i="77"/>
  <c r="BC23" i="77"/>
  <c r="BK23" i="77"/>
  <c r="AV23" i="77"/>
  <c r="BM23" i="77"/>
  <c r="AW23" i="77"/>
  <c r="BN23" i="77"/>
  <c r="AX23" i="77"/>
  <c r="BO23" i="77"/>
  <c r="BL23" i="77"/>
  <c r="CC23" i="77" l="1"/>
  <c r="BA24" i="77"/>
  <c r="AW24" i="77"/>
  <c r="AR24" i="77"/>
  <c r="BX24" i="77"/>
  <c r="BI24" i="77"/>
  <c r="BK24" i="77"/>
  <c r="BG24" i="77"/>
  <c r="BL24" i="77"/>
  <c r="CB24" i="77"/>
  <c r="BF24" i="77"/>
  <c r="BV24" i="77"/>
  <c r="BQ24" i="77"/>
  <c r="BM24" i="77"/>
  <c r="AZ24" i="77"/>
  <c r="BJ24" i="77"/>
  <c r="BP25" i="77"/>
  <c r="BE24" i="77"/>
  <c r="AV24" i="77"/>
  <c r="AS24" i="77"/>
  <c r="BS24" i="77"/>
  <c r="BO24" i="77"/>
  <c r="BP24" i="77"/>
  <c r="AT24" i="77"/>
  <c r="BZ24" i="77"/>
  <c r="BY24" i="77"/>
  <c r="AU24" i="77"/>
  <c r="CA24" i="77"/>
  <c r="BU24" i="77"/>
  <c r="BW24" i="77"/>
  <c r="BD24" i="77"/>
  <c r="BT24" i="77"/>
  <c r="AX24" i="77"/>
  <c r="BN24" i="77"/>
  <c r="BC24" i="77"/>
  <c r="AY24" i="77"/>
  <c r="BH24" i="77"/>
  <c r="BB24" i="77"/>
  <c r="CC24" i="77" l="1"/>
  <c r="BZ26" i="77"/>
  <c r="BA25" i="77"/>
  <c r="BR25" i="77"/>
  <c r="BO25" i="77"/>
  <c r="BX25" i="77"/>
  <c r="AS25" i="77"/>
  <c r="AX25" i="77"/>
  <c r="AU25" i="77"/>
  <c r="CA25" i="77"/>
  <c r="BD25" i="77"/>
  <c r="BT25" i="77"/>
  <c r="BI25" i="77"/>
  <c r="BB25" i="77"/>
  <c r="AY25" i="77"/>
  <c r="AR25" i="77"/>
  <c r="BH25" i="77"/>
  <c r="BU25" i="77"/>
  <c r="BY25" i="77"/>
  <c r="BQ25" i="77"/>
  <c r="BF25" i="77"/>
  <c r="BV25" i="77"/>
  <c r="BC25" i="77"/>
  <c r="BS25" i="77"/>
  <c r="AV25" i="77"/>
  <c r="BL25" i="77"/>
  <c r="CB25" i="77"/>
  <c r="BM25" i="77"/>
  <c r="BN25" i="77"/>
  <c r="BK25" i="77"/>
  <c r="BE25" i="77"/>
  <c r="AW25" i="77"/>
  <c r="AT25" i="77"/>
  <c r="BJ25" i="77"/>
  <c r="BZ25" i="77"/>
  <c r="BG25" i="77"/>
  <c r="BW25" i="77"/>
  <c r="AZ25" i="77"/>
  <c r="CC25" i="77" l="1"/>
  <c r="BK26" i="77"/>
  <c r="BX26" i="77"/>
  <c r="BQ26" i="77"/>
  <c r="BN26" i="77"/>
  <c r="BG26" i="77"/>
  <c r="CA26" i="77"/>
  <c r="AV26" i="77"/>
  <c r="BL26" i="77"/>
  <c r="CB26" i="77"/>
  <c r="BE26" i="77"/>
  <c r="BU26" i="77"/>
  <c r="BB26" i="77"/>
  <c r="BR26" i="77"/>
  <c r="BP27" i="77"/>
  <c r="AY26" i="77"/>
  <c r="BP26" i="77"/>
  <c r="BI26" i="77"/>
  <c r="BF26" i="77"/>
  <c r="BV26" i="77"/>
  <c r="BC26" i="77"/>
  <c r="AR26" i="77"/>
  <c r="BH26" i="77"/>
  <c r="BA26" i="77"/>
  <c r="AX26" i="77"/>
  <c r="BW26" i="77"/>
  <c r="AZ26" i="77"/>
  <c r="AS26" i="77"/>
  <c r="BY26" i="77"/>
  <c r="BS26" i="77"/>
  <c r="AU26" i="77"/>
  <c r="BO26" i="77"/>
  <c r="BD26" i="77"/>
  <c r="BT26" i="77"/>
  <c r="AW26" i="77"/>
  <c r="BM26" i="77"/>
  <c r="AT26" i="77"/>
  <c r="BJ26" i="77"/>
  <c r="CC26" i="77" l="1"/>
  <c r="BY27" i="77"/>
  <c r="BF27" i="77"/>
  <c r="BC27" i="77"/>
  <c r="AW27" i="77"/>
  <c r="BJ27" i="77"/>
  <c r="BG27" i="77"/>
  <c r="AS27" i="77"/>
  <c r="BM27" i="77"/>
  <c r="AX27" i="77"/>
  <c r="BN27" i="77"/>
  <c r="AU27" i="77"/>
  <c r="BK27" i="77"/>
  <c r="CA27" i="77"/>
  <c r="BD27" i="77"/>
  <c r="BT27" i="77"/>
  <c r="CB28" i="77"/>
  <c r="BI27" i="77"/>
  <c r="BA27" i="77"/>
  <c r="BB27" i="77"/>
  <c r="BR27" i="77"/>
  <c r="AY27" i="77"/>
  <c r="BO27" i="77"/>
  <c r="AR27" i="77"/>
  <c r="BH27" i="77"/>
  <c r="BX27" i="77"/>
  <c r="BU27" i="77"/>
  <c r="BQ27" i="77"/>
  <c r="BV27" i="77"/>
  <c r="BS27" i="77"/>
  <c r="AV27" i="77"/>
  <c r="BL27" i="77"/>
  <c r="CB27" i="77"/>
  <c r="BE27" i="77"/>
  <c r="AT27" i="77"/>
  <c r="BZ27" i="77"/>
  <c r="BW27" i="77"/>
  <c r="AZ27" i="77"/>
  <c r="CC27" i="77" l="1"/>
  <c r="BO28" i="77"/>
  <c r="AU28" i="77"/>
  <c r="BH28" i="77"/>
  <c r="BU28" i="77"/>
  <c r="BZ29" i="77"/>
  <c r="BD28" i="77"/>
  <c r="BA28" i="77"/>
  <c r="AX28" i="77"/>
  <c r="BS28" i="77"/>
  <c r="AR28" i="77"/>
  <c r="BY28" i="77"/>
  <c r="BE28" i="77"/>
  <c r="BB28" i="77"/>
  <c r="BR28" i="77"/>
  <c r="BZ28" i="77"/>
  <c r="BC28" i="77"/>
  <c r="BK28" i="77"/>
  <c r="AV28" i="77"/>
  <c r="BL28" i="77"/>
  <c r="AS28" i="77"/>
  <c r="BI28" i="77"/>
  <c r="CA28" i="77"/>
  <c r="BF28" i="77"/>
  <c r="BW28" i="77"/>
  <c r="BX28" i="77"/>
  <c r="BT28" i="77"/>
  <c r="BQ28" i="77"/>
  <c r="BN28" i="77"/>
  <c r="BV28" i="77"/>
  <c r="BG28" i="77"/>
  <c r="AY28" i="77"/>
  <c r="AZ28" i="77"/>
  <c r="BP28" i="77"/>
  <c r="AW28" i="77"/>
  <c r="BM28" i="77"/>
  <c r="AT28" i="77"/>
  <c r="BJ28" i="77"/>
  <c r="CC28" i="77" l="1"/>
  <c r="AU29" i="77"/>
  <c r="BU29" i="77"/>
  <c r="BD29" i="77"/>
  <c r="AX29" i="77"/>
  <c r="BN29" i="77"/>
  <c r="BY29" i="77"/>
  <c r="BC29" i="77"/>
  <c r="AW29" i="77"/>
  <c r="AY29" i="77"/>
  <c r="AR29" i="77"/>
  <c r="BH29" i="77"/>
  <c r="BX29" i="77"/>
  <c r="BB29" i="77"/>
  <c r="BR29" i="77"/>
  <c r="BT30" i="77"/>
  <c r="BE29" i="77"/>
  <c r="AV29" i="77"/>
  <c r="AS29" i="77"/>
  <c r="CA29" i="77"/>
  <c r="BW29" i="77"/>
  <c r="BT29" i="77"/>
  <c r="BA29" i="77"/>
  <c r="BK29" i="77"/>
  <c r="BG29" i="77"/>
  <c r="BL29" i="77"/>
  <c r="CB29" i="77"/>
  <c r="BF29" i="77"/>
  <c r="BV29" i="77"/>
  <c r="BQ29" i="77"/>
  <c r="BI29" i="77"/>
  <c r="BS29" i="77"/>
  <c r="BM29" i="77"/>
  <c r="BO29" i="77"/>
  <c r="AZ29" i="77"/>
  <c r="BP29" i="77"/>
  <c r="AT29" i="77"/>
  <c r="BJ29" i="77"/>
  <c r="CC29" i="77" l="1"/>
  <c r="CA31" i="77"/>
  <c r="BU30" i="77"/>
  <c r="BW30" i="77"/>
  <c r="BQ30" i="77"/>
  <c r="BK30" i="77"/>
  <c r="AX30" i="77"/>
  <c r="BN30" i="77"/>
  <c r="AR30" i="77"/>
  <c r="BH30" i="77"/>
  <c r="BX30" i="77"/>
  <c r="AW30" i="77"/>
  <c r="AS30" i="77"/>
  <c r="BS30" i="77"/>
  <c r="BR30" i="77"/>
  <c r="AV30" i="77"/>
  <c r="BL30" i="77"/>
  <c r="CB30" i="77"/>
  <c r="BE30" i="77"/>
  <c r="BG30" i="77"/>
  <c r="BA30" i="77"/>
  <c r="AU30" i="77"/>
  <c r="CA30" i="77"/>
  <c r="BF30" i="77"/>
  <c r="BV30" i="77"/>
  <c r="AZ30" i="77"/>
  <c r="BP30" i="77"/>
  <c r="AY30" i="77"/>
  <c r="BY30" i="77"/>
  <c r="BB30" i="77"/>
  <c r="BM30" i="77"/>
  <c r="BO30" i="77"/>
  <c r="BI30" i="77"/>
  <c r="BC30" i="77"/>
  <c r="AT30" i="77"/>
  <c r="BJ30" i="77"/>
  <c r="BZ30" i="77"/>
  <c r="BD30" i="77"/>
  <c r="CC30" i="77" l="1"/>
  <c r="BI31" i="77"/>
  <c r="BQ31" i="77"/>
  <c r="BH31" i="77"/>
  <c r="BB31" i="77"/>
  <c r="BO31" i="77"/>
  <c r="BY31" i="77"/>
  <c r="BM31" i="77"/>
  <c r="AY31" i="77"/>
  <c r="AV31" i="77"/>
  <c r="BL31" i="77"/>
  <c r="CB31" i="77"/>
  <c r="BF31" i="77"/>
  <c r="BV31" i="77"/>
  <c r="BS31" i="77"/>
  <c r="BC31" i="77"/>
  <c r="AR31" i="77"/>
  <c r="BX31" i="77"/>
  <c r="BR31" i="77"/>
  <c r="AS31" i="77"/>
  <c r="BG31" i="77"/>
  <c r="BP31" i="77"/>
  <c r="BZ31" i="77"/>
  <c r="BM32" i="77"/>
  <c r="AW31" i="77"/>
  <c r="AZ31" i="77"/>
  <c r="AT31" i="77"/>
  <c r="BJ31" i="77"/>
  <c r="BW31" i="77"/>
  <c r="BA31" i="77"/>
  <c r="AU31" i="77"/>
  <c r="BE31" i="77"/>
  <c r="BU31" i="77"/>
  <c r="BD31" i="77"/>
  <c r="BT31" i="77"/>
  <c r="AX31" i="77"/>
  <c r="BN31" i="77"/>
  <c r="BK31" i="77"/>
  <c r="CC31" i="77" l="1"/>
  <c r="BC32" i="77"/>
  <c r="AV32" i="77"/>
  <c r="AY32" i="77"/>
  <c r="BJ32" i="77"/>
  <c r="BD32" i="77"/>
  <c r="AU32" i="77"/>
  <c r="BO32" i="77"/>
  <c r="AX32" i="77"/>
  <c r="BN32" i="77"/>
  <c r="AR32" i="77"/>
  <c r="BH32" i="77"/>
  <c r="BX32" i="77"/>
  <c r="BA32" i="77"/>
  <c r="BQ32" i="77"/>
  <c r="BS33" i="77"/>
  <c r="BB32" i="77"/>
  <c r="BL32" i="77"/>
  <c r="CB32" i="77"/>
  <c r="BE32" i="77"/>
  <c r="BU32" i="77"/>
  <c r="BG32" i="77"/>
  <c r="CA32" i="77"/>
  <c r="BS32" i="77"/>
  <c r="BF32" i="77"/>
  <c r="BV32" i="77"/>
  <c r="AZ32" i="77"/>
  <c r="BP32" i="77"/>
  <c r="AS32" i="77"/>
  <c r="BI32" i="77"/>
  <c r="BY32" i="77"/>
  <c r="BK32" i="77"/>
  <c r="BR32" i="77"/>
  <c r="BW32" i="77"/>
  <c r="AT32" i="77"/>
  <c r="BZ32" i="77"/>
  <c r="BT32" i="77"/>
  <c r="AW32" i="77"/>
  <c r="CC32" i="77" l="1"/>
  <c r="BY34" i="77"/>
  <c r="AW33" i="77"/>
  <c r="BE33" i="77"/>
  <c r="AZ33" i="77"/>
  <c r="BP33" i="77"/>
  <c r="AT33" i="77"/>
  <c r="BJ33" i="77"/>
  <c r="BZ33" i="77"/>
  <c r="BG33" i="77"/>
  <c r="BW33" i="77"/>
  <c r="BM33" i="77"/>
  <c r="BD33" i="77"/>
  <c r="AX33" i="77"/>
  <c r="AU33" i="77"/>
  <c r="BK33" i="77"/>
  <c r="CA33" i="77"/>
  <c r="AS33" i="77"/>
  <c r="AR33" i="77"/>
  <c r="BX33" i="77"/>
  <c r="BB33" i="77"/>
  <c r="BR33" i="77"/>
  <c r="AY33" i="77"/>
  <c r="BO33" i="77"/>
  <c r="BY33" i="77"/>
  <c r="BU33" i="77"/>
  <c r="BT33" i="77"/>
  <c r="BN33" i="77"/>
  <c r="BA33" i="77"/>
  <c r="BH33" i="77"/>
  <c r="BI33" i="77"/>
  <c r="BQ33" i="77"/>
  <c r="AV33" i="77"/>
  <c r="BL33" i="77"/>
  <c r="CB33" i="77"/>
  <c r="BF33" i="77"/>
  <c r="BV33" i="77"/>
  <c r="BC33" i="77"/>
  <c r="CC33" i="77" l="1"/>
  <c r="AY34" i="77"/>
  <c r="BJ34" i="77"/>
  <c r="BD34" i="77"/>
  <c r="BT34" i="77"/>
  <c r="AW34" i="77"/>
  <c r="BM34" i="77"/>
  <c r="AU34" i="77"/>
  <c r="BO34" i="77"/>
  <c r="AX34" i="77"/>
  <c r="BN34" i="77"/>
  <c r="AR34" i="77"/>
  <c r="BH34" i="77"/>
  <c r="BX34" i="77"/>
  <c r="BA34" i="77"/>
  <c r="BQ34" i="77"/>
  <c r="BW34" i="77"/>
  <c r="AT34" i="77"/>
  <c r="BZ34" i="77"/>
  <c r="BK34" i="77"/>
  <c r="BR34" i="77"/>
  <c r="BL34" i="77"/>
  <c r="BU34" i="77"/>
  <c r="BS35" i="77"/>
  <c r="BC34" i="77"/>
  <c r="BB34" i="77"/>
  <c r="AV34" i="77"/>
  <c r="CB34" i="77"/>
  <c r="BE34" i="77"/>
  <c r="BG34" i="77"/>
  <c r="CA34" i="77"/>
  <c r="BS34" i="77"/>
  <c r="BF34" i="77"/>
  <c r="BV34" i="77"/>
  <c r="AZ34" i="77"/>
  <c r="BP34" i="77"/>
  <c r="AS34" i="77"/>
  <c r="BI34" i="77"/>
  <c r="CC34" i="77" l="1"/>
  <c r="BY36" i="77"/>
  <c r="AW35" i="77"/>
  <c r="BE35" i="77"/>
  <c r="AZ35" i="77"/>
  <c r="BP35" i="77"/>
  <c r="AT35" i="77"/>
  <c r="BJ35" i="77"/>
  <c r="BZ35" i="77"/>
  <c r="BG35" i="77"/>
  <c r="BW35" i="77"/>
  <c r="BM35" i="77"/>
  <c r="BD35" i="77"/>
  <c r="AX35" i="77"/>
  <c r="AU35" i="77"/>
  <c r="BI35" i="77"/>
  <c r="BA35" i="77"/>
  <c r="AR35" i="77"/>
  <c r="BH35" i="77"/>
  <c r="BX35" i="77"/>
  <c r="BB35" i="77"/>
  <c r="BR35" i="77"/>
  <c r="AY35" i="77"/>
  <c r="BO35" i="77"/>
  <c r="AS35" i="77"/>
  <c r="BU35" i="77"/>
  <c r="BT35" i="77"/>
  <c r="BN35" i="77"/>
  <c r="BK35" i="77"/>
  <c r="CA35" i="77"/>
  <c r="BY35" i="77"/>
  <c r="BQ35" i="77"/>
  <c r="AV35" i="77"/>
  <c r="BL35" i="77"/>
  <c r="CB35" i="77"/>
  <c r="BF35" i="77"/>
  <c r="BV35" i="77"/>
  <c r="BC35" i="77"/>
  <c r="CC35" i="77" l="1"/>
  <c r="BW36" i="77"/>
  <c r="BJ36" i="77"/>
  <c r="BT36" i="77"/>
  <c r="BM36" i="77"/>
  <c r="AU36" i="77"/>
  <c r="BO36" i="77"/>
  <c r="AX36" i="77"/>
  <c r="BN36" i="77"/>
  <c r="AR36" i="77"/>
  <c r="BH36" i="77"/>
  <c r="BX36" i="77"/>
  <c r="BA36" i="77"/>
  <c r="BQ36" i="77"/>
  <c r="AY36" i="77"/>
  <c r="BZ36" i="77"/>
  <c r="BK36" i="77"/>
  <c r="BB36" i="77"/>
  <c r="BL36" i="77"/>
  <c r="BE36" i="77"/>
  <c r="BU36" i="77"/>
  <c r="AT36" i="77"/>
  <c r="BD36" i="77"/>
  <c r="AW36" i="77"/>
  <c r="BC36" i="77"/>
  <c r="BR36" i="77"/>
  <c r="AV36" i="77"/>
  <c r="CB36" i="77"/>
  <c r="BG36" i="77"/>
  <c r="CA36" i="77"/>
  <c r="BS36" i="77"/>
  <c r="BF36" i="77"/>
  <c r="BV36" i="77"/>
  <c r="AZ36" i="77"/>
  <c r="BP36" i="77"/>
  <c r="AS36" i="77"/>
  <c r="BI36" i="77"/>
  <c r="CC36" i="77" l="1"/>
</calcChain>
</file>

<file path=xl/comments1.xml><?xml version="1.0" encoding="utf-8"?>
<comments xmlns="http://schemas.openxmlformats.org/spreadsheetml/2006/main">
  <authors>
    <author>BARRACLOUGH David</author>
  </authors>
  <commentList>
    <comment ref="C1" authorId="0" shapeId="0">
      <text>
        <r>
          <rPr>
            <b/>
            <sz val="9"/>
            <color indexed="81"/>
            <rFont val="Tahoma"/>
            <charset val="1"/>
          </rPr>
          <t>BARRACLOUGH David:</t>
        </r>
        <r>
          <rPr>
            <sz val="9"/>
            <color indexed="81"/>
            <rFont val="Tahoma"/>
            <charset val="1"/>
          </rPr>
          <t xml:space="preserve">
When regional codes are required, the codelist should be CL_REGIONAL</t>
        </r>
      </text>
    </comment>
  </commentList>
</comments>
</file>

<file path=xl/connections.xml><?xml version="1.0" encoding="utf-8"?>
<connections xmlns="http://schemas.openxmlformats.org/spreadsheetml/2006/main">
  <connection id="1" name="schema" type="4" refreshedVersion="0" background="1">
    <webPr xml="1" sourceData="1" url="C:\Users\barraclough_d\Downloads\schema.xml" htmlTables="1" htmlFormat="all"/>
  </connection>
</connections>
</file>

<file path=xl/sharedStrings.xml><?xml version="1.0" encoding="utf-8"?>
<sst xmlns="http://schemas.openxmlformats.org/spreadsheetml/2006/main" count="1285" uniqueCount="972">
  <si>
    <t>H</t>
  </si>
  <si>
    <t>M</t>
  </si>
  <si>
    <t>S</t>
  </si>
  <si>
    <t>D</t>
  </si>
  <si>
    <t>Concept Name</t>
  </si>
  <si>
    <t>Frequency</t>
  </si>
  <si>
    <t>Code</t>
  </si>
  <si>
    <t>Q</t>
  </si>
  <si>
    <t>B</t>
  </si>
  <si>
    <t>Description</t>
  </si>
  <si>
    <t>C</t>
  </si>
  <si>
    <t>A</t>
  </si>
  <si>
    <t>N</t>
  </si>
  <si>
    <t>F</t>
  </si>
  <si>
    <t>W</t>
  </si>
  <si>
    <t>SDMX</t>
  </si>
  <si>
    <t>REF_AREA</t>
  </si>
  <si>
    <t xml:space="preserve">Reference area </t>
  </si>
  <si>
    <t>FREQ</t>
  </si>
  <si>
    <t>CL_FREQ</t>
  </si>
  <si>
    <t>UNIT_MEASURE</t>
  </si>
  <si>
    <t>D (Frequency)</t>
  </si>
  <si>
    <t>D (Time)</t>
  </si>
  <si>
    <t>Annual</t>
  </si>
  <si>
    <t>Quarterly</t>
  </si>
  <si>
    <t>Hourly</t>
  </si>
  <si>
    <t>A (series, optional)</t>
  </si>
  <si>
    <t>CONF_STATUS</t>
  </si>
  <si>
    <t>DECIMALS</t>
  </si>
  <si>
    <t>OBS_STATUS</t>
  </si>
  <si>
    <t>UNIT_MULT</t>
  </si>
  <si>
    <t>CL_CONF_STATUS</t>
  </si>
  <si>
    <t>CL_OBS_STATUS</t>
  </si>
  <si>
    <t>CL_UNIT_MULT</t>
  </si>
  <si>
    <t>Confidentiality status</t>
  </si>
  <si>
    <t>Decimals</t>
  </si>
  <si>
    <t>Observation status</t>
  </si>
  <si>
    <t>Unit multiplier</t>
  </si>
  <si>
    <t>OBS_VALUE</t>
  </si>
  <si>
    <t>Observation value</t>
  </si>
  <si>
    <t>A (series, mandatory)</t>
  </si>
  <si>
    <t>TIME_PERIOD</t>
  </si>
  <si>
    <t>ObservationalTimePeriod</t>
  </si>
  <si>
    <t>Agency</t>
  </si>
  <si>
    <t>Version</t>
  </si>
  <si>
    <t>Annotation</t>
  </si>
  <si>
    <t>Type</t>
  </si>
  <si>
    <t>String</t>
  </si>
  <si>
    <t>Integer</t>
  </si>
  <si>
    <t>Dimension (D)
Attribute (A)
Measure (M)</t>
  </si>
  <si>
    <t>Time period</t>
  </si>
  <si>
    <t>Code List and 
Registry Link</t>
  </si>
  <si>
    <t>Uncoded</t>
  </si>
  <si>
    <t>Confidential statistical information</t>
  </si>
  <si>
    <t>Secondary confidentiality set by the sender, not for publication</t>
  </si>
  <si>
    <t>Not for publication, restricted for internal use only</t>
  </si>
  <si>
    <t>Secondary confidentiality set and managed by the receiver, not for publication</t>
  </si>
  <si>
    <t>CCYYMMDDhhmm</t>
  </si>
  <si>
    <t>CCYYMMDD</t>
  </si>
  <si>
    <t>P1D</t>
  </si>
  <si>
    <t>Used only in SDMX-ML messages</t>
  </si>
  <si>
    <t>P1M</t>
  </si>
  <si>
    <t>Monthly</t>
  </si>
  <si>
    <t>P1Y</t>
  </si>
  <si>
    <t>P3M</t>
  </si>
  <si>
    <t>P6M</t>
  </si>
  <si>
    <t>Half-yearly, semester</t>
  </si>
  <si>
    <t>P7D</t>
  </si>
  <si>
    <t>Weekly</t>
  </si>
  <si>
    <t>PT1M</t>
  </si>
  <si>
    <t>Minutely</t>
  </si>
  <si>
    <t>CCYYWWCCYYWW</t>
  </si>
  <si>
    <t>CCYYMMCCYYMM</t>
  </si>
  <si>
    <t>(Used in SDMX-EDI for series with freq. higher than daily) year/month/day/hours/minutes</t>
  </si>
  <si>
    <t>(Used in SDMX-EDI for daily and business series) year/month/day</t>
  </si>
  <si>
    <t>(Used in SDMX-EDI for weekly series) year/week</t>
  </si>
  <si>
    <t>(Used in SDMX-EDI for monthly series) year/month</t>
  </si>
  <si>
    <t>(Used in SDMX-EDI for quarterly series) year/quarter</t>
  </si>
  <si>
    <t>(Used in SDMX-EDI for half yearly series) year/semester</t>
  </si>
  <si>
    <t>(Used in SDMX-EDI for annual series) year</t>
  </si>
  <si>
    <t>(Used in SDMX-EDI for series with freq. higher than daily) year/month/day/hours/minutes to year/month/day/hours/minutes</t>
  </si>
  <si>
    <t>(Used in SDMX-EDI for daily and business series) from year/month/day to year/month/day</t>
  </si>
  <si>
    <t>(Used in SDMX-EDI for weekly series) from year/week to year/week</t>
  </si>
  <si>
    <t>(Used in SDMX-EDI for monthly series) from year/month to year/month</t>
  </si>
  <si>
    <t>CCYYQCCYYQ</t>
  </si>
  <si>
    <t>CCYYSCCYYS</t>
  </si>
  <si>
    <t>CCYYCCYY</t>
  </si>
  <si>
    <t>(Used in SDMX-EDI for quarterly series) from year/quarter to year/quarter</t>
  </si>
  <si>
    <t>(Used in SDMX-EDI for half yearly series) from half-year to half-year</t>
  </si>
  <si>
    <t>(Used in SDMX-EDI for annual series) from year to year</t>
  </si>
  <si>
    <t>Free (free for publication)</t>
  </si>
  <si>
    <t>Used for observations without any special sensitivity considerations and which can thus be freely shared. Usually, source organisations provide information and guidance on general requirements for re-dissemination  (like mentioning the source) either on their websites or in their paper publications. In some institutional environments the term "unclassified" is used in a sense that still denotes implied restrictions in the circulation of information. If this is the case, the organisations concerned may probably consider that "free" (value F) is not the appropriate tag for this kind of "unclassified" category and that "Not for publication, restricted for internal use only" (value N) may be more appropriate.</t>
  </si>
  <si>
    <t xml:space="preserve">Used to denote observations that are restricted for internal use only within organisations. </t>
  </si>
  <si>
    <t>Confidential statistical information (primary confidentiality) due to identifiable respondents. Measures also should be taken to prevent not only direct access, but also indirect deduction or calculation by other users and parties, probably by considering and treating additional observations as "confidential" (secondary confidentiality management).</t>
  </si>
  <si>
    <t xml:space="preserve">Used by the sender of the data to flag (beyond the confidential statistical information) additional observations in the dataset so that the receiver knows that he/she should suppress these observations in subsequent stages of processing (especially dissemination) in order to prevent third parties to indirectly deduct the observations that are genuinely flagged with "C". </t>
  </si>
  <si>
    <t>If senders do not manage the secondary confidentiality in their data and/or there are also other countries' data involved (with the intention to eventually compile a regional-wide aggregate that is going to be published), the value "S" is used by the receiver to flag additional suppressed observations (within sender’s data and/or within the datasets of other senders) in subsequent stages of processing (especially, dissemination) in order to prevent third parties to indirectly deduct the observations that were genuinely flagged with "C" by the sender.</t>
  </si>
  <si>
    <t>Primary confidentiality due to small counts</t>
  </si>
  <si>
    <t xml:space="preserve">A cell is flagged as confidential if less than m units ("too few units") contribute to the total of that cell. The limits of what constitutes "small counts" can vary across statistical domains, countries, etc. </t>
  </si>
  <si>
    <t>O</t>
  </si>
  <si>
    <t>Primary confidentiality due to dominance by one unit</t>
  </si>
  <si>
    <t xml:space="preserve">Used when one unit accounts for more than x % of the total of a cell. The value of x can vary across statistical domains or countries, be influenced by legislation, etc. </t>
  </si>
  <si>
    <t>T</t>
  </si>
  <si>
    <t>Primary confidentiality due to dominance by two units</t>
  </si>
  <si>
    <t>Used when two units account for more than x % of the total of a cell. The value of x can vary across statistical domains or countries, be influenced by legislation, etc.</t>
  </si>
  <si>
    <t>G</t>
  </si>
  <si>
    <t>Primary confidentiality due to dominance by one or two units</t>
  </si>
  <si>
    <t>Used when one or two units account(s) for more than x % of the total of a cell. The value of x can vary across statistical domains or countries, be influenced by legislation, etc.</t>
  </si>
  <si>
    <t>Primary confidentiality due to data declared confidential based on other measures of concentration</t>
  </si>
  <si>
    <t xml:space="preserve">Cells declared confidential using mathematical definitions of sensitive cells, e.g. p-percent, p/q or (n,k) rules. </t>
  </si>
  <si>
    <t>Alphanumeric</t>
  </si>
  <si>
    <t>Concept ID</t>
  </si>
  <si>
    <t>Concept Definition</t>
  </si>
  <si>
    <t>2.0</t>
  </si>
  <si>
    <t>Daily</t>
  </si>
  <si>
    <t>Daily – business week</t>
  </si>
  <si>
    <t>To be used for data collected or disseminated every year.</t>
  </si>
  <si>
    <t>To be used for data collected or disseminated every semester.</t>
  </si>
  <si>
    <t>To be used for data collected or disseminated every quarter.</t>
  </si>
  <si>
    <t>To be used for data collected or disseminated every month.</t>
  </si>
  <si>
    <t>To be used for data collected or disseminated every week.</t>
  </si>
  <si>
    <t>To be used for data collected or disseminated  every day.</t>
  </si>
  <si>
    <t>To be used for data collected or disseminated  every hour.</t>
  </si>
  <si>
    <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t>
  </si>
  <si>
    <t>Step-by-step guide</t>
  </si>
  <si>
    <t>Populate each CL_[code list] worksheet with the code items</t>
  </si>
  <si>
    <t xml:space="preserve">Commonly used concepts are already included, remove those that are not relevant.  </t>
  </si>
  <si>
    <t xml:space="preserve">Complete the Concept Scheme overview table with all concepts. </t>
  </si>
  <si>
    <t>Use the SDMX Glossary for concept IDs and definitions</t>
  </si>
  <si>
    <t>Use the legend symbols to indicate if all codes can be used (#), a subset (%), only one code (&lt;the code&gt;), or if the concept doesn't apply to the DSD (&lt;blank&gt;)</t>
  </si>
  <si>
    <t>Use the Cross Domain Code Lists, Global Registry and other registries to reuse existing code lists</t>
  </si>
  <si>
    <t>Check that the predefined code list worksheets (e.g. CL_CONF_STATUS) are up-to-date and correct</t>
  </si>
  <si>
    <t>Pay attention to the coding guidelines</t>
  </si>
  <si>
    <t>1.0</t>
  </si>
  <si>
    <t>Zero</t>
  </si>
  <si>
    <t>One</t>
  </si>
  <si>
    <t>Two</t>
  </si>
  <si>
    <t>Three</t>
  </si>
  <si>
    <t>Four</t>
  </si>
  <si>
    <t>Five</t>
  </si>
  <si>
    <t>Six</t>
  </si>
  <si>
    <t>Seven</t>
  </si>
  <si>
    <t>Eight</t>
  </si>
  <si>
    <t>Nine</t>
  </si>
  <si>
    <t>Ten</t>
  </si>
  <si>
    <t>Eleven</t>
  </si>
  <si>
    <t>Twelve</t>
  </si>
  <si>
    <t>Thirteen</t>
  </si>
  <si>
    <t>Fourteen</t>
  </si>
  <si>
    <t>Fifteen</t>
  </si>
  <si>
    <t>Units</t>
  </si>
  <si>
    <t>Tens</t>
  </si>
  <si>
    <t>Hundreds</t>
  </si>
  <si>
    <t>Thousands</t>
  </si>
  <si>
    <t>Tens of thousands</t>
  </si>
  <si>
    <t>Hundreds of thousands</t>
  </si>
  <si>
    <t>Millions</t>
  </si>
  <si>
    <t>Billions</t>
  </si>
  <si>
    <t>203</t>
  </si>
  <si>
    <t>102</t>
  </si>
  <si>
    <t>616</t>
  </si>
  <si>
    <t>CCYYWW</t>
  </si>
  <si>
    <t>610</t>
  </si>
  <si>
    <t>CCYYMM</t>
  </si>
  <si>
    <t>608</t>
  </si>
  <si>
    <t>CCYYQ</t>
  </si>
  <si>
    <t>604</t>
  </si>
  <si>
    <t>CCYYS</t>
  </si>
  <si>
    <t>602</t>
  </si>
  <si>
    <t>CCYY</t>
  </si>
  <si>
    <t>719</t>
  </si>
  <si>
    <t>CCYYMMDDhhmmCCYYMMDDhhmm</t>
  </si>
  <si>
    <t>711</t>
  </si>
  <si>
    <t>CCYYMMDDCCYYMMDD</t>
  </si>
  <si>
    <t>716</t>
  </si>
  <si>
    <t>710</t>
  </si>
  <si>
    <t>708</t>
  </si>
  <si>
    <t>704</t>
  </si>
  <si>
    <t>702</t>
  </si>
  <si>
    <t>Daily (or Business)</t>
  </si>
  <si>
    <t>Complete the version, maintenance agency, and other details</t>
  </si>
  <si>
    <t>Cross Domain Code lists may need to be extended.  In this case they must change their maintenance agency from SDMX</t>
  </si>
  <si>
    <t>CL_AREA is based on the full ISO 3166-1 alpha 2 classification.  Populate the CL_AREA worksheet with the required codes from that classification</t>
  </si>
  <si>
    <t>Include integrity rules in the relevant column that can aid understanding of the codes</t>
  </si>
  <si>
    <t>Original Indicators</t>
  </si>
  <si>
    <t>Concepts
|
V</t>
  </si>
  <si>
    <t>Decompose existing Indicators into separate Concepts</t>
  </si>
  <si>
    <t>If starting from an existing set of indicators, use the Indicator-Concept Matrix worksheet to list the indicators in column A, starting from row 3</t>
  </si>
  <si>
    <t>Add new concepts in row 1, starting from column D if they do not exist</t>
  </si>
  <si>
    <t>Mark how the concept(s) are used for the indicator using the legend</t>
  </si>
  <si>
    <t>Examine each indicator and decompose it into its atomic Concepts by doing the following steps:</t>
  </si>
  <si>
    <t>Include any extra breakdowns that are required for the indicators</t>
  </si>
  <si>
    <t>Include the Concepts that were find in step 1</t>
  </si>
  <si>
    <t>Exchange agencies
S:Sender, R:Receiver</t>
  </si>
  <si>
    <t>CONCEPTS</t>
  </si>
  <si>
    <t>Data flow</t>
  </si>
  <si>
    <t>DIMENSIONS</t>
  </si>
  <si>
    <t>MEASURE</t>
  </si>
  <si>
    <t>Measure</t>
  </si>
  <si>
    <t>Unit of measure</t>
  </si>
  <si>
    <t>DSDs</t>
  </si>
  <si>
    <t>Is concept used for Dataflow (1:yes)</t>
  </si>
  <si>
    <t>How many dims per DSD</t>
  </si>
  <si>
    <t>Count concepts used for flow</t>
  </si>
  <si>
    <t>#</t>
  </si>
  <si>
    <t>Add the ownership organisations starting in row A6</t>
  </si>
  <si>
    <t>Add the Dataflows in the corresponding column. Perhaps these can be derived from reporting tables or questionnaires.</t>
  </si>
  <si>
    <t>In the matrix table, for each dataflow choose which concepts are used and how with the symbols in the Legend (e.g. # for any item is possible)</t>
  </si>
  <si>
    <t>Group the concepts into logical DSDs using criteria such as which data needs to travel together in the same message/DSD, which Datafows are closely related conceptually, which Dataflows share similar dimensionality</t>
  </si>
  <si>
    <t>Use the dimension count column to determine if the number of dimensions in the DSD are acceptable</t>
  </si>
  <si>
    <t>Name</t>
  </si>
  <si>
    <t>Id</t>
  </si>
  <si>
    <t>test description</t>
  </si>
  <si>
    <t>Codelist</t>
  </si>
  <si>
    <t>Generate Concept Scheme</t>
  </si>
  <si>
    <t>Generate DSDs</t>
  </si>
  <si>
    <t>Header fields. Attribute separator is "|". Key/Value separator is ":" Blank values are defaulted</t>
  </si>
  <si>
    <t>ID:|Test:|Prepared:|Sender:OECD|Receiver:OECD</t>
  </si>
  <si>
    <t>Generate Codelists</t>
  </si>
  <si>
    <t>Action</t>
  </si>
  <si>
    <t>A (obs, optional)</t>
  </si>
  <si>
    <t>Data element that represents a simple aggregation and which takes one or more vectors as arguments and returns a scalar.</t>
  </si>
  <si>
    <t>Unit in which the data values are expressed.</t>
  </si>
  <si>
    <t>Country or geographic area to which the measured statistical phenomenon relates.</t>
  </si>
  <si>
    <t>CL_AREA</t>
  </si>
  <si>
    <t>CL_MEASURE</t>
  </si>
  <si>
    <t>CL_UNIT_MEASURE</t>
  </si>
  <si>
    <t>OECD</t>
  </si>
  <si>
    <t>COUNTERPART_AREA</t>
  </si>
  <si>
    <t>Public</t>
  </si>
  <si>
    <t>R</t>
  </si>
  <si>
    <t>DSDMain</t>
  </si>
  <si>
    <t>DSDOuter</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</si>
  <si>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id="not_supplied"/&gt;&lt;/mes:Header&gt;&lt;mes:Structures&gt;&lt;str:DataStructures/&gt;&lt;/mes:Structures&gt;&lt;/mes:Structure&gt;</t>
  </si>
  <si>
    <t>DSDTime</t>
  </si>
  <si>
    <t>DSDDimension</t>
  </si>
  <si>
    <t>DSDAttribute</t>
  </si>
  <si>
    <t>DSDMeasure</t>
  </si>
  <si>
    <t>&lt;str:TimeDimension xmlns:str="http://www.sdmx.org/resources/sdmxml/schemas/v2_1/structure" position="" id="" urn=""&gt;&lt;str:ConceptIdentity&gt;&lt;Ref id="" maintainableParentID="" package="conceptscheme" class="Concept" agencyID="" maintainableParentVersion=""/&gt;&lt;/str:ConceptIdentity&gt;&lt;str:LocalRepresentation&gt;&lt;str:TextFormat textType=""/&gt;&lt;/str:LocalRepresentation&gt;&lt;/str:TimeDimension&gt;</t>
  </si>
  <si>
    <t>&lt;str:Dimension xmlns:str="http://www.sdmx.org/resources/sdmxml/schemas/v2_1/structure" position="" id="" urn=""&gt;&lt;str:ConceptIdentity&gt;&lt;Ref id="" maintainableParentID="" package="conceptscheme" class="Concept" agencyID="" maintainableParentVersion=""/&gt;&lt;/str:ConceptIdentity&gt;&lt;str:LocalRepresentation&gt;&lt;str:Enumeration&gt;&lt;Ref id="" package="codelist" class="Codelist" agencyID="" version=""/&gt;&lt;/str:Enumeration&gt;&lt;str:EnumerationFormat maxLength="" minLength="" textType=""/&gt;&lt;/str:LocalRepresentation&gt;&lt;/str:Dimension&gt;</t>
  </si>
  <si>
    <t>&lt;str:PrimaryMeasure xmlns:str="http://www.sdmx.org/resources/sdmxml/schemas/v2_1/structure" id="" urn=""&gt;&lt;str:ConceptIdentity&gt;&lt;Ref id="" maintainableParentID="" package="conceptscheme" class="Concept" agencyID="" maintainableParentVersion=""/&gt;&lt;/str:ConceptIdentity&gt;&lt;str:LocalRepresentation&gt;&lt;str:TextFormat maxLength="" textType=""/&gt;&lt;/str:LocalRepresentation&gt;&lt;/str:PrimaryMeasure&gt;</t>
  </si>
  <si>
    <t>ID</t>
  </si>
  <si>
    <t>&lt;str:Attribute xmlns:str="http://www.sdmx.org/resources/sdmxml/schemas/v2_1/structure" id="" urn="" assignmentStatus=""&gt;&lt;str:ConceptIdentity&gt;&lt;Ref id="" maintainableParentID="" package="conceptscheme" class="Concept" agencyID="" maintainableParentVersion=""/&gt;&lt;/str:ConceptIdentity&gt;&lt;str:LocalRepresentation&gt;&lt;/str:LocalRepresentation&gt;&lt;/str:Attribute&gt;</t>
  </si>
  <si>
    <t>Output folder</t>
  </si>
  <si>
    <t>Add the DSDs and their details to the DSDs worksheet</t>
  </si>
  <si>
    <t>Generate  the SDMX-ML using the Generate SDMX-ML worksheet</t>
  </si>
  <si>
    <t>DataflowOuter</t>
  </si>
  <si>
    <t>DataflowMain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</si>
  <si>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https://registry.sdmx.org/schemas/v2_1/SDMXMessage.xsd"&gt;&lt;mes:Header&gt;&lt;mes:ID/&gt;&lt;mes:Test&gt;false&lt;/mes:Test&gt;&lt;mes:Prepared/&gt;&lt;mes:Sender id="not_supplied"/&gt;&lt;mes:Receiver id="not_supplied"/&gt;&lt;/mes:Header&gt;&lt;mes:Structures&gt;&lt;str:Dataflows/&gt;&lt;/mes:Structures&gt;&lt;/mes:Structure&gt;</t>
  </si>
  <si>
    <t>Create separate files</t>
  </si>
  <si>
    <t>Complete the DSD-Concept Matrix worksheet</t>
  </si>
  <si>
    <t>Add the Dataflows and their details to the Dataflows worksheet</t>
  </si>
  <si>
    <t>Generate Constraints</t>
  </si>
  <si>
    <t>Source</t>
  </si>
  <si>
    <t>ConstraintMain</t>
  </si>
  <si>
    <t>StructureOuter</t>
  </si>
  <si>
    <t>ConceptScheme</t>
  </si>
  <si>
    <t>Fill the Constraints worksheet</t>
  </si>
  <si>
    <t>Prerequisites</t>
  </si>
  <si>
    <t xml:space="preserve">Fill the Dataflows and DSD-Concept Matrix worksheets to create the Dataflow/DSD relationships </t>
  </si>
  <si>
    <t>Fill the DSDs worksheet</t>
  </si>
  <si>
    <t>Fill the Concept Scheme worksheet</t>
  </si>
  <si>
    <t>Parameters</t>
  </si>
  <si>
    <t>IsFinal</t>
  </si>
  <si>
    <t>&lt;str:ConceptScheme xmlns:mes="http://www.sdmx.org/resources/sdmxml/schemas/v2_1/message" xmlns:str="http://www.sdmx.org/resources/sdmxml/schemas/v2_1/structure" xmlns:com="http://www.sdmx.org/resources/sdmxml/schemas/v2_1/common" id="" urn="" isExternalReference="false" agencyID="" isFinal="" version=""&gt;&lt;com:Name xml:lang="en"&gt;&lt;/com:Name&gt;&lt;com:Description xml:lang="en"&gt;&lt;/com:Description&gt;&lt;/str:ConceptScheme&gt;</t>
  </si>
  <si>
    <t>&lt;str:DataStructure xmlns:str="http://www.sdmx.org/resources/sdmxml/schemas/v2_1/structure" xmlns:com="http://www.sdmx.org/resources/sdmxml/schemas/v2_1/common" id="" urn="" isExternalReference="false" agencyID="" isFinal="" version=""&gt;&lt;com:Name xml:lang="en"&gt;&lt;/com:Name&gt;&lt;com:Description xml:lang="en"&gt;&lt;/com:Description&gt;&lt;str:DataStructureComponents&gt;&lt;str:DimensionList id="DimensionDescriptor" urn=""/&gt;&lt;str:AttributeList id="AttributeDescriptor" urn=""/&gt;&lt;str:MeasureList id="MeasureDescriptor" urn=""/&gt;&lt;/str:DataStructureComponents&gt;&lt;/str:DataStructure&gt;</t>
  </si>
  <si>
    <t>&lt;str:Dataflow xmlns:str="http://www.sdmx.org/resources/sdmxml/schemas/v2_1/structure" xmlns:com="http://www.sdmx.org/resources/sdmxml/schemas/v2_1/common" id="" urn="" isExternalReference="false" agencyID="" isFinal="" version=""&gt;&lt;com:Name xml:lang="en"&gt;&lt;/com:Name&gt;&lt;com:Description xml:lang="en"&gt;&lt;/com:Description&gt;&lt;str:Structure&gt;&lt;Ref id="" package="datastructure" class="DataStructure" agencyID="" version=""/&gt;&lt;/str:Structure&gt;&lt;/str:Dataflow&gt;</t>
  </si>
  <si>
    <t xml:space="preserve">&lt;str:ContentConstraint xmlns:str="http://www.sdmx.org/resources/sdmxml/schemas/v2_1/structure" xmlns:com="http://www.sdmx.org/resources/sdmxml/schemas/v2_1/common" id="" urn="" isExternalReference="" agencyID="" type="" isFinal="" version=""&gt;&lt;com:Name xml:lang="en"&gt;&lt;/com:Name&gt;&lt;com:Description xml:lang="en"&gt;&lt;/com:Description&gt;&lt;str:ConstraintAttachment&gt;&lt;str:Dataflow&gt;&lt;Ref id="" package="datastructure" class="Dataflow" agencyID="" version=""/&gt;&lt;/str:Dataflow&gt;&lt;/str:ConstraintAttachment&gt;&lt;str:CubeRegion include="" /&gt;&lt;/str:ContentConstraint&gt; </t>
  </si>
  <si>
    <t>&lt;str:Codelist xmlns:mes="http://www.sdmx.org/resources/sdmxml/schemas/v2_1/message" xmlns:com="http://www.sdmx.org/resources/sdmxml/schemas/v2_1/common" xmlns:str="http://www.sdmx.org/resources/sdmxml/schemas/v2_1/structure" id="" urn="" agencyID="" isFinal="" version=""&gt;&lt;com:Name xml:lang="en"/&gt;&lt;com:Description xml:lang="en"/&gt;&lt;/str:Codelist&gt;</t>
  </si>
  <si>
    <t>Generate SDMX-ML</t>
  </si>
  <si>
    <t>Generate? 0=no, 1=yes</t>
  </si>
  <si>
    <t>Fill the CL_ worksheets for all required codelists, following the CL_template</t>
  </si>
  <si>
    <t>AD</t>
  </si>
  <si>
    <t>Andorra</t>
  </si>
  <si>
    <t>AE</t>
  </si>
  <si>
    <t>United Arab Emirates</t>
  </si>
  <si>
    <t>AF</t>
  </si>
  <si>
    <t>Afghanistan</t>
  </si>
  <si>
    <t>LC</t>
  </si>
  <si>
    <t>PS</t>
  </si>
  <si>
    <t>PF</t>
  </si>
  <si>
    <t>Category</t>
  </si>
  <si>
    <t>CategorisationMain</t>
  </si>
  <si>
    <t>&lt;str:Categorisation xmlns:str="http://www.sdmx.org/resources/sdmxml/schemas/v2_1/structure" xmlns:com="http://www.sdmx.org/resources/sdmxml/schemas/v2_1/common" id="" urn="" agencyID="" version="" isFinal=""&gt;&lt;com:Name xml:lang="en"&gt;&lt;/com:Name&gt;&lt;str:Source&gt;&lt;Ref id="" version="" agencyID="" package="" class="" /&gt;&lt;/str:Source&gt;&lt;str:Target&gt;&lt;Ref id="" maintainableParentID="" maintainableParentVersion="" agencyID="" package="categoryscheme" class="Category" /&gt;&lt;/str:Target&gt;&lt;/str:Categorisation&gt;</t>
  </si>
  <si>
    <t>Min length</t>
  </si>
  <si>
    <t>Max length</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</si>
  <si>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https://registry.sdmx.org/schemas/v2_1/SDMXMessage.xsd"&gt;&lt;mes:Header&gt;&lt;mes:ID&gt;&lt;/mes:ID&gt;&lt;mes:Test&gt;&lt;/mes:Test&gt;&lt;mes:Prepared&gt;&lt;/mes:Prepared&gt;&lt;mes:Sender id=""/&gt;&lt;mes:Receiver id=""/&gt;&lt;/mes:Header&gt;&lt;mes:Structures&gt;&lt;str:Dataflows&gt;&lt;/str:Dataflows&gt;&lt;str:Categorisations&gt;&lt;/str:Categorisations&gt;&lt;str:Codelists&gt;&lt;/str:Codelists&gt;&lt;str:Concepts&gt;&lt;/str:Concepts&gt;&lt;str:DataStructures&gt;&lt;/str:DataStructures&gt;&lt;str:Constraints&gt;&lt;/str:Constraints&gt;&lt;/mes:Structures&gt;&lt;/mes:Structure&gt;</t>
  </si>
  <si>
    <t>US</t>
  </si>
  <si>
    <t>Cat.Scheme ID</t>
  </si>
  <si>
    <t>Cat.Sch Agency</t>
  </si>
  <si>
    <t>Cat.Sch Version</t>
  </si>
  <si>
    <t>Test</t>
  </si>
  <si>
    <t>Concepts</t>
  </si>
  <si>
    <t>CONSTRAINTS</t>
  </si>
  <si>
    <t>Dataflows</t>
  </si>
  <si>
    <t>ParentCode</t>
  </si>
  <si>
    <t>Normal value</t>
  </si>
  <si>
    <t>To be used as default value if no value is provided or when no special coded qualification is assumed. Usually, it can be assumed that the source agency assigns sufficient confidence to the provided observation and/or the value is not expected to be dramatically revised.</t>
  </si>
  <si>
    <t>Time series break</t>
  </si>
  <si>
    <t>Observations are characterised as such when different content exists or a different methodology has been applied to this observation as compared with the preceding one (the one given for the previous period).</t>
  </si>
  <si>
    <t>Definition differs</t>
  </si>
  <si>
    <t xml:space="preserve">Used to indicate slight deviations from the established methodology (footnote-type information); these divergences do not imply a break in time series. </t>
  </si>
  <si>
    <t>E</t>
  </si>
  <si>
    <t>Estimated value</t>
  </si>
  <si>
    <t>Observation obtained through an estimation methodology (e.g. to produce back-casts) or based on the use of a limited amount of data or ad hoc sampling and through additional calculations (e.g. to produce a value at an early stage of the production stage while not all data are available). It may also be used in case of experimental data (e.g. in the context of a pilot ahead of a full scale production process) or in case of data of (anticipated/assessed) low quality. If needed, additional information can be provided through free text using the COMMENT_OBS attribute at the observation level or at a higher level.</t>
  </si>
  <si>
    <t>Forecast value</t>
  </si>
  <si>
    <t>Value deemed to assess the magnitude which a quantity will assume at some future point of time (as distinct from "estimated value" which attempts to assess the magnitude of an already existent quantity).</t>
  </si>
  <si>
    <t>Experimental value</t>
  </si>
  <si>
    <t>Data collected on the basis of definitions or (alternative) collection methods under development. Data not of guaranteed quality as normally expected from provider.</t>
  </si>
  <si>
    <t>I</t>
  </si>
  <si>
    <t>Imputed value (CCSA definition)</t>
  </si>
  <si>
    <t>Observation imputed by international organisations to replace or fill gaps in national data series, in line with the recommendations of the United Nations Committee for the Coordination of Statistical Activities (CCSA).</t>
  </si>
  <si>
    <t>K</t>
  </si>
  <si>
    <t>Data included in another category</t>
  </si>
  <si>
    <t>Includes data from another category</t>
  </si>
  <si>
    <t>This code is used when data include another category, or go beyond the scope of the data collection and are therefore over-covered. Generally, where code "W" is used there should be a corresponding code "K - Data included in another category" assigned to the category which is under-covered. Implementers and data reporters should use the COMMENT_OBS observation-level attribute to specify which additional data are included.</t>
  </si>
  <si>
    <t>Missing value</t>
  </si>
  <si>
    <t>This code is to be used when no breakdown is made between the reasons why data are missing. Data can be missing due to many reasons: data cannot exist, data exist but are not collected (e.g. because they are below a certain threshold or subject to a derogation clause), data are unreliable, etc.</t>
  </si>
  <si>
    <t>Missing value; data cannot exist</t>
  </si>
  <si>
    <t>Used to denote empty cells resulting from the impossibility to collect a statistical value (e.g. a particular education level or type of institution may be not applicable to a given country's education system).</t>
  </si>
  <si>
    <t>P</t>
  </si>
  <si>
    <t>Provisional value</t>
  </si>
  <si>
    <t>An observation is characterised as "provisional" when the source agency – while it bases its calculations on its standard production methodology – considers that the data, almost certainly, are expected to be revised.</t>
  </si>
  <si>
    <t>Strike and other special events</t>
  </si>
  <si>
    <t>Special circumstances (e.g. strike) affecting the observation or causing a missing value.</t>
  </si>
  <si>
    <t>L</t>
  </si>
  <si>
    <t>Missing value; data exist but were not collected</t>
  </si>
  <si>
    <t>Used, for example, when some data are not reported/disseminated because they are below a certain threshold.</t>
  </si>
  <si>
    <t>Missing value; holiday or weekend</t>
  </si>
  <si>
    <t>Used in some daily data flows.</t>
  </si>
  <si>
    <t>Missing value; suppressed</t>
  </si>
  <si>
    <t>Used, for example, when data are suppressed due to statistical confidentiality considerations.</t>
  </si>
  <si>
    <t>J</t>
  </si>
  <si>
    <t>Derogation</t>
  </si>
  <si>
    <t>Clause in an agreement (e.g. legal act, gentlemen’s agreement) stating that some provisions in the agreement are not to be implemented by designated parties; these derogations may affect the observation or cause a missing value. In general, derogations are limited in time.</t>
  </si>
  <si>
    <t>Not significant</t>
  </si>
  <si>
    <t>Used to indicate a value which is not a "real" zero (e.g. a result of 0.0004 rounded to zero).</t>
  </si>
  <si>
    <t>U</t>
  </si>
  <si>
    <t>Low reliability</t>
  </si>
  <si>
    <t>This indicates existing observations, but for which the user should also be aware of the low quality assigned.</t>
  </si>
  <si>
    <t>V</t>
  </si>
  <si>
    <t>Unvalidated value</t>
  </si>
  <si>
    <t>Observation as received from the respondent without further evaluation of data quality.</t>
  </si>
  <si>
    <t>Attachment</t>
  </si>
  <si>
    <t>ConstraintID</t>
  </si>
  <si>
    <t>Concept Role</t>
  </si>
  <si>
    <t>For each Code List identified in the Concept Scheme overview, copy the worksheet "New CL template" and rename it to CL_[your code list ID]</t>
  </si>
  <si>
    <t>Define the constraints in each Code List worksheet</t>
  </si>
  <si>
    <t>Go to the Concept's corresponding Code List. Add the Dataflow ID to the next blank right cell on the "Dataflows" row and the Concept ID underneath that cell (on the same line as "Concepts")</t>
  </si>
  <si>
    <t>Look at each Dataflow in the DSD-Concept Matrix. For each cell that is single-fixed (with a code), or have a subset(%):</t>
  </si>
  <si>
    <t>Put 1 for all codes that are in the constraint for this Dataflow/Concept</t>
  </si>
  <si>
    <t>DimAttrMeas</t>
  </si>
  <si>
    <t>A (obs, mandatory)</t>
  </si>
  <si>
    <t>A (dataset, optional)</t>
  </si>
  <si>
    <t>A (dataset, mandatory)</t>
  </si>
  <si>
    <t>Types</t>
  </si>
  <si>
    <t>Boolean</t>
  </si>
  <si>
    <t>SenderReceiver</t>
  </si>
  <si>
    <t>S/R</t>
  </si>
  <si>
    <t>VARIABLE</t>
  </si>
  <si>
    <t>FLAG</t>
  </si>
  <si>
    <t>OPERATION</t>
  </si>
  <si>
    <t>GEO</t>
  </si>
  <si>
    <t>Concept Scheme</t>
  </si>
  <si>
    <t>Matrix</t>
  </si>
  <si>
    <t>Constraints Summary</t>
  </si>
  <si>
    <t>Generate</t>
  </si>
  <si>
    <t>Quick links:</t>
  </si>
  <si>
    <t>ConceptRoles</t>
  </si>
  <si>
    <t>ENTITY</t>
  </si>
  <si>
    <t>COMMENT</t>
  </si>
  <si>
    <t>Generate Categorisations</t>
  </si>
  <si>
    <t>Generate Dataflows</t>
  </si>
  <si>
    <t>App for opening file</t>
  </si>
  <si>
    <t>C:\Program Files\Oxygen XML Editor 16\oxygen16.1.exe</t>
  </si>
  <si>
    <t>TIME</t>
  </si>
  <si>
    <t>MEAS</t>
  </si>
  <si>
    <t>Thousandths</t>
  </si>
  <si>
    <t>Update Concept Scheme Concepts</t>
  </si>
  <si>
    <t>1.1</t>
  </si>
  <si>
    <t>In scientific notation, expressed as ten raised to the power of two (10²)</t>
  </si>
  <si>
    <t>In scientific notation, expressed as ten raised to the power of three (10³)</t>
  </si>
  <si>
    <t>Tens of millions</t>
  </si>
  <si>
    <t>Hundreds of millions</t>
  </si>
  <si>
    <t>Tens of billions</t>
  </si>
  <si>
    <t>Hundreds of billions</t>
  </si>
  <si>
    <t>Trillions</t>
  </si>
  <si>
    <t>Tens of trillions</t>
  </si>
  <si>
    <t>Hundreds of trillions</t>
  </si>
  <si>
    <t>Quadrillions</t>
  </si>
  <si>
    <t>Tenths</t>
  </si>
  <si>
    <t>Hundredths</t>
  </si>
  <si>
    <t>Ten-thousandths</t>
  </si>
  <si>
    <t>Hundred-thousandths</t>
  </si>
  <si>
    <t>Millionths</t>
  </si>
  <si>
    <t>Ten-millionths</t>
  </si>
  <si>
    <t>Hundred-millionths</t>
  </si>
  <si>
    <t>Billionths</t>
  </si>
  <si>
    <t>Ten-billionths</t>
  </si>
  <si>
    <t>Hundred-billionths</t>
  </si>
  <si>
    <t>Trillionths</t>
  </si>
  <si>
    <t>Ten-trillionths</t>
  </si>
  <si>
    <t>Hundred-trillionths</t>
  </si>
  <si>
    <t>Quadrillionths</t>
  </si>
  <si>
    <t>DSD Matrix</t>
  </si>
  <si>
    <t>Indicator Matrix</t>
  </si>
  <si>
    <t>MATRIX LEGEND</t>
  </si>
  <si>
    <t>Update DSD Matrix Concepts and CLs</t>
  </si>
  <si>
    <t>#
%
&lt;code&gt;
&lt;blank&gt;</t>
  </si>
  <si>
    <t>No constraint
Subset of codes
Only this code
Concept not used</t>
  </si>
  <si>
    <t>Actions</t>
  </si>
  <si>
    <t>Update Concept Scheme Concepts from Indicator matrix</t>
  </si>
  <si>
    <t>Update DSD Matrix Concepts and CLs from Concept Scheme</t>
  </si>
  <si>
    <t>Check and change the Parameters section on the "Generate SDMX-ML" worksheet, especially the folder paths</t>
  </si>
  <si>
    <r>
      <t>In scientific notation, expressed as ten raised to the power of zero (10</t>
    </r>
    <r>
      <rPr>
        <vertAlign val="superscript"/>
        <sz val="11"/>
        <rFont val="Calibri"/>
        <family val="2"/>
        <scheme val="minor"/>
      </rPr>
      <t>0</t>
    </r>
    <r>
      <rPr>
        <sz val="11"/>
        <rFont val="Calibri"/>
        <family val="2"/>
        <scheme val="minor"/>
      </rPr>
      <t>)</t>
    </r>
  </si>
  <si>
    <r>
      <t>In scientific notation, expressed as ten raised to the power of one (10</t>
    </r>
    <r>
      <rPr>
        <vertAlign val="superscript"/>
        <sz val="11"/>
        <rFont val="Calibri"/>
        <family val="2"/>
        <scheme val="minor"/>
      </rPr>
      <t>1</t>
    </r>
    <r>
      <rPr>
        <sz val="11"/>
        <rFont val="Calibri"/>
        <family val="2"/>
        <scheme val="minor"/>
      </rPr>
      <t>)</t>
    </r>
  </si>
  <si>
    <r>
      <t>In scientific notation, expressed as ten raised to the power of four (10</t>
    </r>
    <r>
      <rPr>
        <vertAlign val="superscript"/>
        <sz val="11"/>
        <rFont val="Calibri"/>
        <family val="2"/>
        <scheme val="minor"/>
      </rPr>
      <t>4</t>
    </r>
    <r>
      <rPr>
        <sz val="11"/>
        <rFont val="Calibri"/>
        <family val="2"/>
        <scheme val="minor"/>
      </rPr>
      <t>)</t>
    </r>
  </si>
  <si>
    <r>
      <t>In scientific notation, expressed as ten raised to the power of five(10</t>
    </r>
    <r>
      <rPr>
        <vertAlign val="superscript"/>
        <sz val="11"/>
        <rFont val="Calibri"/>
        <family val="2"/>
        <scheme val="minor"/>
      </rPr>
      <t>5</t>
    </r>
    <r>
      <rPr>
        <sz val="11"/>
        <rFont val="Calibri"/>
        <family val="2"/>
        <scheme val="minor"/>
      </rPr>
      <t>)</t>
    </r>
  </si>
  <si>
    <r>
      <t>In scientific notation, expressed as ten raised to the power of six (10</t>
    </r>
    <r>
      <rPr>
        <vertAlign val="superscript"/>
        <sz val="11"/>
        <rFont val="Calibri"/>
        <family val="2"/>
        <scheme val="minor"/>
      </rPr>
      <t>6</t>
    </r>
    <r>
      <rPr>
        <sz val="11"/>
        <rFont val="Calibri"/>
        <family val="2"/>
        <scheme val="minor"/>
      </rPr>
      <t>)</t>
    </r>
  </si>
  <si>
    <r>
      <t>In scientific notation, expressed as ten raised to the power of seven (10</t>
    </r>
    <r>
      <rPr>
        <vertAlign val="superscript"/>
        <sz val="11"/>
        <rFont val="Calibri"/>
        <family val="2"/>
        <scheme val="minor"/>
      </rPr>
      <t>7</t>
    </r>
    <r>
      <rPr>
        <sz val="11"/>
        <rFont val="Calibri"/>
        <family val="2"/>
        <scheme val="minor"/>
      </rPr>
      <t>)</t>
    </r>
  </si>
  <si>
    <r>
      <t>In scientific notation, expressed as ten raised to the power of eight (10</t>
    </r>
    <r>
      <rPr>
        <vertAlign val="superscript"/>
        <sz val="11"/>
        <rFont val="Calibri"/>
        <family val="2"/>
        <scheme val="minor"/>
      </rPr>
      <t>8</t>
    </r>
    <r>
      <rPr>
        <sz val="11"/>
        <rFont val="Calibri"/>
        <family val="2"/>
        <scheme val="minor"/>
      </rPr>
      <t>)</t>
    </r>
  </si>
  <si>
    <r>
      <t>In scientific notation, expressed as ten raised to the power of nine (10</t>
    </r>
    <r>
      <rPr>
        <vertAlign val="superscript"/>
        <sz val="11"/>
        <rFont val="Calibri"/>
        <family val="2"/>
        <scheme val="minor"/>
      </rPr>
      <t>9</t>
    </r>
    <r>
      <rPr>
        <sz val="11"/>
        <rFont val="Calibri"/>
        <family val="2"/>
        <scheme val="minor"/>
      </rPr>
      <t>)</t>
    </r>
  </si>
  <si>
    <r>
      <t>In scientific notation, expressed as ten raised to the power of ten (10</t>
    </r>
    <r>
      <rPr>
        <vertAlign val="superscript"/>
        <sz val="11"/>
        <rFont val="Calibri"/>
        <family val="2"/>
        <scheme val="minor"/>
      </rPr>
      <t>10</t>
    </r>
    <r>
      <rPr>
        <sz val="11"/>
        <rFont val="Calibri"/>
        <family val="2"/>
        <scheme val="minor"/>
      </rPr>
      <t>)</t>
    </r>
  </si>
  <si>
    <r>
      <t>In scientific notation, expressed as ten raised to the power of eleven (10</t>
    </r>
    <r>
      <rPr>
        <vertAlign val="superscript"/>
        <sz val="11"/>
        <rFont val="Calibri"/>
        <family val="2"/>
        <scheme val="minor"/>
      </rPr>
      <t>11</t>
    </r>
    <r>
      <rPr>
        <sz val="11"/>
        <rFont val="Calibri"/>
        <family val="2"/>
        <scheme val="minor"/>
      </rPr>
      <t>)</t>
    </r>
  </si>
  <si>
    <r>
      <t>In scientific notation, expressed as ten raised to the power of twelve (10</t>
    </r>
    <r>
      <rPr>
        <vertAlign val="superscript"/>
        <sz val="11"/>
        <rFont val="Calibri"/>
        <family val="2"/>
        <scheme val="minor"/>
      </rPr>
      <t>12</t>
    </r>
    <r>
      <rPr>
        <sz val="11"/>
        <rFont val="Calibri"/>
        <family val="2"/>
        <scheme val="minor"/>
      </rPr>
      <t>)</t>
    </r>
  </si>
  <si>
    <r>
      <t>In scientific notation, expressed as ten raised to the power of thirteen (10</t>
    </r>
    <r>
      <rPr>
        <vertAlign val="superscript"/>
        <sz val="11"/>
        <rFont val="Calibri"/>
        <family val="2"/>
        <scheme val="minor"/>
      </rPr>
      <t>13</t>
    </r>
    <r>
      <rPr>
        <sz val="11"/>
        <rFont val="Calibri"/>
        <family val="2"/>
        <scheme val="minor"/>
      </rPr>
      <t>)</t>
    </r>
  </si>
  <si>
    <r>
      <t>In scientific notation, expressed as ten raised to the power of fourteen (10</t>
    </r>
    <r>
      <rPr>
        <vertAlign val="superscript"/>
        <sz val="11"/>
        <rFont val="Calibri"/>
        <family val="2"/>
        <scheme val="minor"/>
      </rPr>
      <t>14</t>
    </r>
    <r>
      <rPr>
        <sz val="11"/>
        <rFont val="Calibri"/>
        <family val="2"/>
        <scheme val="minor"/>
      </rPr>
      <t>)</t>
    </r>
  </si>
  <si>
    <r>
      <t>In scientific notation, expressed as ten raised to the power of fifteen (10</t>
    </r>
    <r>
      <rPr>
        <vertAlign val="superscript"/>
        <sz val="11"/>
        <rFont val="Calibri"/>
        <family val="2"/>
        <scheme val="minor"/>
      </rPr>
      <t>15</t>
    </r>
    <r>
      <rPr>
        <sz val="11"/>
        <rFont val="Calibri"/>
        <family val="2"/>
        <scheme val="minor"/>
      </rPr>
      <t>)</t>
    </r>
  </si>
  <si>
    <r>
      <t>In scientific notation, expressed as ten raised to the power of minus one (10</t>
    </r>
    <r>
      <rPr>
        <vertAlign val="superscript"/>
        <sz val="11"/>
        <rFont val="Calibri"/>
        <family val="2"/>
        <scheme val="minor"/>
      </rPr>
      <t>-1</t>
    </r>
    <r>
      <rPr>
        <sz val="11"/>
        <rFont val="Calibri"/>
        <family val="2"/>
        <scheme val="minor"/>
      </rPr>
      <t>)</t>
    </r>
  </si>
  <si>
    <r>
      <t>In scientific notation, expressed as ten raised to the power of minus two (10</t>
    </r>
    <r>
      <rPr>
        <vertAlign val="superscript"/>
        <sz val="11"/>
        <rFont val="Calibri"/>
        <family val="2"/>
        <scheme val="minor"/>
      </rPr>
      <t>-2</t>
    </r>
    <r>
      <rPr>
        <sz val="11"/>
        <rFont val="Calibri"/>
        <family val="2"/>
        <scheme val="minor"/>
      </rPr>
      <t>)</t>
    </r>
  </si>
  <si>
    <r>
      <t>In scientific notation, expressed as ten raised to the power of minus three (10</t>
    </r>
    <r>
      <rPr>
        <vertAlign val="superscript"/>
        <sz val="11"/>
        <rFont val="Calibri"/>
        <family val="2"/>
        <scheme val="minor"/>
      </rPr>
      <t>-3</t>
    </r>
    <r>
      <rPr>
        <sz val="11"/>
        <rFont val="Calibri"/>
        <family val="2"/>
        <scheme val="minor"/>
      </rPr>
      <t>)</t>
    </r>
  </si>
  <si>
    <r>
      <t>In scientific notation, expressed as ten raised to the power of minus four (10</t>
    </r>
    <r>
      <rPr>
        <vertAlign val="superscript"/>
        <sz val="11"/>
        <rFont val="Calibri"/>
        <family val="2"/>
        <scheme val="minor"/>
      </rPr>
      <t>-4</t>
    </r>
    <r>
      <rPr>
        <sz val="11"/>
        <rFont val="Calibri"/>
        <family val="2"/>
        <scheme val="minor"/>
      </rPr>
      <t>)</t>
    </r>
  </si>
  <si>
    <r>
      <t>In scientific notation, expressed as ten raised to the power of minus five (10</t>
    </r>
    <r>
      <rPr>
        <vertAlign val="superscript"/>
        <sz val="11"/>
        <rFont val="Calibri"/>
        <family val="2"/>
        <scheme val="minor"/>
      </rPr>
      <t>-5</t>
    </r>
    <r>
      <rPr>
        <sz val="11"/>
        <rFont val="Calibri"/>
        <family val="2"/>
        <scheme val="minor"/>
      </rPr>
      <t>)</t>
    </r>
  </si>
  <si>
    <r>
      <t>In scientific notation, expressed as ten raised to the power of minus six (10</t>
    </r>
    <r>
      <rPr>
        <vertAlign val="superscript"/>
        <sz val="11"/>
        <rFont val="Calibri"/>
        <family val="2"/>
        <scheme val="minor"/>
      </rPr>
      <t>-6</t>
    </r>
    <r>
      <rPr>
        <sz val="11"/>
        <rFont val="Calibri"/>
        <family val="2"/>
        <scheme val="minor"/>
      </rPr>
      <t>)</t>
    </r>
  </si>
  <si>
    <r>
      <t>In scientific notation, expressed as ten raised to the power of minus seven (10</t>
    </r>
    <r>
      <rPr>
        <vertAlign val="superscript"/>
        <sz val="11"/>
        <rFont val="Calibri"/>
        <family val="2"/>
        <scheme val="minor"/>
      </rPr>
      <t>-7</t>
    </r>
    <r>
      <rPr>
        <sz val="11"/>
        <rFont val="Calibri"/>
        <family val="2"/>
        <scheme val="minor"/>
      </rPr>
      <t>)</t>
    </r>
  </si>
  <si>
    <r>
      <t>In scientific notation, expressed as ten raised to the power of minus eight (10</t>
    </r>
    <r>
      <rPr>
        <vertAlign val="superscript"/>
        <sz val="11"/>
        <rFont val="Calibri"/>
        <family val="2"/>
        <scheme val="minor"/>
      </rPr>
      <t>-8</t>
    </r>
    <r>
      <rPr>
        <sz val="11"/>
        <rFont val="Calibri"/>
        <family val="2"/>
        <scheme val="minor"/>
      </rPr>
      <t>)</t>
    </r>
  </si>
  <si>
    <r>
      <t>In scientific notation, expressed as ten raised to the power of minus nine (10</t>
    </r>
    <r>
      <rPr>
        <vertAlign val="superscript"/>
        <sz val="11"/>
        <rFont val="Calibri"/>
        <family val="2"/>
        <scheme val="minor"/>
      </rPr>
      <t>-9</t>
    </r>
    <r>
      <rPr>
        <sz val="11"/>
        <rFont val="Calibri"/>
        <family val="2"/>
        <scheme val="minor"/>
      </rPr>
      <t>)</t>
    </r>
  </si>
  <si>
    <r>
      <t>In scientific notation, expressed as ten raised to the power of minus ten (10</t>
    </r>
    <r>
      <rPr>
        <vertAlign val="superscript"/>
        <sz val="11"/>
        <rFont val="Calibri"/>
        <family val="2"/>
        <scheme val="minor"/>
      </rPr>
      <t>-10</t>
    </r>
    <r>
      <rPr>
        <sz val="11"/>
        <rFont val="Calibri"/>
        <family val="2"/>
        <scheme val="minor"/>
      </rPr>
      <t>)</t>
    </r>
  </si>
  <si>
    <r>
      <t>In scientific notation, expressed as ten raised to the power of minus eleven (10</t>
    </r>
    <r>
      <rPr>
        <vertAlign val="superscript"/>
        <sz val="11"/>
        <rFont val="Calibri"/>
        <family val="2"/>
        <scheme val="minor"/>
      </rPr>
      <t>-11</t>
    </r>
    <r>
      <rPr>
        <sz val="11"/>
        <rFont val="Calibri"/>
        <family val="2"/>
        <scheme val="minor"/>
      </rPr>
      <t>)</t>
    </r>
  </si>
  <si>
    <r>
      <t>In scientific notation, expressed as ten raised to the power of minus twelve (10</t>
    </r>
    <r>
      <rPr>
        <vertAlign val="superscript"/>
        <sz val="11"/>
        <rFont val="Calibri"/>
        <family val="2"/>
        <scheme val="minor"/>
      </rPr>
      <t>-12</t>
    </r>
    <r>
      <rPr>
        <sz val="11"/>
        <rFont val="Calibri"/>
        <family val="2"/>
        <scheme val="minor"/>
      </rPr>
      <t>)</t>
    </r>
  </si>
  <si>
    <r>
      <t>In scientific notation, expressed as ten raised to the power of minus thirteen (10</t>
    </r>
    <r>
      <rPr>
        <vertAlign val="superscript"/>
        <sz val="11"/>
        <rFont val="Calibri"/>
        <family val="2"/>
        <scheme val="minor"/>
      </rPr>
      <t>-13</t>
    </r>
    <r>
      <rPr>
        <sz val="11"/>
        <rFont val="Calibri"/>
        <family val="2"/>
        <scheme val="minor"/>
      </rPr>
      <t>)</t>
    </r>
  </si>
  <si>
    <r>
      <t>In scientific notation, expressed as ten raised to the power of minus fourteen (10</t>
    </r>
    <r>
      <rPr>
        <vertAlign val="superscript"/>
        <sz val="11"/>
        <rFont val="Calibri"/>
        <family val="2"/>
        <scheme val="minor"/>
      </rPr>
      <t>-14</t>
    </r>
    <r>
      <rPr>
        <sz val="11"/>
        <rFont val="Calibri"/>
        <family val="2"/>
        <scheme val="minor"/>
      </rPr>
      <t>)</t>
    </r>
  </si>
  <si>
    <r>
      <t>In scientific notation, expressed as ten raised to the power of minus fifteen (10</t>
    </r>
    <r>
      <rPr>
        <vertAlign val="superscript"/>
        <sz val="11"/>
        <rFont val="Calibri"/>
        <family val="2"/>
        <scheme val="minor"/>
      </rPr>
      <t>-15</t>
    </r>
    <r>
      <rPr>
        <sz val="11"/>
        <rFont val="Calibri"/>
        <family val="2"/>
        <scheme val="minor"/>
      </rPr>
      <t>)</t>
    </r>
  </si>
  <si>
    <t>Choose which artefacts to generate by changing the Generate? Column: 1=Generate</t>
  </si>
  <si>
    <t>Ensure that the values in row 1 (Agency Id, Version, etc.) are entered. Ensure that the values are for the codelist, they may be different from the concept values (e.g. name)</t>
  </si>
  <si>
    <t>Time span or point in time to which the observation actually refers</t>
  </si>
  <si>
    <t>Time interval at which observations occur over a given time period</t>
  </si>
  <si>
    <t>Value of a particular variable</t>
  </si>
  <si>
    <t>Information about the confidentiality status of the object to which this attribute is attached</t>
  </si>
  <si>
    <t>Information on the quality of a value or an unusual or missing value</t>
  </si>
  <si>
    <t>Exponent in base 10 specified so that multiplying the observation numeric values by 10^UNIT_MULT gives a value expressed in the unit of measure</t>
  </si>
  <si>
    <t>NE</t>
  </si>
  <si>
    <t>MW</t>
  </si>
  <si>
    <t>ES</t>
  </si>
  <si>
    <t>DJ</t>
  </si>
  <si>
    <t>NL</t>
  </si>
  <si>
    <t>RU</t>
  </si>
  <si>
    <t>IR</t>
  </si>
  <si>
    <t>MU</t>
  </si>
  <si>
    <t>Formula to Convert Name to Code</t>
  </si>
  <si>
    <t>ME</t>
  </si>
  <si>
    <t>AG</t>
  </si>
  <si>
    <t>Antigua and Barbuda</t>
  </si>
  <si>
    <t>AI</t>
  </si>
  <si>
    <t>Anguilla</t>
  </si>
  <si>
    <t>AL</t>
  </si>
  <si>
    <t>Albania</t>
  </si>
  <si>
    <t>AM</t>
  </si>
  <si>
    <t>Armenia</t>
  </si>
  <si>
    <t>AO</t>
  </si>
  <si>
    <t>Angola</t>
  </si>
  <si>
    <t>AQ</t>
  </si>
  <si>
    <t>Antarctica</t>
  </si>
  <si>
    <t>AR</t>
  </si>
  <si>
    <t>Argentina</t>
  </si>
  <si>
    <t>AS</t>
  </si>
  <si>
    <t>American Samoa</t>
  </si>
  <si>
    <t>AT</t>
  </si>
  <si>
    <t>Austria</t>
  </si>
  <si>
    <t>AU</t>
  </si>
  <si>
    <t>Australia</t>
  </si>
  <si>
    <t>AW</t>
  </si>
  <si>
    <t>Aruba</t>
  </si>
  <si>
    <t>AX</t>
  </si>
  <si>
    <t>Åland Islands</t>
  </si>
  <si>
    <t>AZ</t>
  </si>
  <si>
    <t>Azerbaijan</t>
  </si>
  <si>
    <t>BA</t>
  </si>
  <si>
    <t>Bosnia and Herzegovina</t>
  </si>
  <si>
    <t>BB</t>
  </si>
  <si>
    <t>Barbados</t>
  </si>
  <si>
    <t>BD</t>
  </si>
  <si>
    <t>Bangladesh</t>
  </si>
  <si>
    <t>BE</t>
  </si>
  <si>
    <t>Belgium</t>
  </si>
  <si>
    <t>BF</t>
  </si>
  <si>
    <t>Burkina Faso</t>
  </si>
  <si>
    <t>BG</t>
  </si>
  <si>
    <t>Bulgaria</t>
  </si>
  <si>
    <t>BH</t>
  </si>
  <si>
    <t>Bahrain</t>
  </si>
  <si>
    <t>BI</t>
  </si>
  <si>
    <t>Burundi</t>
  </si>
  <si>
    <t>BJ</t>
  </si>
  <si>
    <t>Benin</t>
  </si>
  <si>
    <t>BL</t>
  </si>
  <si>
    <t>Saint Barthélemy</t>
  </si>
  <si>
    <t>BM</t>
  </si>
  <si>
    <t>Bermuda</t>
  </si>
  <si>
    <t>BN</t>
  </si>
  <si>
    <t>Brunei Darussalam</t>
  </si>
  <si>
    <t>BO</t>
  </si>
  <si>
    <t>Bolivia (Plurinational State of)</t>
  </si>
  <si>
    <t>BQ</t>
  </si>
  <si>
    <t>Bonaire, Sint Eustatius and Saba</t>
  </si>
  <si>
    <t>BR</t>
  </si>
  <si>
    <t>Brazil</t>
  </si>
  <si>
    <t>BS</t>
  </si>
  <si>
    <t>Bahamas</t>
  </si>
  <si>
    <t>BT</t>
  </si>
  <si>
    <t>Bhutan</t>
  </si>
  <si>
    <t>BV</t>
  </si>
  <si>
    <t>Bouvet Island</t>
  </si>
  <si>
    <t>BW</t>
  </si>
  <si>
    <t>Botswana</t>
  </si>
  <si>
    <t>BY</t>
  </si>
  <si>
    <t>Belarus</t>
  </si>
  <si>
    <t>BZ</t>
  </si>
  <si>
    <t>Belize</t>
  </si>
  <si>
    <t>CA</t>
  </si>
  <si>
    <t>Canada</t>
  </si>
  <si>
    <t>CC</t>
  </si>
  <si>
    <t>Cocos (Keeling) Islands</t>
  </si>
  <si>
    <t>CD</t>
  </si>
  <si>
    <t>Congo, Democratic Republic of the</t>
  </si>
  <si>
    <t>CF</t>
  </si>
  <si>
    <t>Central African Republic</t>
  </si>
  <si>
    <t>CG</t>
  </si>
  <si>
    <t>Congo</t>
  </si>
  <si>
    <t>CH</t>
  </si>
  <si>
    <t>Switzerland</t>
  </si>
  <si>
    <t>CI</t>
  </si>
  <si>
    <t>Côte d'Ivoire</t>
  </si>
  <si>
    <t>CK</t>
  </si>
  <si>
    <t>Cook Islands</t>
  </si>
  <si>
    <t>CL</t>
  </si>
  <si>
    <t>Chile</t>
  </si>
  <si>
    <t>CM</t>
  </si>
  <si>
    <t>Cameroon</t>
  </si>
  <si>
    <t>CN</t>
  </si>
  <si>
    <t>China</t>
  </si>
  <si>
    <t>CO</t>
  </si>
  <si>
    <t>Colombia</t>
  </si>
  <si>
    <t>CR</t>
  </si>
  <si>
    <t>Costa Rica</t>
  </si>
  <si>
    <t>CU</t>
  </si>
  <si>
    <t>Cuba</t>
  </si>
  <si>
    <t>CV</t>
  </si>
  <si>
    <t>Cabo Verde</t>
  </si>
  <si>
    <t>CW</t>
  </si>
  <si>
    <t>Curaçao</t>
  </si>
  <si>
    <t>CX</t>
  </si>
  <si>
    <t>Christmas Island</t>
  </si>
  <si>
    <t>CY</t>
  </si>
  <si>
    <t>Cyprus</t>
  </si>
  <si>
    <t>CZ</t>
  </si>
  <si>
    <t>Czechia</t>
  </si>
  <si>
    <t>DE</t>
  </si>
  <si>
    <t>Germany</t>
  </si>
  <si>
    <t>Djibouti</t>
  </si>
  <si>
    <t>DK</t>
  </si>
  <si>
    <t>Denmark</t>
  </si>
  <si>
    <t>DM</t>
  </si>
  <si>
    <t>Dominica</t>
  </si>
  <si>
    <t>DO</t>
  </si>
  <si>
    <t>Dominican Republic</t>
  </si>
  <si>
    <t>DZ</t>
  </si>
  <si>
    <t>Algeria</t>
  </si>
  <si>
    <t>EC</t>
  </si>
  <si>
    <t>Ecuador</t>
  </si>
  <si>
    <t>EE</t>
  </si>
  <si>
    <t>Estonia</t>
  </si>
  <si>
    <t>EG</t>
  </si>
  <si>
    <t>Egypt</t>
  </si>
  <si>
    <t>EH</t>
  </si>
  <si>
    <t>Western Sahara</t>
  </si>
  <si>
    <t>ER</t>
  </si>
  <si>
    <t>Eritrea</t>
  </si>
  <si>
    <t>Spain</t>
  </si>
  <si>
    <t>ET</t>
  </si>
  <si>
    <t>Ethiopia</t>
  </si>
  <si>
    <t>FI</t>
  </si>
  <si>
    <t>Finland</t>
  </si>
  <si>
    <t>FJ</t>
  </si>
  <si>
    <t>Fiji</t>
  </si>
  <si>
    <t>FK</t>
  </si>
  <si>
    <t>Falkland Islands (Malvinas)</t>
  </si>
  <si>
    <t>FM</t>
  </si>
  <si>
    <t>Micronesia (Federated States of)</t>
  </si>
  <si>
    <t>FO</t>
  </si>
  <si>
    <t>Faroe Islands</t>
  </si>
  <si>
    <t>FR</t>
  </si>
  <si>
    <t>France</t>
  </si>
  <si>
    <t>GA</t>
  </si>
  <si>
    <t>Gabon</t>
  </si>
  <si>
    <t>GB</t>
  </si>
  <si>
    <t>United Kingdom of Great Britain and Northern Ireland</t>
  </si>
  <si>
    <t>GD</t>
  </si>
  <si>
    <t>Grenada</t>
  </si>
  <si>
    <t>GE</t>
  </si>
  <si>
    <t>Georgia</t>
  </si>
  <si>
    <t>GF</t>
  </si>
  <si>
    <t>French Guiana</t>
  </si>
  <si>
    <t>GG</t>
  </si>
  <si>
    <t>Guernsey</t>
  </si>
  <si>
    <t>GH</t>
  </si>
  <si>
    <t>Ghana</t>
  </si>
  <si>
    <t>GI</t>
  </si>
  <si>
    <t>Gibraltar</t>
  </si>
  <si>
    <t>GL</t>
  </si>
  <si>
    <t>Greenland</t>
  </si>
  <si>
    <t>GM</t>
  </si>
  <si>
    <t>Gambia</t>
  </si>
  <si>
    <t>GN</t>
  </si>
  <si>
    <t>Guinea</t>
  </si>
  <si>
    <t>GP</t>
  </si>
  <si>
    <t>Guadeloupe</t>
  </si>
  <si>
    <t>GQ</t>
  </si>
  <si>
    <t>Equatorial Guinea</t>
  </si>
  <si>
    <t>GR</t>
  </si>
  <si>
    <t>Greece</t>
  </si>
  <si>
    <t>GS</t>
  </si>
  <si>
    <t>South Georgia and the South Sandwich Islands</t>
  </si>
  <si>
    <t>GT</t>
  </si>
  <si>
    <t>Guatemala</t>
  </si>
  <si>
    <t>GU</t>
  </si>
  <si>
    <t>Guam</t>
  </si>
  <si>
    <t>GW</t>
  </si>
  <si>
    <t>Guinea-Bissau</t>
  </si>
  <si>
    <t>GY</t>
  </si>
  <si>
    <t>Guyana</t>
  </si>
  <si>
    <t>HK</t>
  </si>
  <si>
    <t>Hong Kong</t>
  </si>
  <si>
    <t>HM</t>
  </si>
  <si>
    <t>Heard Island and McDonald Islands</t>
  </si>
  <si>
    <t>HN</t>
  </si>
  <si>
    <t>Honduras</t>
  </si>
  <si>
    <t>HR</t>
  </si>
  <si>
    <t>Croatia</t>
  </si>
  <si>
    <t>HT</t>
  </si>
  <si>
    <t>Haiti</t>
  </si>
  <si>
    <t>HU</t>
  </si>
  <si>
    <t>Hungary</t>
  </si>
  <si>
    <t>Indonesia</t>
  </si>
  <si>
    <t>IE</t>
  </si>
  <si>
    <t>Ireland</t>
  </si>
  <si>
    <t>IL</t>
  </si>
  <si>
    <t>Israel</t>
  </si>
  <si>
    <t>IM</t>
  </si>
  <si>
    <t>Isle of Man</t>
  </si>
  <si>
    <t>IN</t>
  </si>
  <si>
    <t>India</t>
  </si>
  <si>
    <t>IO</t>
  </si>
  <si>
    <t>British Indian Ocean Territory</t>
  </si>
  <si>
    <t>IQ</t>
  </si>
  <si>
    <t>Iraq</t>
  </si>
  <si>
    <t>Iran (Islamic Republic of)</t>
  </si>
  <si>
    <t>IS</t>
  </si>
  <si>
    <t>Iceland</t>
  </si>
  <si>
    <t>IT</t>
  </si>
  <si>
    <t>Italy</t>
  </si>
  <si>
    <t>JE</t>
  </si>
  <si>
    <t>Jersey</t>
  </si>
  <si>
    <t>JM</t>
  </si>
  <si>
    <t>Jamaica</t>
  </si>
  <si>
    <t>JO</t>
  </si>
  <si>
    <t>Jordan</t>
  </si>
  <si>
    <t>JP</t>
  </si>
  <si>
    <t>Japan</t>
  </si>
  <si>
    <t>KE</t>
  </si>
  <si>
    <t>Kenya</t>
  </si>
  <si>
    <t>KG</t>
  </si>
  <si>
    <t>Kyrgyzstan</t>
  </si>
  <si>
    <t>KH</t>
  </si>
  <si>
    <t>Cambodia</t>
  </si>
  <si>
    <t>KI</t>
  </si>
  <si>
    <t>Kiribati</t>
  </si>
  <si>
    <t>KM</t>
  </si>
  <si>
    <t>Comoros</t>
  </si>
  <si>
    <t>KN</t>
  </si>
  <si>
    <t>Saint Kitts and Nevis</t>
  </si>
  <si>
    <t>KP</t>
  </si>
  <si>
    <t>Korea (Democratic People's Republic of)</t>
  </si>
  <si>
    <t>KR</t>
  </si>
  <si>
    <t>Korea, Republic of</t>
  </si>
  <si>
    <t>KW</t>
  </si>
  <si>
    <t>Kuwait</t>
  </si>
  <si>
    <t>KY</t>
  </si>
  <si>
    <t>Cayman Islands</t>
  </si>
  <si>
    <t>KZ</t>
  </si>
  <si>
    <t>Kazakhstan</t>
  </si>
  <si>
    <t>LA</t>
  </si>
  <si>
    <t>Lao People's Democratic Republic</t>
  </si>
  <si>
    <t>LB</t>
  </si>
  <si>
    <t>Lebanon</t>
  </si>
  <si>
    <t>Saint Lucia</t>
  </si>
  <si>
    <t>LI</t>
  </si>
  <si>
    <t>Liechtenstein</t>
  </si>
  <si>
    <t>LK</t>
  </si>
  <si>
    <t>Sri Lanka</t>
  </si>
  <si>
    <t>LR</t>
  </si>
  <si>
    <t>Liberia</t>
  </si>
  <si>
    <t>LS</t>
  </si>
  <si>
    <t>Lesotho</t>
  </si>
  <si>
    <t>LT</t>
  </si>
  <si>
    <t>Lithuania</t>
  </si>
  <si>
    <t>LU</t>
  </si>
  <si>
    <t>Luxembourg</t>
  </si>
  <si>
    <t>LV</t>
  </si>
  <si>
    <t>Latvia</t>
  </si>
  <si>
    <t>LY</t>
  </si>
  <si>
    <t>Libya</t>
  </si>
  <si>
    <t>MA</t>
  </si>
  <si>
    <t>Morocco</t>
  </si>
  <si>
    <t>MC</t>
  </si>
  <si>
    <t>Monaco</t>
  </si>
  <si>
    <t>MD</t>
  </si>
  <si>
    <t>Moldova, Republic of</t>
  </si>
  <si>
    <t>Montenegro</t>
  </si>
  <si>
    <t>MF</t>
  </si>
  <si>
    <t>Saint Martin (French part)</t>
  </si>
  <si>
    <t>MG</t>
  </si>
  <si>
    <t>Madagascar</t>
  </si>
  <si>
    <t>MH</t>
  </si>
  <si>
    <t>Marshall Islands</t>
  </si>
  <si>
    <t>MK</t>
  </si>
  <si>
    <t>Macedonia, the former Yugoslav Republic of</t>
  </si>
  <si>
    <t>ML</t>
  </si>
  <si>
    <t>Mali</t>
  </si>
  <si>
    <t>MM</t>
  </si>
  <si>
    <t>Myanmar</t>
  </si>
  <si>
    <t>MN</t>
  </si>
  <si>
    <t>Mongolia</t>
  </si>
  <si>
    <t>MO</t>
  </si>
  <si>
    <t>Macao</t>
  </si>
  <si>
    <t>MP</t>
  </si>
  <si>
    <t>Northern Mariana Islands</t>
  </si>
  <si>
    <t>MQ</t>
  </si>
  <si>
    <t>Martinique</t>
  </si>
  <si>
    <t>MR</t>
  </si>
  <si>
    <t>Mauritania</t>
  </si>
  <si>
    <t>MS</t>
  </si>
  <si>
    <t>Montserrat</t>
  </si>
  <si>
    <t>MT</t>
  </si>
  <si>
    <t>Malta</t>
  </si>
  <si>
    <t>Mauritius</t>
  </si>
  <si>
    <t>MV</t>
  </si>
  <si>
    <t>Maldives</t>
  </si>
  <si>
    <t>Malawi</t>
  </si>
  <si>
    <t>MX</t>
  </si>
  <si>
    <t>Mexico</t>
  </si>
  <si>
    <t>MY</t>
  </si>
  <si>
    <t>Malaysia</t>
  </si>
  <si>
    <t>MZ</t>
  </si>
  <si>
    <t>Mozambique</t>
  </si>
  <si>
    <t>NA</t>
  </si>
  <si>
    <t>Namibia</t>
  </si>
  <si>
    <t>NC</t>
  </si>
  <si>
    <t>New Caledonia</t>
  </si>
  <si>
    <t>Niger</t>
  </si>
  <si>
    <t>NF</t>
  </si>
  <si>
    <t>Norfolk Island</t>
  </si>
  <si>
    <t>NG</t>
  </si>
  <si>
    <t>Nigeria</t>
  </si>
  <si>
    <t>NI</t>
  </si>
  <si>
    <t>Nicaragua</t>
  </si>
  <si>
    <t>Netherlands</t>
  </si>
  <si>
    <t>NO</t>
  </si>
  <si>
    <t>Norway</t>
  </si>
  <si>
    <t>NP</t>
  </si>
  <si>
    <t>Nepal</t>
  </si>
  <si>
    <t>NR</t>
  </si>
  <si>
    <t>Nauru</t>
  </si>
  <si>
    <t>NU</t>
  </si>
  <si>
    <t>Niue</t>
  </si>
  <si>
    <t>NZ</t>
  </si>
  <si>
    <t>New Zealand</t>
  </si>
  <si>
    <t>OM</t>
  </si>
  <si>
    <t>Oman</t>
  </si>
  <si>
    <t>PA</t>
  </si>
  <si>
    <t>Panama</t>
  </si>
  <si>
    <t>PE</t>
  </si>
  <si>
    <t>Peru</t>
  </si>
  <si>
    <t>French Polynesia</t>
  </si>
  <si>
    <t>PG</t>
  </si>
  <si>
    <t>Papua New Guinea</t>
  </si>
  <si>
    <t>PH</t>
  </si>
  <si>
    <t>Philippines</t>
  </si>
  <si>
    <t>PK</t>
  </si>
  <si>
    <t>Pakistan</t>
  </si>
  <si>
    <t>PL</t>
  </si>
  <si>
    <t>Poland</t>
  </si>
  <si>
    <t>PM</t>
  </si>
  <si>
    <t>Saint Pierre and Miquelon</t>
  </si>
  <si>
    <t>PN</t>
  </si>
  <si>
    <t>Pitcairn</t>
  </si>
  <si>
    <t>PR</t>
  </si>
  <si>
    <t>Puerto Rico</t>
  </si>
  <si>
    <t>Palestine, State of</t>
  </si>
  <si>
    <t>PT</t>
  </si>
  <si>
    <t>Portugal</t>
  </si>
  <si>
    <t>PW</t>
  </si>
  <si>
    <t>Palau</t>
  </si>
  <si>
    <t>PY</t>
  </si>
  <si>
    <t>Paraguay</t>
  </si>
  <si>
    <t>QA</t>
  </si>
  <si>
    <t>Qatar</t>
  </si>
  <si>
    <t>RE</t>
  </si>
  <si>
    <t>Réunion</t>
  </si>
  <si>
    <t>RO</t>
  </si>
  <si>
    <t>Romania</t>
  </si>
  <si>
    <t>RS</t>
  </si>
  <si>
    <t>Serbia</t>
  </si>
  <si>
    <t>Russian Federation</t>
  </si>
  <si>
    <t>RW</t>
  </si>
  <si>
    <t>Rwanda</t>
  </si>
  <si>
    <t>SA</t>
  </si>
  <si>
    <t>Saudi Arabia</t>
  </si>
  <si>
    <t>SB</t>
  </si>
  <si>
    <t>Solomon Islands</t>
  </si>
  <si>
    <t>SC</t>
  </si>
  <si>
    <t>Seychelles</t>
  </si>
  <si>
    <t>SD</t>
  </si>
  <si>
    <t>Sudan</t>
  </si>
  <si>
    <t>SE</t>
  </si>
  <si>
    <t>Sweden</t>
  </si>
  <si>
    <t>SG</t>
  </si>
  <si>
    <t>Singapore</t>
  </si>
  <si>
    <t>SH</t>
  </si>
  <si>
    <t>Saint Helena, Ascension and Tristan da Cunha</t>
  </si>
  <si>
    <t>SI</t>
  </si>
  <si>
    <t>Slovenia</t>
  </si>
  <si>
    <t>SJ</t>
  </si>
  <si>
    <t>Svalbard and Jan Mayen</t>
  </si>
  <si>
    <t>SK</t>
  </si>
  <si>
    <t>Slovakia</t>
  </si>
  <si>
    <t>SL</t>
  </si>
  <si>
    <t>Sierra Leone</t>
  </si>
  <si>
    <t>SM</t>
  </si>
  <si>
    <t>San Marino</t>
  </si>
  <si>
    <t>SN</t>
  </si>
  <si>
    <t>Senegal</t>
  </si>
  <si>
    <t>SO</t>
  </si>
  <si>
    <t>Somalia</t>
  </si>
  <si>
    <t>SR</t>
  </si>
  <si>
    <t>Suriname</t>
  </si>
  <si>
    <t>SS</t>
  </si>
  <si>
    <t>South Sudan</t>
  </si>
  <si>
    <t>ST</t>
  </si>
  <si>
    <t>Sao Tome and Principe</t>
  </si>
  <si>
    <t>SV</t>
  </si>
  <si>
    <t>El Salvador</t>
  </si>
  <si>
    <t>SX</t>
  </si>
  <si>
    <t>Sint Maarten (Dutch part)</t>
  </si>
  <si>
    <t>SY</t>
  </si>
  <si>
    <t>Syrian Arab Republic</t>
  </si>
  <si>
    <t>SZ</t>
  </si>
  <si>
    <t>Eswatini</t>
  </si>
  <si>
    <t>TC</t>
  </si>
  <si>
    <t>Turks and Caicos Islands</t>
  </si>
  <si>
    <t>TD</t>
  </si>
  <si>
    <t>Chad</t>
  </si>
  <si>
    <t>TF</t>
  </si>
  <si>
    <t>French Southern Territories</t>
  </si>
  <si>
    <t>TG</t>
  </si>
  <si>
    <t>Togo</t>
  </si>
  <si>
    <t>TH</t>
  </si>
  <si>
    <t>Thailand</t>
  </si>
  <si>
    <t>TJ</t>
  </si>
  <si>
    <t>Tajikistan</t>
  </si>
  <si>
    <t>TK</t>
  </si>
  <si>
    <t>Tokelau</t>
  </si>
  <si>
    <t>TL</t>
  </si>
  <si>
    <t>Timor-Leste</t>
  </si>
  <si>
    <t>TM</t>
  </si>
  <si>
    <t>Turkmenistan</t>
  </si>
  <si>
    <t>TN</t>
  </si>
  <si>
    <t>Tunisia</t>
  </si>
  <si>
    <t>TO</t>
  </si>
  <si>
    <t>Tonga</t>
  </si>
  <si>
    <t>TR</t>
  </si>
  <si>
    <t>Turkey</t>
  </si>
  <si>
    <t>TT</t>
  </si>
  <si>
    <t>Trinidad and Tobago</t>
  </si>
  <si>
    <t>TV</t>
  </si>
  <si>
    <t>Tuvalu</t>
  </si>
  <si>
    <t>TW</t>
  </si>
  <si>
    <t>Taiwan, Province of China</t>
  </si>
  <si>
    <t>TZ</t>
  </si>
  <si>
    <t>Tanzania, United Republic of</t>
  </si>
  <si>
    <t>UA</t>
  </si>
  <si>
    <t>Ukraine</t>
  </si>
  <si>
    <t>UG</t>
  </si>
  <si>
    <t>Uganda</t>
  </si>
  <si>
    <t>UM</t>
  </si>
  <si>
    <t>United States Minor Outlying Islands</t>
  </si>
  <si>
    <t>United States of America</t>
  </si>
  <si>
    <t>UY</t>
  </si>
  <si>
    <t>Uruguay</t>
  </si>
  <si>
    <t>UZ</t>
  </si>
  <si>
    <t>Uzbekistan</t>
  </si>
  <si>
    <t>VA</t>
  </si>
  <si>
    <t>Holy See</t>
  </si>
  <si>
    <t>VC</t>
  </si>
  <si>
    <t>Saint Vincent and the Grenadines</t>
  </si>
  <si>
    <t>VE</t>
  </si>
  <si>
    <t>Venezuela (Bolivarian Republic of)</t>
  </si>
  <si>
    <t>VG</t>
  </si>
  <si>
    <t>Virgin Islands (British)</t>
  </si>
  <si>
    <t>VI</t>
  </si>
  <si>
    <t>Virgin Islands (U.S.)</t>
  </si>
  <si>
    <t>VN</t>
  </si>
  <si>
    <t>Viet Nam</t>
  </si>
  <si>
    <t>VU</t>
  </si>
  <si>
    <t>Vanuatu</t>
  </si>
  <si>
    <t>WF</t>
  </si>
  <si>
    <t>Wallis and Futuna</t>
  </si>
  <si>
    <t>WS</t>
  </si>
  <si>
    <t>Samoa</t>
  </si>
  <si>
    <t>YE</t>
  </si>
  <si>
    <t>Yemen</t>
  </si>
  <si>
    <t>YT</t>
  </si>
  <si>
    <t>Mayotte</t>
  </si>
  <si>
    <t>ZA</t>
  </si>
  <si>
    <t>South Africa</t>
  </si>
  <si>
    <t>ZM</t>
  </si>
  <si>
    <t>Zambia</t>
  </si>
  <si>
    <t>ZW</t>
  </si>
  <si>
    <t>Zimbabwe</t>
  </si>
  <si>
    <t>Code list for area codes</t>
  </si>
  <si>
    <t>Code list for frequency</t>
  </si>
  <si>
    <t>Code list for measures</t>
  </si>
  <si>
    <t>Code list for unit of measure</t>
  </si>
  <si>
    <t>Code list for confidentiality status</t>
  </si>
  <si>
    <t>1.2</t>
  </si>
  <si>
    <t>Code list for observation status</t>
  </si>
  <si>
    <t>Code list for decimals</t>
  </si>
  <si>
    <t>Code list for time format</t>
  </si>
  <si>
    <t>Code list for the unit multiplier</t>
  </si>
  <si>
    <t>Non-CL Artefact file prefix</t>
  </si>
  <si>
    <t>c:\temp</t>
  </si>
  <si>
    <t>ATTRIBUTES</t>
  </si>
  <si>
    <t>Number of digits of an observation to the right of a decimal point.</t>
  </si>
  <si>
    <t>CL_DECIMALS</t>
  </si>
  <si>
    <t>CS_TEST</t>
  </si>
  <si>
    <t>Test concept scheme</t>
  </si>
  <si>
    <t>TEST</t>
  </si>
  <si>
    <t>Test DSD</t>
  </si>
  <si>
    <t>Test Dataflow</t>
  </si>
  <si>
    <t>SDMXCAT</t>
  </si>
  <si>
    <r>
      <rPr>
        <b/>
        <u/>
        <sz val="11"/>
        <color theme="1"/>
        <rFont val="Calibri"/>
        <family val="2"/>
        <scheme val="minor"/>
      </rPr>
      <t>Legend:</t>
    </r>
    <r>
      <rPr>
        <b/>
        <sz val="11"/>
        <color theme="1"/>
        <rFont val="Calibri"/>
        <family val="2"/>
        <scheme val="minor"/>
      </rPr>
      <t xml:space="preserve">
# … Code list fully used in concept
 %… Code list partly used in concept (see detailed sheet)
</t>
    </r>
    <r>
      <rPr>
        <b/>
        <i/>
        <sz val="11"/>
        <color indexed="8"/>
        <rFont val="Calibri"/>
        <family val="2"/>
        <scheme val="minor"/>
      </rPr>
      <t>(blank)</t>
    </r>
    <r>
      <rPr>
        <b/>
        <sz val="11"/>
        <color indexed="8"/>
        <rFont val="Calibri"/>
        <family val="2"/>
        <scheme val="minor"/>
      </rPr>
      <t xml:space="preserve"> … Concept not used in table
</t>
    </r>
    <r>
      <rPr>
        <b/>
        <i/>
        <sz val="11"/>
        <color indexed="8"/>
        <rFont val="Calibri"/>
        <family val="2"/>
        <scheme val="minor"/>
      </rPr>
      <t>(code)</t>
    </r>
    <r>
      <rPr>
        <b/>
        <sz val="11"/>
        <color indexed="8"/>
        <rFont val="Calibri"/>
        <family val="2"/>
        <scheme val="minor"/>
      </rPr>
      <t xml:space="preserve"> … fixed single code from code list</t>
    </r>
  </si>
  <si>
    <t>Comments</t>
  </si>
  <si>
    <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t>
  </si>
  <si>
    <t xml:space="preserve">This code is used when data for a given category are missing and are included in another category, sub-total or total. Generally where code "K" is used there should be a corresponding code "W - Includes data from another category" assigned to the over-covered category. Implementers and data reporters should use the COMMENT_OBS observation-level attribute to specify under which category the data are included. </t>
  </si>
  <si>
    <t>Fill the category columns on the Dataflows worksheet for attaching the Dataflow to a Category</t>
  </si>
  <si>
    <t>AGENCY</t>
  </si>
  <si>
    <t>TESTDSD</t>
  </si>
  <si>
    <t>TESTDF</t>
  </si>
  <si>
    <t>AgencySchemeOuter</t>
  </si>
  <si>
    <t>AgencySchemeMain</t>
  </si>
  <si>
    <t>&lt;?xml version='1.0' encoding='UTF-8'?&gt;&lt;mes:Structure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https://registry.sdmx.org/schemas/v2_1/SDMXMessage.xsd"&gt;&lt;mes:Structures&gt;&lt;str:OrganisationSchemes&gt;&lt;str:AgencyScheme id="" urn="" isExternalReference="false" agencyID="" isFinal="" version=""&gt;&lt;com:Name xml:lang="en"&gt;&lt;/com:Name&gt;&lt;/str:AgencyScheme&gt;&lt;/str:OrganisationSchemes&gt;&lt;/mes:Structures&gt;&lt;/mes:Structure&gt;</t>
  </si>
  <si>
    <t>&lt;str:Agency id="" urn=""&gt;&lt;com:Name xml:lang="en"&gt;&lt;/com:Name&gt;&lt;com:Description xml:lang="en"&gt;&lt;/com:Description&gt;&lt;str:Contact&gt;&lt;com:Name xml:lang="en"&gt;&lt;/com:Name&gt;&lt;str:Department xml:lang="en"&gt;&lt;/str:Department&gt;&lt;str:Role xml:lang="en"&gt;&lt;/str:Role&gt;&lt;str:Telephone&gt;&lt;/str:Telephone&gt;&lt;str:URI&gt;&lt;/str:URI&gt;&lt;str:Email&gt;&lt;/str:Email&gt;&lt;/str:Contact&gt;&lt;/str:Agency&gt;</t>
  </si>
  <si>
    <t>&lt;?xml version="1.0"?&gt;_x000D_
&lt;mes:Structure xmlns:xsi="http://www.w3.org/2001/XMLSchema-instance" xmlns:xml="http://www.w3.org/XML/1998/namespace" xmlns:mes="http://www.sdmx.org/resources/sdmxml/schemas/v2_1/message" xmlns:str="http://www.sdmx.org/resources/sdmxml/schemas/v2_1/structure" xmlns:com="http://www.sdmx.org/resources/sdmxml/schemas/v2_1/common" xsi:schemaLocation="http://www.sdmx.org/resources/sdmxml/schemas/v2_1/message https://registry.sdmx.org/schemas/v2_1/SDMXMessage.xsd"&gt;&lt;mes:Header&gt;&lt;mes:ID&gt;IDREF4397&lt;/mes:ID&gt;&lt;mes:Test&gt;false&lt;/mes:Test&gt;&lt;mes:Prepared&gt;2019-02-27T15:54:11&lt;/mes:Prepared&gt;&lt;mes:Sender id="OECD"/&gt;&lt;mes:Receiver id="OECD"/&gt;&lt;/mes:Header&gt;&lt;mes:Structures&gt;&lt;str:Dataflows&gt;&lt;str:Dataflow xmlns:str="http://www.sdmx.org/resources/sdmxml/schemas/v2_1/structure" xmlns:com="http://www.sdmx.org/resources/sdmxml/schemas/v2_1/common" id="TESTDF" urn="urn:sdmx:org.sdmx.infomodel.datastructure.Dataflow=SDMX:TESTDF(1.0.0)" isExternalReference="false" agencyID="SDMX" isFinal="false" version="1.0.0"&gt;&lt;com:Name xml:lang="en"&gt;Test Dataflow&lt;/com:Name&gt;&lt;com:Description xml:lang="en"&gt;&lt;/com:Description&gt;&lt;str:Structure&gt;&lt;Ref id="TESTDSD" package="datastructure" class="DataStructure" agencyID="SDMX" version="1.0.0"/&gt;&lt;/str:Structure&gt;&lt;/str:Dataflow&gt;&lt;/str:Dataflows&gt;&lt;str:Categorisations&gt;&lt;str:Categorisation xmlns:str="http://www.sdmx.org/resources/sdmxml/schemas/v2_1/structure" xmlns:com="http://www.sdmx.org/resources/sdmxml/schemas/v2_1/common" id="TEST_TESTDF" urn="urn:sdmx:org.sdmx.infomodel.categoryscheme.Categorisation=SDMX:TEST_TESTDF(1.0.0)" agencyID="SDMX" version="1.0.0" isFinal="false"&gt;&lt;com:Name xml:lang="en"&gt;Test Dataflow for TEST&lt;/com:Name&gt;&lt;str:Source&gt;&lt;Ref id="TESTDF" version="1.0.0" agencyID="SDMX" package="datastructure" class="Dataflow"/&gt;&lt;/str:Source&gt;&lt;str:Target&gt;&lt;Ref id="TEST" maintainableParentID="SDMXCAT" maintainableParentVersion="1.0.0" agencyID="SDMX" package="categoryscheme" class="Category"/&gt;&lt;/str:Target&gt;&lt;/str:Categorisation&gt;&lt;/str:Categorisations&gt;&lt;str:Codelists&gt;&lt;str:Codelist xmlns:mes="http://www.sdmx.org/resources/sdmxml/schemas/v2_1/message" xmlns:com="http://www.sdmx.org/resources/sdmxml/schemas/v2_1/common" xmlns:str="http://www.sdmx.org/resources/sdmxml/schemas/v2_1/structure" id="CL_FREQ" urn="urn:sdmx:org.sdmx.infomodel.codelist.Codelist=SDMX:CL_FREQ(2.0.0)" agencyID="SDMX" isFinal="false" version="2.0.0"&gt;&lt;com:Name xml:lang="en"&gt;Code list for frequency&lt;/com:Name&gt;&lt;com:Description xml:lang="en"&gt;&lt;/com:Description&gt;&lt;str:Code id="A" urn="urn:sdmx:org.sdmx.infomodel.codelist.Code=SDMX:CL_FREQ(2.0.0).A"&gt;&lt;com:Name&gt;Annual&lt;/com:Name&gt;&lt;com:Description&gt;To be used for data collected or disseminated every year.&lt;/com:Description&gt;&lt;/str:Code&gt;&lt;str:Code id="S" urn="urn:sdmx:org.sdmx.infomodel.codelist.Code=SDMX:CL_FREQ(2.0.0).S"&gt;&lt;com:Name&gt;Half-yearly, semester&lt;/com:Name&gt;&lt;com:Description&gt;To be used for data collected or disseminated every semester.&lt;/com:Description&gt;&lt;/str:Code&gt;&lt;str:Code id="Q" urn="urn:sdmx:org.sdmx.infomodel.codelist.Code=SDMX:CL_FREQ(2.0.0).Q"&gt;&lt;com:Name&gt;Quarterly&lt;/com:Name&gt;&lt;com:Description&gt;To be used for data collected or disseminated every quarter.&lt;/com:Description&gt;&lt;/str:Code&gt;&lt;str:Code id="M" urn="urn:sdmx:org.sdmx.infomodel.codelist.Code=SDMX:CL_FREQ(2.0.0).M"&gt;&lt;com:Name&gt;Monthly&lt;/com:Name&gt;&lt;com:Description&gt;To be used for data collected or disseminated every month.&lt;/com:Description&gt;&lt;/str:Code&gt;&lt;str:Code id="W" urn="urn:sdmx:org.sdmx.infomodel.codelist.Code=SDMX:CL_FREQ(2.0.0).W"&gt;&lt;com:Name&gt;Weekly&lt;/com:Name&gt;&lt;com:Description&gt;To be used for data collected or disseminated every week.&lt;/com:Description&gt;&lt;/str:Code&gt;&lt;str:Code id="D" urn="urn:sdmx:org.sdmx.infomodel.codelist.Code=SDMX:CL_FREQ(2.0.0).D"&gt;&lt;com:Name&gt;Daily&lt;/com:Name&gt;&lt;com:Description&gt;To be used for data collected or disseminated  every day.&lt;/com:Description&gt;&lt;/str:Code&gt;&lt;str:Code id="H" urn="urn:sdmx:org.sdmx.infomodel.codelist.Code=SDMX:CL_FREQ(2.0.0).H"&gt;&lt;com:Name&gt;Hourly&lt;/com:Name&gt;&lt;com:Description&gt;To be used for data collected or disseminated  every hour.&lt;/com:Description&gt;&lt;/str:Code&gt;&lt;str:Code id="B" urn="urn:sdmx:org.sdmx.infomodel.codelist.Code=SDMX:CL_FREQ(2.0.0).B"&gt;&lt;com:Name&gt;Daily – business week&lt;/com:Name&gt;&lt;com:Description&gt;Similar to "daily", however there are no observations for Saturdays and Sundays (so, neither "missing values" nor "numeric values" should be provided for Saturday and Sunday). This treatment  ("business") is one way to deal with such cases, but it is not the only option. Such a time series could alternatively be considered daily ("D"), thus, with missing values in the weekend.&lt;/com:Description&gt;&lt;/str:Code&gt;&lt;str:Code id="N" urn="urn:sdmx:org.sdmx.infomodel.codelist.Code=SDMX:CL_FREQ(2.0.0).N"&gt;&lt;com:Name&gt;Minutely&lt;/com:Name&gt;&lt;com:Description&gt;While N denotes "minutely", usually, there may be no observations every minute (for several series the frequency is usually "irregular" within a day/days). And though observations may be sparse (not collected or disseminated every minute), missing values do not need to be given for the minutes when no observations exist: in any case the time stamp determines when an observation is observed.&lt;/com:Description&gt;&lt;/str:Code&gt;&lt;/str:Codelist&gt;&lt;str:Codelist xmlns:mes="http://www.sdmx.org/resources/sdmxml/schemas/v2_1/message" xmlns:com="http://www.sdmx.org/resources/sdmxml/schemas/v2_1/common" xmlns:str="http://www.sdmx.org/resources/sdmxml/schemas/v2_1/structure" id="CL_AREA" urn="urn:sdmx:org.sdmx.infomodel.codelist.Codelist=SDMX:CL_AREA(1.0.0)" agencyID="SDMX" isFinal="false" version="1.0.0"&gt;&lt;com:Name xml:lang="en"&gt;Code list for area codes&lt;/com:Name&gt;&lt;com:Description xml:lang="en"&gt;&lt;/com:Description&gt;&lt;str:Code id="AD" urn="urn:sdmx:org.sdmx.infomodel.codelist.Code=SDMX:CL_AREA(1.0.0).AD"&gt;&lt;com:Name&gt;Andorra&lt;/com:Name&gt;&lt;com:Description&gt;&lt;/com:Description&gt;&lt;/str:Code&gt;&lt;str:Code id="AE" urn="urn:sdmx:org.sdmx.infomodel.codelist.Code=SDMX:CL_AREA(1.0.0).AE"&gt;&lt;com:Name&gt;United Arab Emirates&lt;/com:Name&gt;&lt;com:Description&gt;&lt;/com:Description&gt;&lt;/str:Code&gt;&lt;str:Code id="AF" urn="urn:sdmx:org.sdmx.infomodel.codelist.Code=SDMX:CL_AREA(1.0.0).AF"&gt;&lt;com:Name&gt;Afghanistan&lt;/com:Name&gt;&lt;com:Description&gt;&lt;/com:Description&gt;&lt;/str:Code&gt;&lt;str:Code id="AG" urn="urn:sdmx:org.sdmx.infomodel.codelist.Code=SDMX:CL_AREA(1.0.0).AG"&gt;&lt;com:Name&gt;Antigua and Barbuda&lt;/com:Name&gt;&lt;com:Description&gt;&lt;/com:Description&gt;&lt;/str:Code&gt;&lt;str:Code id="AI" urn="urn:sdmx:org.sdmx.infomodel.codelist.Code=SDMX:CL_AREA(1.0.0).AI"&gt;&lt;com:Name&gt;Anguilla&lt;/com:Name&gt;&lt;com:Description&gt;&lt;/com:Description&gt;&lt;/str:Code&gt;&lt;str:Code id="AL" urn="urn:sdmx:org.sdmx.infomodel.codelist.Code=SDMX:CL_AREA(1.0.0).AL"&gt;&lt;com:Name&gt;Albania&lt;/com:Name&gt;&lt;com:Description&gt;&lt;/com:Description&gt;&lt;/str:Code&gt;&lt;str:Code id="AM" urn="urn:sdmx:org.sdmx.infomodel.codelist.Code=SDMX:CL_AREA(1.0.0).AM"&gt;&lt;com:Name&gt;Armenia&lt;/com:Name&gt;&lt;com:Description&gt;&lt;/com:Description&gt;&lt;/str:Code&gt;&lt;str:Code id="AO" urn="urn:sdmx:org.sdmx.infomodel.codelist.Code=SDMX:CL_AREA(1.0.0).AO"&gt;&lt;com:Name&gt;Angola&lt;/com:Name&gt;&lt;com:Description&gt;&lt;/com:Description&gt;&lt;/str:Code&gt;&lt;str:Code id="AQ" urn="urn:sdmx:org.sdmx.infomodel.codelist.Code=SDMX:CL_AREA(1.0.0).AQ"&gt;&lt;com:Name&gt;Antarctica&lt;/com:Name&gt;&lt;com:Description&gt;&lt;/com:Description&gt;&lt;/str:Code&gt;&lt;str:Code id="AR" urn="urn:sdmx:org.sdmx.infomodel.codelist.Code=SDMX:CL_AREA(1.0.0).AR"&gt;&lt;com:Name&gt;Argentina&lt;/com:Name&gt;&lt;com:Description&gt;&lt;/com:Description&gt;&lt;/str:Code&gt;&lt;str:Code id="AS" urn="urn:sdmx:org.sdmx.infomodel.codelist.Code=SDMX:CL_AREA(1.0.0).AS"&gt;&lt;com:Name&gt;American Samoa&lt;/com:Name&gt;&lt;com:Description&gt;&lt;/com:Description&gt;&lt;/str:Code&gt;&lt;str:Code id="AT" urn="urn:sdmx:org.sdmx.infomodel.codelist.Code=SDMX:CL_AREA(1.0.0).AT"&gt;&lt;com:Name&gt;Austria&lt;/com:Name&gt;&lt;com:Description&gt;&lt;/com:Description&gt;&lt;/str:Code&gt;&lt;str:Code id="AU" urn="urn:sdmx:org.sdmx.infomodel.codelist.Code=SDMX:CL_AREA(1.0.0).AU"&gt;&lt;com:Name&gt;Australia&lt;/com:Name&gt;&lt;com:Description&gt;&lt;/com:Description&gt;&lt;/str:Code&gt;&lt;str:Code id="AW" urn="urn:sdmx:org.sdmx.infomodel.codelist.Code=SDMX:CL_AREA(1.0.0).AW"&gt;&lt;com:Name&gt;Aruba&lt;/com:Name&gt;&lt;com:Description&gt;&lt;/com:Description&gt;&lt;/str:Code&gt;&lt;str:Code id="AX" urn="urn:sdmx:org.sdmx.infomodel.codelist.Code=SDMX:CL_AREA(1.0.0).AX"&gt;&lt;com:Name&gt;Åland Islands&lt;/com:Name&gt;&lt;com:Description&gt;&lt;/com:Description&gt;&lt;/str:Code&gt;&lt;str:Code id="AZ" urn="urn:sdmx:org.sdmx.infomodel.codelist.Code=SDMX:CL_AREA(1.0.0).AZ"&gt;&lt;com:Name&gt;Azerbaijan&lt;/com:Name&gt;&lt;com:Description&gt;&lt;/com:Description&gt;&lt;/str:Code&gt;&lt;str:Code id="BA" urn="urn:sdmx:org.sdmx.infomodel.codelist.Code=SDMX:CL_AREA(1.0.0).BA"&gt;&lt;com:Name&gt;Bosnia and Herzegovina&lt;/com:Name&gt;&lt;com:Description&gt;&lt;/com:Description&gt;&lt;/str:Code&gt;&lt;str:Code id="BB" urn="urn:sdmx:org.sdmx.infomodel.codelist.Code=SDMX:CL_AREA(1.0.0).BB"&gt;&lt;com:Name&gt;Barbados&lt;/com:Name&gt;&lt;com:Description&gt;&lt;/com:Description&gt;&lt;/str:Code&gt;&lt;str:Code id="BD" urn="urn:sdmx:org.sdmx.infomodel.codelist.Code=SDMX:CL_AREA(1.0.0).BD"&gt;&lt;com:Name&gt;Bangladesh&lt;/com:Name&gt;&lt;com:Description&gt;&lt;/com:Description&gt;&lt;/str:Code&gt;&lt;str:Code id="BE" urn="urn:sdmx:org.sdmx.infomodel.codelist.Code=SDMX:CL_AREA(1.0.0).BE"&gt;&lt;com:Name&gt;Belgium&lt;/com:Name&gt;&lt;com:Description&gt;&lt;/com:Description&gt;&lt;/str:Code&gt;&lt;str:Code id="BF" urn="urn:sdmx:org.sdmx.infomodel.codelist.Code=SDMX:CL_AREA(1.0.0).BF"&gt;&lt;com:Name&gt;Burkina Faso&lt;/com:Name&gt;&lt;com:Description&gt;&lt;/com:Description&gt;&lt;/str:Code&gt;&lt;str:Code id="BG" urn="urn:sdmx:org.sdmx.infomodel.codelist.Code=SDMX:CL_AREA(1.0.0).BG"&gt;&lt;com:Name&gt;Bulgaria&lt;/com:Name&gt;&lt;com:Description&gt;&lt;/com:Description&gt;&lt;/str:Code&gt;&lt;str:Code id="BH" urn="urn:sdmx:org.sdmx.infomodel.codelist.Code=SDMX:CL_AREA(1.0.0).BH"&gt;&lt;com:Name&gt;Bahrain&lt;/com:Name&gt;&lt;com:Description&gt;&lt;/com:Description&gt;&lt;/str:Code&gt;&lt;str:Code id="BI" urn="urn:sdmx:org.sdmx.infomodel.codelist.Code=SDMX:CL_AREA(1.0.0).BI"&gt;&lt;com:Name&gt;Burundi&lt;/com:Name&gt;&lt;com:Description&gt;&lt;/com:Description&gt;&lt;/str:Code&gt;&lt;str:Code id="BJ" urn="urn:sdmx:org.sdmx.infomodel.codelist.Code=SDMX:CL_AREA(1.0.0).BJ"&gt;&lt;com:Name&gt;Benin&lt;/com:Name&gt;&lt;com:Description&gt;&lt;/com:Description&gt;&lt;/str:Code&gt;&lt;str:Code id="BL" urn="urn:sdmx:org.sdmx.infomodel.codelist.Code=SDMX:CL_AREA(1.0.0).BL"&gt;&lt;com:Name&gt;Saint Barthélemy&lt;/com:Name&gt;&lt;com:Description&gt;&lt;/com:Description&gt;&lt;/str:Code&gt;&lt;str:Code id="BM" urn="urn:sdmx:org.sdmx.infomodel.codelist.Code=SDMX:CL_AREA(1.0.0).BM"&gt;&lt;com:Name&gt;Bermuda&lt;/com:Name&gt;&lt;com:Description&gt;&lt;/com:Description&gt;&lt;/str:Code&gt;&lt;str:Code id="BN" urn="urn:sdmx:org.sdmx.infomodel.codelist.Code=SDMX:CL_AREA(1.0.0).BN"&gt;&lt;com:Name&gt;Brunei Darussalam&lt;/com:Name&gt;&lt;com:Description&gt;&lt;/com:Description&gt;&lt;/str:Code&gt;&lt;str:Code id="BO" urn="urn:sdmx:org.sdmx.infomodel.codelist.Code=SDMX:CL_AREA(1.0.0).BO"&gt;&lt;com:Name&gt;Bolivia (Plurinational State of)&lt;/com:Name&gt;&lt;com:Description&gt;&lt;/com:Description&gt;&lt;/str:Code&gt;&lt;str:Code id="BQ" urn="urn:sdmx:org.sdmx.infomodel.codelist.Code=SDMX:CL_AREA(1.0.0).BQ"&gt;&lt;com:Name&gt;Bonaire, Sint Eustatius and Saba&lt;/com:Name&gt;&lt;com:Description&gt;&lt;/com:Description&gt;&lt;/str:Code&gt;&lt;str:Code id="BR" urn="urn:sdmx:org.sdmx.infomodel.codelist.Code=SDMX:CL_AREA(1.0.0).BR"&gt;&lt;com:Name&gt;Brazil&lt;/com:Name&gt;&lt;com:Description&gt;&lt;/com:Description&gt;&lt;/str:Code&gt;&lt;str:Code id="BS" urn="urn:sdmx:org.sdmx.infomodel.codelist.Code=SDMX:CL_AREA(1.0.0).BS"&gt;&lt;com:Name&gt;Bahamas&lt;/com:Name&gt;&lt;com:Description&gt;&lt;/com:Description&gt;&lt;/str:Code&gt;&lt;str:Code id="BT" urn="urn:sdmx:org.sdmx.infomodel.codelist.Code=SDMX:CL_AREA(1.0.0).BT"&gt;&lt;com:Name&gt;Bhutan&lt;/com:Name&gt;&lt;com:Description&gt;&lt;/com:Description&gt;&lt;/str:Code&gt;&lt;str:Code id="BV" urn="urn:sdmx:org.sdmx.infomodel.codelist.Code=SDMX:CL_AREA(1.0.0).BV"&gt;&lt;com:Name&gt;Bouvet Island&lt;/com:Name&gt;&lt;com:Description&gt;&lt;/com:Description&gt;&lt;/str:Code&gt;&lt;str:Code id="BW" urn="urn:sdmx:org.sdmx.infomodel.codelist.Code=SDMX:CL_AREA(1.0.0).BW"&gt;&lt;com:Name&gt;Botswana&lt;/com:Name&gt;&lt;com:Description&gt;&lt;/com:Description&gt;&lt;/str:Code&gt;&lt;str:Code id="BY" urn="urn:sdmx:org.sdmx.infomodel.codelist.Code=SDMX:CL_AREA(1.0.0).BY"&gt;&lt;com:Name&gt;Belarus&lt;/com:Name&gt;&lt;com:Description&gt;&lt;/com:Description&gt;&lt;/str:Code&gt;&lt;str:Code id="BZ" urn="urn:sdmx:org.sdmx.infomodel.codelist.Code=SDMX:CL_AREA(1.0.0).BZ"&gt;&lt;com:Name&gt;Belize&lt;/com:Name&gt;&lt;com:Description&gt;&lt;/com:Description&gt;&lt;/str:Code&gt;&lt;str:Code id="CA" urn="urn:sdmx:org.sdmx.infomodel.codelist.Code=SDMX:CL_AREA(1.0.0).CA"&gt;&lt;com:Name&gt;Canada&lt;/com:Name&gt;&lt;com:Description&gt;&lt;/com:Description&gt;&lt;/str:Code&gt;&lt;str:Code id="CC" urn="urn:sdmx:org.sdmx.infomodel.codelist.Code=SDMX:CL_AREA(1.0.0).CC"&gt;&lt;com:Name&gt;Cocos (Keeling) Islands&lt;/com:Name&gt;&lt;com:Description&gt;&lt;/com:Description&gt;&lt;/str:Code&gt;&lt;str:Code id="CD" urn="urn:sdmx:org.sdmx.infomodel.codelist.Code=SDMX:CL_AREA(1.0.0).CD"&gt;&lt;com:Name&gt;Congo, Democratic Republic of the&lt;/com:Name&gt;&lt;com:Description&gt;&lt;/com:Description&gt;&lt;/str:Code&gt;&lt;str:Code id="CF" urn="urn:sdmx:org.sdmx.infomodel.codelist.Code=SDMX:CL_AREA(1.0.0).CF"&gt;&lt;com:Name&gt;Central African Republic&lt;/com:Name&gt;&lt;com:Description&gt;&lt;/com:Description&gt;&lt;/str:Code&gt;&lt;str:Code id="CG" urn="urn:sdmx:org.sdmx.infomodel.codelist.Code=SDMX:CL_AREA(1.0.0).CG"&gt;&lt;com:Name&gt;Congo&lt;/com:Name&gt;&lt;com:Description&gt;&lt;/com:Description&gt;&lt;/str:Code&gt;&lt;str:Code id="CH" urn="urn:sdmx:org.sdmx.infomodel.codelist.Code=SDMX:CL_AREA(1.0.0).CH"&gt;&lt;com:Name&gt;Switzerland&lt;/com:Name&gt;&lt;com:Description&gt;&lt;/com:Description&gt;&lt;/str:Code&gt;&lt;str:Code id="CI" urn="urn:sdmx:org.sdmx.infomodel.codelist.Code=SDMX:CL_AREA(1.0.0).CI"&gt;&lt;com:Name&gt;Côte d'Ivoire&lt;/com:Name&gt;&lt;com:Description&gt;&lt;/com:Description&gt;&lt;/str:Code&gt;&lt;str:Code id="CK" urn="urn:sdmx:org.sdmx.infomodel.codelist.Code=SDMX:CL_AREA(1.0.0).CK"&gt;&lt;com:Name&gt;Cook Islands&lt;/com:Name&gt;&lt;com:Description&gt;&lt;/com:Description&gt;&lt;/str:Code&gt;&lt;str:Code id="CL" urn="urn:sdmx:org.sdmx.infomodel.codelist.Code=SDMX:CL_AREA(1.0.0).CL"&gt;&lt;com:Name&gt;Chile&lt;/com:Name&gt;&lt;com:Description&gt;&lt;/com:Description&gt;&lt;/str:Code&gt;&lt;str:Code id="CM" urn="urn:sdmx:org.sdmx.infomodel.codelist.Code=SDMX:CL_AREA(1.0.0).CM"&gt;&lt;com:Name&gt;Cameroon&lt;/com:Name&gt;&lt;com:Description&gt;&lt;/com:Description&gt;&lt;/str:Code&gt;&lt;str:Code id="CN" urn="urn:sdmx:org.sdmx.infomodel.codelist.Code=SDMX:CL_AREA(1.0.0).CN"&gt;&lt;com:Name&gt;China&lt;/com:Name&gt;&lt;com:Description&gt;&lt;/com:Description&gt;&lt;/str:Code&gt;&lt;str:Code id="CO" urn="urn:sdmx:org.sdmx.infomodel.codelist.Code=SDMX:CL_AREA(1.0.0).CO"&gt;&lt;com:Name&gt;Colombia&lt;/com:Name&gt;&lt;com:Description&gt;&lt;/com:Description&gt;&lt;/str:Code&gt;&lt;str:Code id="CR" urn="urn:sdmx:org.sdmx.infomodel.codelist.Code=SDMX:CL_AREA(1.0.0).CR"&gt;&lt;com:Name&gt;Costa Rica&lt;/com:Name&gt;&lt;com:Description&gt;&lt;/com:Description&gt;&lt;/str:Code&gt;&lt;str:Code id="CU" urn="urn:sdmx:org.sdmx.infomodel.codelist.Code=SDMX:CL_AREA(1.0.0).CU"&gt;&lt;com:Name&gt;Cuba&lt;/com:Name&gt;&lt;com:Description&gt;&lt;/com:Description&gt;&lt;/str:Code&gt;&lt;str:Code id="CV" urn="urn:sdmx:org.sdmx.infomodel.codelist.Code=SDMX:CL_AREA(1.0.0).CV"&gt;&lt;com:Name&gt;Cabo Verde&lt;/com:Name&gt;&lt;com:Description&gt;&lt;/com:Description&gt;&lt;/str:Code&gt;&lt;str:Code id="CW" urn="urn:sdmx:org.sdmx.infomodel.codelist.Code=SDMX:CL_AREA(1.0.0).CW"&gt;&lt;com:Name&gt;Curaçao&lt;/com:Name&gt;&lt;com:Description&gt;&lt;/com:Description&gt;&lt;/str:Code&gt;&lt;str:Code id="CX" urn="urn:sdmx:org.sdmx.infomodel.codelist.Code=SDMX:CL_AREA(1.0.0).CX"&gt;&lt;com:Name&gt;Christmas Island&lt;/com:Name&gt;&lt;com:Description&gt;&lt;/com:Description&gt;&lt;/str:Code&gt;&lt;str:Code id="CY" urn="urn:sdmx:org.sdmx.infomodel.codelist.Code=SDMX:CL_AREA(1.0.0).CY"&gt;&lt;com:Name&gt;Cyprus&lt;/com:Name&gt;&lt;com:Description&gt;&lt;/com:Description&gt;&lt;/str:Code&gt;&lt;str:Code id="CZ" urn="urn:sdmx:org.sdmx.infomodel.codelist.Code=SDMX:CL_AREA(1.0.0).CZ"&gt;&lt;com:Name&gt;Czechia&lt;/com:Name&gt;&lt;com:Description&gt;&lt;/com:Description&gt;&lt;/str:Code&gt;&lt;str:Code id="DE" urn="urn:sdmx:org.sdmx.infomodel.codelist.Code=SDMX:CL_AREA(1.0.0).DE"&gt;&lt;com:Name&gt;Germany&lt;/com:Name&gt;&lt;com:Description&gt;&lt;/com:Description&gt;&lt;/str:Code&gt;&lt;str:Code id="DJ" urn="urn:sdmx:org.sdmx.infomodel.codelist.Code=SDMX:CL_AREA(1.0.0).DJ"&gt;&lt;com:Name&gt;Djibouti&lt;/com:Name&gt;&lt;com:Description&gt;&lt;/com:Description&gt;&lt;/str:Code&gt;&lt;str:Code id="DK" urn="urn:sdmx:org.sdmx.infomodel.codelist.Code=SDMX:CL_AREA(1.0.0).DK"&gt;&lt;com:Name&gt;Denmark&lt;/com:Name&gt;&lt;com:Description&gt;&lt;/com:Description&gt;&lt;/str:Code&gt;&lt;str:Code id="DM" urn="urn:sdmx:org.sdmx.infomodel.codelist.Code=SDMX:CL_AREA(1.0.0).DM"&gt;&lt;com:Name&gt;Dominica&lt;/com:Name&gt;&lt;com:Description&gt;&lt;/com:Description&gt;&lt;/str:Code&gt;&lt;str:Code id="DO" urn="urn:sdmx:org.sdmx.infomodel.codelist.Code=SDMX:CL_AREA(1.0.0).DO"&gt;&lt;com:Name&gt;Dominican Republic&lt;/com:Name&gt;&lt;com:Description&gt;&lt;/com:Description&gt;&lt;/str:Code&gt;&lt;str:Code id="DZ" urn="urn:sdmx:org.sdmx.infomodel.codelist.Code=SDMX:CL_AREA(1.0.0).DZ"&gt;&lt;com:Name&gt;Algeria&lt;/com:Name&gt;&lt;com:Description&gt;&lt;/com:Description&gt;&lt;/str:Code&gt;&lt;str:Code id="EC" urn="urn:sdmx:org.sdmx.infomodel.codelist.Code=SDMX:CL_AREA(1.0.0).EC"&gt;&lt;com:Name&gt;Ecuador&lt;/com:Name&gt;&lt;com:Description&gt;&lt;/com:Description&gt;&lt;/str:Code&gt;&lt;str:Code id="EE" urn="urn:sdmx:org.sdmx.infomodel.codelist.Code=SDMX:CL_AREA(1.0.0).EE"&gt;&lt;com:Name&gt;Estonia&lt;/com:Name&gt;&lt;com:Description&gt;&lt;/com:Description&gt;&lt;/str:Code&gt;&lt;str:Code id="EG" urn="urn:sdmx:org.sdmx.infomodel.codelist.Code=SDMX:CL_AREA(1.0.0).EG"&gt;&lt;com:Name&gt;Egypt&lt;/com:Name&gt;&lt;com:Description&gt;&lt;/com:Description&gt;&lt;/str:Code&gt;&lt;str:Code id="EH" urn="urn:sdmx:org.sdmx.infomodel.codelist.Code=SDMX:CL_AREA(1.0.0).EH"&gt;&lt;com:Name&gt;Western Sahara&lt;/com:Name&gt;&lt;com:Description&gt;&lt;/com:Description&gt;&lt;/str:Code&gt;&lt;str:Code id="ER" urn="urn:sdmx:org.sdmx.infomodel.codelist.Code=SDMX:CL_AREA(1.0.0).ER"&gt;&lt;com:Name&gt;Eritrea&lt;/com:Name&gt;&lt;com:Description&gt;&lt;/com:Description&gt;&lt;/str:Code&gt;&lt;str:Code id="ES" urn="urn:sdmx:org.sdmx.infomodel.codelist.Code=SDMX:CL_AREA(1.0.0).ES"&gt;&lt;com:Name&gt;Spain&lt;/com:Name&gt;&lt;com:Description&gt;&lt;/com:Description&gt;&lt;/str:Code&gt;&lt;str:Code id="ET" urn="urn:sdmx:org.sdmx.infomodel.codelist.Code=SDMX:CL_AREA(1.0.0).ET"&gt;&lt;com:Name&gt;Ethiopia&lt;/com:Name&gt;&lt;com:Description&gt;&lt;/com:Description&gt;&lt;/str:Code&gt;&lt;str:Code id="FI" urn="urn:sdmx:org.sdmx.infomodel.codelist.Code=SDMX:CL_AREA(1.0.0).FI"&gt;&lt;com:Name&gt;Finland&lt;/com:Name&gt;&lt;com:Description&gt;&lt;/com:Description&gt;&lt;/str:Code&gt;&lt;str:Code id="FJ" urn="urn:sdmx:org.sdmx.infomodel.codelist.Code=SDMX:CL_AREA(1.0.0).FJ"&gt;&lt;com:Name&gt;Fiji&lt;/com:Name&gt;&lt;com:Description&gt;&lt;/com:Description&gt;&lt;/str:Code&gt;&lt;str:Code id="FK" urn="urn:sdmx:org.sdmx.infomodel.codelist.Code=SDMX:CL_AREA(1.0.0).FK"&gt;&lt;com:Name&gt;Falkland Islands (Malvinas)&lt;/com:Name&gt;&lt;com:Description&gt;&lt;/com:Description&gt;&lt;/str:Code&gt;&lt;str:Code id="FM" urn="urn:sdmx:org.sdmx.infomodel.codelist.Code=SDMX:CL_AREA(1.0.0).FM"&gt;&lt;com:Name&gt;Micronesia (Federated States of)&lt;/com:Name&gt;&lt;com:Description&gt;&lt;/com:Description&gt;&lt;/str:Code&gt;&lt;str:Code id="FO" urn="urn:sdmx:org.sdmx.infomodel.codelist.Code=SDMX:CL_AREA(1.0.0).FO"&gt;&lt;com:Name&gt;Faroe Islands&lt;/com:Name&gt;&lt;com:Description&gt;&lt;/com:Description&gt;&lt;/str:Code&gt;&lt;str:Code id="FR" urn="urn:sdmx:org.sdmx.infomodel.codelist.Code=SDMX:CL_AREA(1.0.0).FR"&gt;&lt;com:Name&gt;France&lt;/com:Name&gt;&lt;com:Description&gt;&lt;/com:Description&gt;&lt;/str:Code&gt;&lt;str:Code id="GA" urn="urn:sdmx:org.sdmx.infomodel.codelist.Code=SDMX:CL_AREA(1.0.0).GA"&gt;&lt;com:Name&gt;Gabon&lt;/com:Name&gt;&lt;com:Description&gt;&lt;/com:Description&gt;&lt;/str:Code&gt;&lt;str:Code id="GB" urn="urn:sdmx:org.sdmx.infomodel.codelist.Code=SDMX:CL_AREA(1.0.0).GB"&gt;&lt;com:Name&gt;United Kingdom of Great Britain and Northern Ireland&lt;/com:Name&gt;&lt;com:Description&gt;&lt;/com:Description&gt;&lt;/str:Code&gt;&lt;str:Code id="GD" urn="urn:sdmx:org.sdmx.infomodel.codelist.Code=SDMX:CL_AREA(1.0.0).GD"&gt;&lt;com:Name&gt;Grenada&lt;/com:Name&gt;&lt;com:Description&gt;&lt;/com:Description&gt;&lt;/str:Code&gt;&lt;str:Code id="GE" urn="urn:sdmx:org.sdmx.infomodel.codelist.Code=SDMX:CL_AREA(1.0.0).GE"&gt;&lt;com:Name&gt;Georgia&lt;/com:Name&gt;&lt;com:Description&gt;&lt;/com:Description&gt;&lt;/str:Code&gt;&lt;str:Code id="GF" urn="urn:sdmx:org.sdmx.infomodel.codelist.Code=SDMX:CL_AREA(1.0.0).GF"&gt;&lt;com:Name&gt;French Guiana&lt;/com:Name&gt;&lt;com:Description&gt;&lt;/com:Description&gt;&lt;/str:Code&gt;&lt;str:Code id="GG" urn="urn:sdmx:org.sdmx.infomodel.codelist.Code=SDMX:CL_AREA(1.0.0).GG"&gt;&lt;com:Name&gt;Guernsey&lt;/com:Name&gt;&lt;com:Description&gt;&lt;/com:Description&gt;&lt;/str:Code&gt;&lt;str:Code id="GH" urn="urn:sdmx:org.sdmx.infomodel.codelist.Code=SDMX:CL_AREA(1.0.0).GH"&gt;&lt;com:Name&gt;Ghana&lt;/com:Name&gt;&lt;com:Description&gt;&lt;/com:Description&gt;&lt;/str:Code&gt;&lt;str:Code id="GI" urn="urn:sdmx:org.sdmx.infomodel.codelist.Code=SDMX:CL_AREA(1.0.0).GI"&gt;&lt;com:Name&gt;Gibraltar&lt;/com:Name&gt;&lt;com:Description&gt;&lt;/com:Description&gt;&lt;/str:Code&gt;&lt;str:Code id="GL" urn="urn:sdmx:org.sdmx.infomodel.codelist.Code=SDMX:CL_AREA(1.0.0).GL"&gt;&lt;com:Name&gt;Greenland&lt;/com:Name&gt;&lt;com:Description&gt;&lt;/com:Description&gt;&lt;/str:Code&gt;&lt;str:Code id="GM" urn="urn:sdmx:org.sdmx.infomodel.codelist.Code=SDMX:CL_AREA(1.0.0).GM"&gt;&lt;com:Name&gt;Gambia&lt;/com:Name&gt;&lt;com:Description&gt;&lt;/com:Description&gt;&lt;/str:Code&gt;&lt;str:Code id="GN" urn="urn:sdmx:org.sdmx.infomodel.codelist.Code=SDMX:CL_AREA(1.0.0).GN"&gt;&lt;com:Name&gt;Guinea&lt;/com:Name&gt;&lt;com:Description&gt;&lt;/com:Description&gt;&lt;/str:Code&gt;&lt;str:Code id="GP" urn="urn:sdmx:org.sdmx.infomodel.codelist.Code=SDMX:CL_AREA(1.0.0).GP"&gt;&lt;com:Name&gt;Guadeloupe&lt;/com:Name&gt;&lt;com:Description&gt;&lt;/com:Description&gt;&lt;/str:Code&gt;&lt;str:Code id="GQ" urn="urn:sdmx:org.sdmx.infomodel.codelist.Code=SDMX:CL_AREA(1.0.0).GQ"&gt;&lt;com:Name&gt;Equatorial Guinea&lt;/com:Name&gt;&lt;com:Description&gt;&lt;/com:Description&gt;&lt;/str:Code&gt;&lt;str:Code id="GR" urn="urn:sdmx:org.sdmx.infomodel.codelist.Code=SDMX:CL_AREA(1.0.0).GR"&gt;&lt;com:Name&gt;Greece&lt;/com:Name&gt;&lt;com:Description&gt;&lt;/com:Description&gt;&lt;/str:Code&gt;&lt;str:Code id="GS" urn="urn:sdmx:org.sdmx.infomodel.codelist.Code=SDMX:CL_AREA(1.0.0).GS"&gt;&lt;com:Name&gt;South Georgia and the South Sandwich Islands&lt;/com:Name&gt;&lt;com:Description&gt;&lt;/com:Description&gt;&lt;/str:Code&gt;&lt;str:Code id="GT" urn="urn:sdmx:org.sdmx.infomodel.codelist.Code=SDMX:CL_AREA(1.0.0).GT"&gt;&lt;com:Name&gt;Guatemala&lt;/com:Name&gt;&lt;com:Description&gt;&lt;/com:Description&gt;&lt;/str:Code&gt;&lt;str:Code id="GU" urn="urn:sdmx:org.sdmx.infomodel.codelist.Code=SDMX:CL_AREA(1.0.0).GU"&gt;&lt;com:Name&gt;Guam&lt;/com:Name&gt;&lt;com:Description&gt;&lt;/com:Description&gt;&lt;/str:Code&gt;&lt;str:Code id="GW" urn="urn:sdmx:org.sdmx.infomodel.codelist.Code=SDMX:CL_AREA(1.0.0).GW"&gt;&lt;com:Name&gt;Guinea-Bissau&lt;/com:Name&gt;&lt;com:Description&gt;&lt;/com:Description&gt;&lt;/str:Code&gt;&lt;str:Code id="GY" urn="urn:sdmx:org.sdmx.infomodel.codelist.Code=SDMX:CL_AREA(1.0.0).GY"&gt;&lt;com:Name&gt;Guyana&lt;/com:Name&gt;&lt;com:Description&gt;&lt;/com:Description&gt;&lt;/str:Code&gt;&lt;str:Code id="HK" urn="urn:sdmx:org.sdmx.infomodel.codelist.Code=SDMX:CL_AREA(1.0.0).HK"&gt;&lt;com:Name&gt;Hong Kong&lt;/com:Name&gt;&lt;com:Description&gt;&lt;/com:Description&gt;&lt;/str:Code&gt;&lt;str:Code id="HM" urn="urn:sdmx:org.sdmx.infomodel.codelist.Code=SDMX:CL_AREA(1.0.0).HM"&gt;&lt;com:Name&gt;Heard Island and McDonald Islands&lt;/com:Name&gt;&lt;com:Description&gt;&lt;/com:Description&gt;&lt;/str:Code&gt;&lt;str:Code id="HN" urn="urn:sdmx:org.sdmx.infomodel.codelist.Code=SDMX:CL_AREA(1.0.0).HN"&gt;&lt;com:Name&gt;Honduras&lt;/com:Name&gt;&lt;com:Description&gt;&lt;/com:Description&gt;&lt;/str:Code&gt;&lt;str:Code id="HR" urn="urn:sdmx:org.sdmx.infomodel.codelist.Code=SDMX:CL_AREA(1.0.0).HR"&gt;&lt;com:Name&gt;Croatia&lt;/com:Name&gt;&lt;com:Description&gt;&lt;/com:Description&gt;&lt;/str:Code&gt;&lt;str:Code id="HT" urn="urn:sdmx:org.sdmx.infomodel.codelist.Code=SDMX:CL_AREA(1.0.0).HT"&gt;&lt;com:Name&gt;Haiti&lt;/com:Name&gt;&lt;com:Description&gt;&lt;/com:Description&gt;&lt;/str:Code&gt;&lt;str:Code id="HU" urn="urn:sdmx:org.sdmx.infomodel.codelist.Code=SDMX:CL_AREA(1.0.0).HU"&gt;&lt;com:Name&gt;Hungary&lt;/com:Name&gt;&lt;com:Description&gt;&lt;/com:Description&gt;&lt;/str:Code&gt;&lt;str:Code id="ID" urn="urn:sdmx:org.sdmx.infomodel.codelist.Code=SDMX:CL_AREA(1.0.0).ID"&gt;&lt;com:Name&gt;Indonesia&lt;/com:Name&gt;&lt;com:Description&gt;&lt;/com:Description&gt;&lt;/str:Code&gt;&lt;str:Code id="IE" urn="urn:sdmx:org.sdmx.infomodel.codelist.Code=SDMX:CL_AREA(1.0.0).IE"&gt;&lt;com:Name&gt;Ireland&lt;/com:Name&gt;&lt;com:Description&gt;&lt;/com:Description&gt;&lt;/str:Code&gt;&lt;str:Code id="IL" urn="urn:sdmx:org.sdmx.infomodel.codelist.Code=SDMX:CL_AREA(1.0.0).IL"&gt;&lt;com:Name&gt;Israel&lt;/com:Name&gt;&lt;com:Description&gt;&lt;/com:Description&gt;&lt;/str:Code&gt;&lt;str:Code id="IM" urn="urn:sdmx:org.sdmx.infomodel.codelist.Code=SDMX:CL_AREA(1.0.0).IM"&gt;&lt;com:Name&gt;Isle of Man&lt;/com:Name&gt;&lt;com:Description&gt;&lt;/com:Description&gt;&lt;/str:Code&gt;&lt;str:Code id="IN" urn="urn:sdmx:org.sdmx.infomodel.codelist.Code=SDMX:CL_AREA(1.0.0).IN"&gt;&lt;com:Name&gt;India&lt;/com:Name&gt;&lt;com:Description&gt;&lt;/com:Description&gt;&lt;/str:Code&gt;&lt;str:Code id="IO" urn="urn:sdmx:org.sdmx.infomodel.codelist.Code=SDMX:CL_AREA(1.0.0).IO"&gt;&lt;com:Name&gt;British Indian Ocean Territory&lt;/com:Name&gt;&lt;com:Description&gt;&lt;/com:Description&gt;&lt;/str:Code&gt;&lt;str:Code id="IQ" urn="urn:sdmx:org.sdmx.infomodel.codelist.Code=SDMX:CL_AREA(1.0.0).IQ"&gt;&lt;com:Name&gt;Iraq&lt;/com:Name&gt;&lt;com:Description&gt;&lt;/com:Description&gt;&lt;/str:Code&gt;&lt;str:Code id="IR" urn="urn:sdmx:org.sdmx.infomodel.codelist.Code=SDMX:CL_AREA(1.0.0).IR"&gt;&lt;com:Name&gt;Iran (Islamic Republic of)&lt;/com:Name&gt;&lt;com:Description&gt;&lt;/com:Description&gt;&lt;/str:Code&gt;&lt;str:Code id="IS" urn="urn:sdmx:org.sdmx.infomodel.codelist.Code=SDMX:CL_AREA(1.0.0).IS"&gt;&lt;com:Name&gt;Iceland&lt;/com:Name&gt;&lt;com:Description&gt;&lt;/com:Description&gt;&lt;/str:Code&gt;&lt;str:Code id="IT" urn="urn:sdmx:org.sdmx.infomodel.codelist.Code=SDMX:CL_AREA(1.0.0).IT"&gt;&lt;com:Name&gt;Italy&lt;/com:Name&gt;&lt;com:Description&gt;&lt;/com:Description&gt;&lt;/str:Code&gt;&lt;str:Code id="JE" urn="urn:sdmx:org.sdmx.infomodel.codelist.Code=SDMX:CL_AREA(1.0.0).JE"&gt;&lt;com:Name&gt;Jersey&lt;/com:Name&gt;&lt;com:Description&gt;&lt;/com:Description&gt;&lt;/str:Code&gt;&lt;str:Code id="JM" urn="urn:sdmx:org.sdmx.infomodel.codelist.Code=SDMX:CL_AREA(1.0.0).JM"&gt;&lt;com:Name&gt;Jamaica&lt;/com:Name&gt;&lt;com:Description&gt;&lt;/com:Description&gt;&lt;/str:Code&gt;&lt;str:Code id="JO" urn="urn:sdmx:org.sdmx.infomodel.codelist.Code=SDMX:CL_AREA(1.0.0).JO"&gt;&lt;com:Name&gt;Jordan&lt;/com:Name&gt;&lt;com:Description&gt;&lt;/com:Description&gt;&lt;/str:Code&gt;&lt;str:Code id="JP" urn="urn:sdmx:org.sdmx.infomodel.codelist.Code=SDMX:CL_AREA(1.0.0).JP"&gt;&lt;com:Name&gt;Japan&lt;/com:Name&gt;&lt;com:Description&gt;&lt;/com:Description&gt;&lt;/str:Code&gt;&lt;str:Code id="KE" urn="urn:sdmx:org.sdmx.infomodel.codelist.Code=SDMX:CL_AREA(1.0.0).KE"&gt;&lt;com:Name&gt;Kenya&lt;/com:Name&gt;&lt;com:Description&gt;&lt;/com:Description&gt;&lt;/str:Code&gt;&lt;str:Code id="KG" urn="urn:sdmx:org.sdmx.infomodel.codelist.Code=SDMX:CL_AREA(1.0.0).KG"&gt;&lt;com:Name&gt;Kyrgyzstan&lt;/com:Name&gt;&lt;com:Description&gt;&lt;/com:Description&gt;&lt;/str:Code&gt;&lt;str:Code id="KH" urn="urn:sdmx:org.sdmx.infomodel.codelist.Code=SDMX:CL_AREA(1.0.0).KH"&gt;&lt;com:Name&gt;Cambodia&lt;/com:Name&gt;&lt;com:Description&gt;&lt;/com:Description&gt;&lt;/str:Code&gt;&lt;str:Code id="KI" urn="urn:sdmx:org.sdmx.infomodel.codelist.Code=SDMX:CL_AREA(1.0.0).KI"&gt;&lt;com:Name&gt;Kiribati&lt;/com:Name&gt;&lt;com:Description&gt;&lt;/com:Description&gt;&lt;/str:Code&gt;&lt;str:Code id="KM" urn="urn:sdmx:org.sdmx.infomodel.codelist.Code=SDMX:CL_AREA(1.0.0).KM"&gt;&lt;com:Name&gt;Comoros&lt;/com:Name&gt;&lt;com:Description&gt;&lt;/com:Description&gt;&lt;/str:Code&gt;&lt;str:Code id="KN" urn="urn:sdmx:org.sdmx.infomodel.codelist.Code=SDMX:CL_AREA(1.0.0).KN"&gt;&lt;com:Name&gt;Saint Kitts and Nevis&lt;/com:Name&gt;&lt;com:Description&gt;&lt;/com:Description&gt;&lt;/str:Code&gt;&lt;str:Code id="KP" urn="urn:sdmx:org.sdmx.infomodel.codelist.Code=SDMX:CL_AREA(1.0.0).KP"&gt;&lt;com:Name&gt;Korea (Democratic People's Republic of)&lt;/com:Name&gt;&lt;com:Description&gt;&lt;/com:Description&gt;&lt;/str:Code&gt;&lt;str:Code id="KR" urn="urn:sdmx:org.sdmx.infomodel.codelist.Code=SDMX:CL_AREA(1.0.0).KR"&gt;&lt;com:Name&gt;Korea, Republic of&lt;/com:Name&gt;&lt;com:Description&gt;&lt;/com:Description&gt;&lt;/str:Code&gt;&lt;str:Code id="KW" urn="urn:sdmx:org.sdmx.infomodel.codelist.Code=SDMX:CL_AREA(1.0.0).KW"&gt;&lt;com:Name&gt;Kuwait&lt;/com:Name&gt;&lt;com:Description&gt;&lt;/com:Description&gt;&lt;/str:Code&gt;&lt;str:Code id="KY" urn="urn:sdmx:org.sdmx.infomodel.codelist.Code=SDMX:CL_AREA(1.0.0).KY"&gt;&lt;com:Name&gt;Cayman Islands&lt;/com:Name&gt;&lt;com:Description&gt;&lt;/com:Description&gt;&lt;/str:Code&gt;&lt;str:Code id="KZ" urn="urn:sdmx:org.sdmx.infomodel.codelist.Code=SDMX:CL_AREA(1.0.0).KZ"&gt;&lt;com:Name&gt;Kazakhstan&lt;/com:Name&gt;&lt;com:Description&gt;&lt;/com:Description&gt;&lt;/str:Code&gt;&lt;str:Code id="LA" urn="urn:sdmx:org.sdmx.infomodel.codelist.Code=SDMX:CL_AREA(1.0.0).LA"&gt;&lt;com:Name&gt;Lao People's Democratic Republic&lt;/com:Name&gt;&lt;com:Description&gt;&lt;/com:Description&gt;&lt;/str:Code&gt;&lt;str:Code id="LB" urn="urn:sdmx:org.sdmx.infomodel.codelist.Code=SDMX:CL_AREA(1.0.0).LB"&gt;&lt;com:Name&gt;Lebanon&lt;/com:Name&gt;&lt;com:Description&gt;&lt;/com:Description&gt;&lt;/str:Code&gt;&lt;str:Code id="LC" urn="urn:sdmx:org.sdmx.infomodel.codelist.Code=SDMX:CL_AREA(1.0.0).LC"&gt;&lt;com:Name&gt;Saint Lucia&lt;/com:Name&gt;&lt;com:Description&gt;&lt;/com:Description&gt;&lt;/str:Code&gt;&lt;str:Code id="LI" urn="urn:sdmx:org.sdmx.infomodel.codelist.Code=SDMX:CL_AREA(1.0.0).LI"&gt;&lt;com:Name&gt;Liechtenstein&lt;/com:Name&gt;&lt;com:Description&gt;&lt;/com:Description&gt;&lt;/str:Code&gt;&lt;str:Code id="LK" urn="urn:sdmx:org.sdmx.infomodel.codelist.Code=SDMX:CL_AREA(1.0.0).LK"&gt;&lt;com:Name&gt;Sri Lanka&lt;/com:Name&gt;&lt;com:Description&gt;&lt;/com:Description&gt;&lt;/str:Code&gt;&lt;str:Code id="LR" urn="urn:sdmx:org.sdmx.infomodel.codelist.Code=SDMX:CL_AREA(1.0.0).LR"&gt;&lt;com:Name&gt;Liberia&lt;/com:Name&gt;&lt;com:Description&gt;&lt;/com:Description&gt;&lt;/str:Code&gt;&lt;str:Code id="LS" urn="urn:sdmx:org.sdmx.infomodel.codelist.Code=SDMX:CL_AREA(1.0.0).LS"&gt;&lt;com:Name&gt;Lesotho&lt;/com:Name&gt;&lt;com:Description&gt;&lt;/com:Description&gt;&lt;/str:Code&gt;&lt;str:Code id="LT" urn="urn:sdmx:org.sdmx.infomodel.codelist.Code=SDMX:CL_AREA(1.0.0).LT"&gt;&lt;com:Name&gt;Lithuania&lt;/com:Name&gt;&lt;com:Description&gt;&lt;/com:Description&gt;&lt;/str:Code&gt;&lt;str:Code id="LU" urn="urn:sdmx:org.sdmx.infomodel.codelist.Code=SDMX:CL_AREA(1.0.0).LU"&gt;&lt;com:Name&gt;Luxembourg&lt;/com:Name&gt;&lt;com:Description&gt;&lt;/com:Description&gt;&lt;/str:Code&gt;&lt;str:Code id="LV" urn="urn:sdmx:org.sdmx.infomodel.codelist.Code=SDMX:CL_AREA(1.0.0).LV"&gt;&lt;com:Name&gt;Latvia&lt;/com:Name&gt;&lt;com:Description&gt;&lt;/com:Description&gt;&lt;/str:Code&gt;&lt;str:Code id="LY" urn="urn:sdmx:org.sdmx.infomodel.codelist.Code=SDMX:CL_AREA(1.0.0).LY"&gt;&lt;com:Name&gt;Libya&lt;/com:Name&gt;&lt;com:Description&gt;&lt;/com:Description&gt;&lt;/str:Code&gt;&lt;str:Code id="MA" urn="urn:sdmx:org.sdmx.infomodel.codelist.Code=SDMX:CL_AREA(1.0.0).MA"&gt;&lt;com:Name&gt;Morocco&lt;/com:Name&gt;&lt;com:Description&gt;&lt;/com:Description&gt;&lt;/str:Code&gt;&lt;str:Code id="MC" urn="urn:sdmx:org.sdmx.infomodel.codelist.Code=SDMX:CL_AREA(1.0.0).MC"&gt;&lt;com:Name&gt;Monaco&lt;/com:Name&gt;&lt;com:Description&gt;&lt;/com:Description&gt;&lt;/str:Code&gt;&lt;str:Code id="MD" urn="urn:sdmx:org.sdmx.infomodel.codelist.Code=SDMX:CL_AREA(1.0.0).MD"&gt;&lt;com:Name&gt;Moldova, Republic of&lt;/com:Name&gt;&lt;com:Description&gt;&lt;/com:Description&gt;&lt;/str:Code&gt;&lt;str:Code id="ME" urn="urn:sdmx:org.sdmx.infomodel.codelist.Code=SDMX:CL_AREA(1.0.0).ME"&gt;&lt;com:Name&gt;Montenegro&lt;/com:Name&gt;&lt;com:Description&gt;&lt;/com:Description&gt;&lt;/str:Code&gt;&lt;str:Code id="MF" urn="urn:sdmx:org.sdmx.infomodel.codelist.Code=SDMX:CL_AREA(1.0.0).MF"&gt;&lt;com:Name&gt;Saint Martin (French part)&lt;/com:Name&gt;&lt;com:Description&gt;&lt;/com:Description&gt;&lt;/str:Code&gt;&lt;str:Code id="MG" urn="urn:sdmx:org.sdmx.infomodel.codelist.Code=SDMX:CL_AREA(1.0.0).MG"&gt;&lt;com:Name&gt;Madagascar&lt;/com:Name&gt;&lt;com:Description&gt;&lt;/com:Description&gt;&lt;/str:Code&gt;&lt;str:Code id="MH" urn="urn:sdmx:org.sdmx.infomodel.codelist.Code=SDMX:CL_AREA(1.0.0).MH"&gt;&lt;com:Name&gt;Marshall Islands&lt;/com:Name&gt;&lt;com:Description&gt;&lt;/com:Description&gt;&lt;/str:Code&gt;&lt;str:Code id="MK" urn="urn:sdmx:org.sdmx.infomodel.codelist.Code=SDMX:CL_AREA(1.0.0).MK"&gt;&lt;com:Name&gt;Macedonia, the former Yugoslav Republic of&lt;/com:Name&gt;&lt;com:Description&gt;&lt;/com:Description&gt;&lt;/str:Code&gt;&lt;str:Code id="ML" urn="urn:sdmx:org.sdmx.infomodel.codelist.Code=SDMX:CL_AREA(1.0.0).ML"&gt;&lt;com:Name&gt;Mali&lt;/com:Name&gt;&lt;com:Description&gt;&lt;/com:Description&gt;&lt;/str:Code&gt;&lt;str:Code id="MM" urn="urn:sdmx:org.sdmx.infomodel.codelist.Code=SDMX:CL_AREA(1.0.0).MM"&gt;&lt;com:Name&gt;Myanmar&lt;/com:Name&gt;&lt;com:Description&gt;&lt;/com:Description&gt;&lt;/str:Code&gt;&lt;str:Code id="MN" urn="urn:sdmx:org.sdmx.infomodel.codelist.Code=SDMX:CL_AREA(1.0.0).MN"&gt;&lt;com:Name&gt;Mongolia&lt;/com:Name&gt;&lt;com:Description&gt;&lt;/com:Description&gt;&lt;/str:Code&gt;&lt;str:Code id="MO" urn="urn:sdmx:org.sdmx.infomodel.codelist.Code=SDMX:CL_AREA(1.0.0).MO"&gt;&lt;com:Name&gt;Macao&lt;/com:Name&gt;&lt;com:Description&gt;&lt;/com:Description&gt;&lt;/str:Code&gt;&lt;str:Code id="MP" urn="urn:sdmx:org.sdmx.infomodel.codelist.Code=SDMX:CL_AREA(1.0.0).MP"&gt;&lt;com:Name&gt;Northern Mariana Islands&lt;/com:Name&gt;&lt;com:Description&gt;&lt;/com:Description&gt;&lt;/str:Code&gt;&lt;str:Code id="MQ" urn="urn:sdmx:org.sdmx.infomodel.codelist.Code=SDMX:CL_AREA(1.0.0).MQ"&gt;&lt;com:Name&gt;Martinique&lt;/com:Name&gt;&lt;com:Description&gt;&lt;/com:Description&gt;&lt;/str:Code&gt;&lt;str:Code id="MR" urn="urn:sdmx:org.sdmx.infomodel.codelist.Code=SDMX:CL_AREA(1.0.0).MR"&gt;&lt;com:Name&gt;Mauritania&lt;/com:Name&gt;&lt;com:Description&gt;&lt;/com:Description&gt;&lt;/str:Code&gt;&lt;str:Code id="MS" urn="urn:sdmx:org.sdmx.infomodel.codelist.Code=SDMX:CL_AREA(1.0.0).MS"&gt;&lt;com:Name&gt;Montserrat&lt;/com:Name&gt;&lt;com:Description&gt;&lt;/com:Description&gt;&lt;/str:Code&gt;&lt;str:Code id="MT" urn="urn:sdmx:org.sdmx.infomodel.codelist.Code=SDMX:CL_AREA(1.0.0).MT"&gt;&lt;com:Name&gt;Malta&lt;/com:Name&gt;&lt;com:Description&gt;&lt;/com:Description&gt;&lt;/str:Code&gt;&lt;str:Code id="MU" urn="urn:sdmx:org.sdmx.infomodel.codelist.Code=SDMX:CL_AREA(1.0.0).MU"&gt;&lt;com:Name&gt;Mauritius&lt;/com:Name&gt;&lt;com:Description&gt;&lt;/com:Description&gt;&lt;/str:Code&gt;&lt;str:Code id="MV" urn="urn:sdmx:org.sdmx.infomodel.codelist.Code=SDMX:CL_AREA(1.0.0).MV"&gt;&lt;com:Name&gt;Maldives&lt;/com:Name&gt;&lt;com:Description&gt;&lt;/com:Description&gt;&lt;/str:Code&gt;&lt;str:Code id="MW" urn="urn:sdmx:org.sdmx.infomodel.codelist.Code=SDMX:CL_AREA(1.0.0).MW"&gt;&lt;com:Name&gt;Malawi&lt;/com:Name&gt;&lt;com:Description&gt;&lt;/com:Description&gt;&lt;/str:Code&gt;&lt;str:Code id="MX" urn="urn:sdmx:org.sdmx.infomodel.codelist.Code=SDMX:CL_AREA(1.0.0).MX"&gt;&lt;com:Name&gt;Mexico&lt;/com:Name&gt;&lt;com:Description&gt;&lt;/com:Description&gt;&lt;/str:Code&gt;&lt;str:Code id="MY" urn="urn:sdmx:org.sdmx.infomodel.codelist.Code=SDMX:CL_AREA(1.0.0).MY"&gt;&lt;com:Name&gt;Malaysia&lt;/com:Name&gt;&lt;com:Description&gt;&lt;/com:Description&gt;&lt;/str:Code&gt;&lt;str:Code id="MZ" urn="urn:sdmx:org.sdmx.infomodel.codelist.Code=SDMX:CL_AREA(1.0.0).MZ"&gt;&lt;com:Name&gt;Mozambique&lt;/com:Name&gt;&lt;com:Description&gt;&lt;/com:Description&gt;&lt;/str:Code&gt;&lt;str:Code id="NA" urn="urn:sdmx:org.sdmx.infomodel.codelist.Code=SDMX:CL_AREA(1.0.0).NA"&gt;&lt;com:Name&gt;Namibia&lt;/com:Name&gt;&lt;com:Description&gt;&lt;/com:Description&gt;&lt;/str:Code&gt;&lt;str:Code id="NC" urn="urn:sdmx:org.sdmx.infomodel.codelist.Code=SDMX:CL_AREA(1.0.0).NC"&gt;&lt;com:Name&gt;New Caledonia&lt;/com:Name&gt;&lt;com:Description&gt;&lt;/com:Description&gt;&lt;/str:Code&gt;&lt;str:Code id="NE" urn="urn:sdmx:org.sdmx.infomodel.codelist.Code=SDMX:CL_AREA(1.0.0).NE"&gt;&lt;com:Name&gt;Niger&lt;/com:Name&gt;&lt;com:Description&gt;&lt;/com:Description&gt;&lt;/str:Code&gt;&lt;str:Code id="NF" urn="urn:sdmx:org.sdmx.infomodel.codelist.Code=SDMX:CL_AREA(1.0.0).NF"&gt;&lt;c</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</si>
</sst>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1">
    <numFmt numFmtId="164" formatCode="0.0"/>
  </numFmts>
  <fonts count="88" x14ac:knownFonts="1">
    <font>
      <sz val="8"/>
      <name val="Arial"/>
    </font>
    <font>
      <sz val="10"/>
      <color theme="1"/>
      <name val="Arial"/>
      <family val="2"/>
    </font>
    <font>
      <sz val="10"/>
      <color theme="1"/>
      <name val="Arial"/>
      <family val="2"/>
    </font>
    <font>
      <sz val="11"/>
      <color indexed="8"/>
      <name val="Calibri"/>
      <family val="2"/>
    </font>
    <font>
      <sz val="8"/>
      <name val="Arial"/>
      <family val="2"/>
    </font>
    <font>
      <u/>
      <sz val="8"/>
      <color indexed="12"/>
      <name val="Arial"/>
      <family val="2"/>
    </font>
    <font>
      <sz val="9"/>
      <name val="Arial"/>
      <family val="2"/>
    </font>
    <font>
      <sz val="8"/>
      <name val="Arial"/>
      <family val="2"/>
    </font>
    <font>
      <sz val="10"/>
      <name val="Arial"/>
      <family val="2"/>
    </font>
    <font>
      <sz val="10"/>
      <name val="Times New Roman"/>
      <family val="1"/>
    </font>
    <font>
      <sz val="11"/>
      <color indexed="8"/>
      <name val="Calibri"/>
      <family val="2"/>
    </font>
    <font>
      <sz val="10"/>
      <name val="Arial"/>
      <family val="2"/>
    </font>
    <font>
      <sz val="10"/>
      <color indexed="8"/>
      <name val="Arial"/>
      <family val="2"/>
    </font>
    <font>
      <b/>
      <sz val="10"/>
      <name val="Arial"/>
      <family val="2"/>
    </font>
    <font>
      <sz val="10"/>
      <name val="Arial"/>
      <family val="2"/>
    </font>
    <font>
      <b/>
      <sz val="8"/>
      <name val="Arial"/>
      <family val="2"/>
    </font>
    <font>
      <sz val="10"/>
      <name val="Arial"/>
      <family val="2"/>
    </font>
    <font>
      <i/>
      <sz val="9"/>
      <name val="Arial"/>
      <family val="2"/>
    </font>
    <font>
      <b/>
      <sz val="9"/>
      <name val="Arial"/>
      <family val="2"/>
    </font>
    <font>
      <sz val="8"/>
      <name val="Arial"/>
      <family val="2"/>
    </font>
    <font>
      <sz val="11"/>
      <color theme="1"/>
      <name val="Calibri"/>
      <family val="2"/>
      <scheme val="minor"/>
    </font>
    <font>
      <sz val="11"/>
      <color theme="0"/>
      <name val="Calibri"/>
      <family val="2"/>
      <scheme val="minor"/>
    </font>
    <font>
      <sz val="11"/>
      <color rgb="FF9C0006"/>
      <name val="Calibri"/>
      <family val="2"/>
      <scheme val="minor"/>
    </font>
    <font>
      <sz val="10"/>
      <color rgb="FF9C0006"/>
      <name val="Times New Roman"/>
      <family val="2"/>
    </font>
    <font>
      <b/>
      <sz val="11"/>
      <color rgb="FFFA7D00"/>
      <name val="Calibri"/>
      <family val="2"/>
      <scheme val="minor"/>
    </font>
    <font>
      <b/>
      <sz val="11"/>
      <color theme="0"/>
      <name val="Calibri"/>
      <family val="2"/>
      <scheme val="minor"/>
    </font>
    <font>
      <i/>
      <sz val="11"/>
      <color rgb="FF7F7F7F"/>
      <name val="Calibri"/>
      <family val="2"/>
      <scheme val="minor"/>
    </font>
    <font>
      <sz val="11"/>
      <color rgb="FF006100"/>
      <name val="Calibri"/>
      <family val="2"/>
      <scheme val="minor"/>
    </font>
    <font>
      <sz val="10"/>
      <color rgb="FF006100"/>
      <name val="Times New Roman"/>
      <family val="2"/>
    </font>
    <font>
      <b/>
      <sz val="15"/>
      <color theme="3"/>
      <name val="Calibri"/>
      <family val="2"/>
      <scheme val="minor"/>
    </font>
    <font>
      <b/>
      <sz val="13"/>
      <color theme="3"/>
      <name val="Calibri"/>
      <family val="2"/>
      <scheme val="minor"/>
    </font>
    <font>
      <b/>
      <sz val="11"/>
      <color theme="3"/>
      <name val="Calibri"/>
      <family val="2"/>
      <scheme val="minor"/>
    </font>
    <font>
      <sz val="11"/>
      <color rgb="FF3F3F76"/>
      <name val="Calibri"/>
      <family val="2"/>
      <scheme val="minor"/>
    </font>
    <font>
      <sz val="11"/>
      <color rgb="FFFA7D00"/>
      <name val="Calibri"/>
      <family val="2"/>
      <scheme val="minor"/>
    </font>
    <font>
      <sz val="11"/>
      <color rgb="FF9C6500"/>
      <name val="Calibri"/>
      <family val="2"/>
      <scheme val="minor"/>
    </font>
    <font>
      <sz val="10"/>
      <color rgb="FF9C6500"/>
      <name val="Times New Roman"/>
      <family val="2"/>
    </font>
    <font>
      <sz val="10"/>
      <color theme="1"/>
      <name val="Times New Roman"/>
      <family val="2"/>
    </font>
    <font>
      <b/>
      <sz val="11"/>
      <color rgb="FF3F3F3F"/>
      <name val="Calibri"/>
      <family val="2"/>
      <scheme val="minor"/>
    </font>
    <font>
      <b/>
      <sz val="18"/>
      <color theme="3"/>
      <name val="Cambria"/>
      <family val="2"/>
      <scheme val="major"/>
    </font>
    <font>
      <b/>
      <sz val="11"/>
      <color theme="1"/>
      <name val="Calibri"/>
      <family val="2"/>
      <scheme val="minor"/>
    </font>
    <font>
      <sz val="11"/>
      <color rgb="FFFF0000"/>
      <name val="Calibri"/>
      <family val="2"/>
      <scheme val="minor"/>
    </font>
    <font>
      <sz val="8"/>
      <color theme="1"/>
      <name val="Arial"/>
      <family val="2"/>
    </font>
    <font>
      <b/>
      <sz val="9"/>
      <color theme="1"/>
      <name val="Calibri"/>
      <family val="2"/>
      <scheme val="minor"/>
    </font>
    <font>
      <sz val="10"/>
      <color theme="1"/>
      <name val="Calibri"/>
      <family val="2"/>
      <scheme val="minor"/>
    </font>
    <font>
      <sz val="10"/>
      <name val="Calibri"/>
      <family val="2"/>
      <scheme val="minor"/>
    </font>
    <font>
      <b/>
      <sz val="10"/>
      <color theme="1"/>
      <name val="Arial"/>
      <family val="2"/>
    </font>
    <font>
      <b/>
      <sz val="14"/>
      <color theme="1"/>
      <name val="Calibri"/>
      <family val="2"/>
      <scheme val="minor"/>
    </font>
    <font>
      <u/>
      <sz val="11"/>
      <color indexed="12"/>
      <name val="Calibri"/>
      <family val="2"/>
      <scheme val="minor"/>
    </font>
    <font>
      <sz val="11"/>
      <name val="Calibri"/>
      <family val="2"/>
      <scheme val="minor"/>
    </font>
    <font>
      <b/>
      <sz val="11"/>
      <color indexed="8"/>
      <name val="Calibri"/>
      <family val="2"/>
      <scheme val="minor"/>
    </font>
    <font>
      <b/>
      <sz val="11"/>
      <name val="Calibri"/>
      <family val="2"/>
      <scheme val="minor"/>
    </font>
    <font>
      <b/>
      <sz val="20"/>
      <color theme="1"/>
      <name val="Calibri"/>
      <family val="2"/>
      <scheme val="minor"/>
    </font>
    <font>
      <sz val="8"/>
      <name val="Calibri"/>
      <family val="2"/>
      <scheme val="minor"/>
    </font>
    <font>
      <sz val="9"/>
      <name val="Calibri"/>
      <family val="2"/>
      <scheme val="minor"/>
    </font>
    <font>
      <b/>
      <sz val="14"/>
      <name val="Arial"/>
      <family val="2"/>
    </font>
    <font>
      <sz val="14"/>
      <color theme="1"/>
      <name val="Courier New"/>
      <family val="3"/>
    </font>
    <font>
      <b/>
      <sz val="11"/>
      <color indexed="8"/>
      <name val="Calibri"/>
      <family val="2"/>
    </font>
    <font>
      <sz val="11"/>
      <color indexed="8"/>
      <name val="Calibri"/>
      <family val="2"/>
      <scheme val="minor"/>
    </font>
    <font>
      <sz val="28"/>
      <name val="Calibri"/>
      <family val="2"/>
      <scheme val="minor"/>
    </font>
    <font>
      <b/>
      <sz val="14"/>
      <name val="Calibri"/>
      <family val="2"/>
      <scheme val="minor"/>
    </font>
    <font>
      <b/>
      <sz val="16"/>
      <name val="Calibri"/>
      <family val="2"/>
      <scheme val="minor"/>
    </font>
    <font>
      <sz val="16"/>
      <name val="Calibri"/>
      <family val="2"/>
      <scheme val="minor"/>
    </font>
    <font>
      <sz val="16"/>
      <name val="Arial"/>
      <family val="2"/>
    </font>
    <font>
      <u/>
      <sz val="16"/>
      <color indexed="12"/>
      <name val="Arial"/>
      <family val="2"/>
    </font>
    <font>
      <u/>
      <sz val="11"/>
      <color indexed="12"/>
      <name val="Arial"/>
      <family val="2"/>
    </font>
    <font>
      <b/>
      <sz val="12"/>
      <name val="Calibri"/>
      <family val="2"/>
      <scheme val="minor"/>
    </font>
    <font>
      <sz val="12"/>
      <name val="Calibri"/>
      <family val="2"/>
      <scheme val="minor"/>
    </font>
    <font>
      <sz val="11"/>
      <name val="Arial"/>
      <family val="2"/>
    </font>
    <font>
      <sz val="11"/>
      <color indexed="12"/>
      <name val="Calibri"/>
      <family val="2"/>
      <scheme val="minor"/>
    </font>
    <font>
      <sz val="24"/>
      <name val="Calibri"/>
      <family val="2"/>
      <scheme val="minor"/>
    </font>
    <font>
      <b/>
      <sz val="14"/>
      <color indexed="8"/>
      <name val="Calibri"/>
      <family val="2"/>
      <scheme val="minor"/>
    </font>
    <font>
      <sz val="14"/>
      <color indexed="8"/>
      <name val="Calibri"/>
      <family val="2"/>
      <scheme val="minor"/>
    </font>
    <font>
      <sz val="14"/>
      <name val="Calibri"/>
      <family val="2"/>
      <scheme val="minor"/>
    </font>
    <font>
      <u/>
      <sz val="9"/>
      <color indexed="12"/>
      <name val="Arial"/>
      <family val="2"/>
    </font>
    <font>
      <sz val="9"/>
      <color indexed="81"/>
      <name val="Tahoma"/>
      <charset val="1"/>
    </font>
    <font>
      <b/>
      <sz val="9"/>
      <color indexed="81"/>
      <name val="Tahoma"/>
      <charset val="1"/>
    </font>
    <font>
      <b/>
      <sz val="10"/>
      <name val="Calibri"/>
      <family val="2"/>
      <scheme val="minor"/>
    </font>
    <font>
      <b/>
      <sz val="10"/>
      <color theme="1"/>
      <name val="Calibri"/>
      <family val="2"/>
      <scheme val="minor"/>
    </font>
    <font>
      <vertAlign val="superscript"/>
      <sz val="11"/>
      <name val="Calibri"/>
      <family val="2"/>
      <scheme val="minor"/>
    </font>
    <font>
      <u/>
      <sz val="20"/>
      <color indexed="12"/>
      <name val="Arial"/>
      <family val="2"/>
    </font>
    <font>
      <u/>
      <sz val="11"/>
      <color theme="10"/>
      <name val="Calibri"/>
      <family val="2"/>
      <scheme val="minor"/>
    </font>
    <font>
      <sz val="11"/>
      <color rgb="FF000000"/>
      <name val="Calibri"/>
      <family val="2"/>
      <charset val="1"/>
    </font>
    <font>
      <i/>
      <sz val="8"/>
      <name val="Arial"/>
      <family val="2"/>
    </font>
    <font>
      <b/>
      <u/>
      <sz val="12"/>
      <color indexed="12"/>
      <name val="Arial"/>
      <family val="2"/>
    </font>
    <font>
      <u/>
      <sz val="10"/>
      <color indexed="12"/>
      <name val="Calibri"/>
      <family val="2"/>
      <scheme val="minor"/>
    </font>
    <font>
      <u/>
      <sz val="10"/>
      <color indexed="12"/>
      <name val="Arial"/>
      <family val="2"/>
    </font>
    <font>
      <b/>
      <u/>
      <sz val="11"/>
      <color theme="1"/>
      <name val="Calibri"/>
      <family val="2"/>
      <scheme val="minor"/>
    </font>
    <font>
      <b/>
      <i/>
      <sz val="11"/>
      <color indexed="8"/>
      <name val="Calibri"/>
      <family val="2"/>
      <scheme val="minor"/>
    </font>
  </fonts>
  <fills count="46">
    <fill>
      <patternFill patternType="none"/>
    </fill>
    <fill>
      <patternFill patternType="gray125"/>
    </fill>
    <fill>
      <patternFill patternType="solid">
        <fgColor theme="4" tint="0.79998168889431442"/>
        <bgColor indexed="65"/>
      </patternFill>
    </fill>
    <fill>
      <patternFill patternType="solid">
        <fgColor theme="5" tint="0.79998168889431442"/>
        <bgColor indexed="65"/>
      </patternFill>
    </fill>
    <fill>
      <patternFill patternType="solid">
        <fgColor theme="6" tint="0.79998168889431442"/>
        <bgColor indexed="65"/>
      </patternFill>
    </fill>
    <fill>
      <patternFill patternType="solid">
        <fgColor theme="7" tint="0.79998168889431442"/>
        <bgColor indexed="65"/>
      </patternFill>
    </fill>
    <fill>
      <patternFill patternType="solid">
        <fgColor theme="8" tint="0.79998168889431442"/>
        <bgColor indexed="65"/>
      </patternFill>
    </fill>
    <fill>
      <patternFill patternType="solid">
        <fgColor theme="9" tint="0.79998168889431442"/>
        <bgColor indexed="65"/>
      </patternFill>
    </fill>
    <fill>
      <patternFill patternType="solid">
        <fgColor theme="4" tint="0.59999389629810485"/>
        <bgColor indexed="65"/>
      </patternFill>
    </fill>
    <fill>
      <patternFill patternType="solid">
        <fgColor theme="5" tint="0.59999389629810485"/>
        <bgColor indexed="65"/>
      </patternFill>
    </fill>
    <fill>
      <patternFill patternType="solid">
        <fgColor theme="6" tint="0.59999389629810485"/>
        <bgColor indexed="65"/>
      </patternFill>
    </fill>
    <fill>
      <patternFill patternType="solid">
        <fgColor theme="7" tint="0.59999389629810485"/>
        <bgColor indexed="65"/>
      </patternFill>
    </fill>
    <fill>
      <patternFill patternType="solid">
        <fgColor theme="8" tint="0.59999389629810485"/>
        <bgColor indexed="65"/>
      </patternFill>
    </fill>
    <fill>
      <patternFill patternType="solid">
        <fgColor theme="9" tint="0.59999389629810485"/>
        <bgColor indexed="65"/>
      </patternFill>
    </fill>
    <fill>
      <patternFill patternType="solid">
        <fgColor theme="4" tint="0.39997558519241921"/>
        <bgColor indexed="65"/>
      </patternFill>
    </fill>
    <fill>
      <patternFill patternType="solid">
        <fgColor theme="5" tint="0.39997558519241921"/>
        <bgColor indexed="65"/>
      </patternFill>
    </fill>
    <fill>
      <patternFill patternType="solid">
        <fgColor theme="6" tint="0.39997558519241921"/>
        <bgColor indexed="65"/>
      </patternFill>
    </fill>
    <fill>
      <patternFill patternType="solid">
        <fgColor theme="7" tint="0.39997558519241921"/>
        <bgColor indexed="65"/>
      </patternFill>
    </fill>
    <fill>
      <patternFill patternType="solid">
        <fgColor theme="8" tint="0.39997558519241921"/>
        <bgColor indexed="65"/>
      </patternFill>
    </fill>
    <fill>
      <patternFill patternType="solid">
        <fgColor theme="9" tint="0.39997558519241921"/>
        <bgColor indexed="65"/>
      </patternFill>
    </fill>
    <fill>
      <patternFill patternType="solid">
        <fgColor theme="4"/>
      </patternFill>
    </fill>
    <fill>
      <patternFill patternType="solid">
        <fgColor theme="5"/>
      </patternFill>
    </fill>
    <fill>
      <patternFill patternType="solid">
        <fgColor theme="6"/>
      </patternFill>
    </fill>
    <fill>
      <patternFill patternType="solid">
        <fgColor theme="7"/>
      </patternFill>
    </fill>
    <fill>
      <patternFill patternType="solid">
        <fgColor theme="8"/>
      </patternFill>
    </fill>
    <fill>
      <patternFill patternType="solid">
        <fgColor theme="9"/>
      </patternFill>
    </fill>
    <fill>
      <patternFill patternType="solid">
        <fgColor rgb="FFFFC7CE"/>
      </patternFill>
    </fill>
    <fill>
      <patternFill patternType="solid">
        <fgColor rgb="FFF2F2F2"/>
      </patternFill>
    </fill>
    <fill>
      <patternFill patternType="solid">
        <fgColor rgb="FFA5A5A5"/>
      </patternFill>
    </fill>
    <fill>
      <patternFill patternType="solid">
        <fgColor rgb="FFC6EFCE"/>
      </patternFill>
    </fill>
    <fill>
      <patternFill patternType="solid">
        <fgColor rgb="FFFFCC99"/>
      </patternFill>
    </fill>
    <fill>
      <patternFill patternType="solid">
        <fgColor rgb="FFFFEB9C"/>
      </patternFill>
    </fill>
    <fill>
      <patternFill patternType="solid">
        <fgColor rgb="FFFFFFCC"/>
      </patternFill>
    </fill>
    <fill>
      <patternFill patternType="solid">
        <fgColor theme="0"/>
        <bgColor indexed="64"/>
      </patternFill>
    </fill>
    <fill>
      <patternFill patternType="solid">
        <fgColor theme="8" tint="0.59999389629810485"/>
        <bgColor indexed="64"/>
      </patternFill>
    </fill>
    <fill>
      <patternFill patternType="solid">
        <fgColor theme="8" tint="0.79998168889431442"/>
        <bgColor indexed="64"/>
      </patternFill>
    </fill>
    <fill>
      <patternFill patternType="solid">
        <fgColor theme="6" tint="0.59999389629810485"/>
        <bgColor indexed="64"/>
      </patternFill>
    </fill>
    <fill>
      <patternFill patternType="solid">
        <fgColor theme="4" tint="0.7999816888943144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6" tint="0.79998168889431442"/>
        <bgColor indexed="64"/>
      </patternFill>
    </fill>
    <fill>
      <patternFill patternType="solid">
        <fgColor theme="4"/>
        <bgColor theme="4"/>
      </patternFill>
    </fill>
    <fill>
      <patternFill patternType="solid">
        <fgColor theme="8" tint="0.39997558519241921"/>
        <bgColor indexed="64"/>
      </patternFill>
    </fill>
    <fill>
      <patternFill patternType="solid">
        <fgColor rgb="FFFDE9D9"/>
        <bgColor indexed="64"/>
      </patternFill>
    </fill>
  </fills>
  <borders count="29">
    <border>
      <left/>
      <right/>
      <top/>
      <bottom/>
      <diagonal/>
    </border>
    <border>
      <left style="thin">
        <color indexed="64"/>
      </left>
      <right style="thin">
        <color indexed="64"/>
      </right>
      <top style="thin">
        <color indexed="64"/>
      </top>
      <bottom style="thin">
        <color indexed="64"/>
      </bottom>
      <diagonal/>
    </border>
    <border>
      <left style="thin">
        <color indexed="64"/>
      </left>
      <right/>
      <top/>
      <bottom/>
      <diagonal/>
    </border>
    <border>
      <left style="thin">
        <color indexed="64"/>
      </left>
      <right style="thin">
        <color indexed="64"/>
      </right>
      <top style="thin">
        <color indexed="64"/>
      </top>
      <bottom/>
      <diagonal/>
    </border>
    <border>
      <left/>
      <right/>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style="thin">
        <color rgb="FF7F7F7F"/>
      </left>
      <right style="thin">
        <color rgb="FF7F7F7F"/>
      </right>
      <top style="thin">
        <color rgb="FF7F7F7F"/>
      </top>
      <bottom style="thin">
        <color rgb="FF7F7F7F"/>
      </bottom>
      <diagonal/>
    </border>
    <border>
      <left style="double">
        <color rgb="FF3F3F3F"/>
      </left>
      <right style="double">
        <color rgb="FF3F3F3F"/>
      </right>
      <top style="double">
        <color rgb="FF3F3F3F"/>
      </top>
      <bottom style="double">
        <color rgb="FF3F3F3F"/>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right/>
      <top/>
      <bottom style="double">
        <color rgb="FFFF8001"/>
      </bottom>
      <diagonal/>
    </border>
    <border>
      <left style="thin">
        <color rgb="FFB2B2B2"/>
      </left>
      <right style="thin">
        <color rgb="FFB2B2B2"/>
      </right>
      <top style="thin">
        <color rgb="FFB2B2B2"/>
      </top>
      <bottom style="thin">
        <color rgb="FFB2B2B2"/>
      </bottom>
      <diagonal/>
    </border>
    <border>
      <left style="thin">
        <color rgb="FF3F3F3F"/>
      </left>
      <right style="thin">
        <color rgb="FF3F3F3F"/>
      </right>
      <top style="thin">
        <color rgb="FF3F3F3F"/>
      </top>
      <bottom style="thin">
        <color rgb="FF3F3F3F"/>
      </bottom>
      <diagonal/>
    </border>
    <border>
      <left/>
      <right/>
      <top style="thin">
        <color theme="4"/>
      </top>
      <bottom style="double">
        <color theme="4"/>
      </bottom>
      <diagonal/>
    </border>
    <border>
      <left style="thin">
        <color theme="0" tint="-0.499984740745262"/>
      </left>
      <right style="thin">
        <color theme="0" tint="-0.499984740745262"/>
      </right>
      <top style="thin">
        <color theme="0" tint="-0.499984740745262"/>
      </top>
      <bottom style="thin">
        <color theme="0" tint="-0.499984740745262"/>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diagonal/>
    </border>
    <border>
      <left/>
      <right style="thin">
        <color indexed="64"/>
      </right>
      <top/>
      <bottom style="thin">
        <color indexed="64"/>
      </bottom>
      <diagonal/>
    </border>
    <border>
      <left style="thin">
        <color theme="0" tint="-0.499984740745262"/>
      </left>
      <right style="thin">
        <color theme="0" tint="-0.499984740745262"/>
      </right>
      <top style="thin">
        <color theme="0" tint="-0.499984740745262"/>
      </top>
      <bottom/>
      <diagonal/>
    </border>
    <border>
      <left/>
      <right style="thin">
        <color theme="0" tint="-0.499984740745262"/>
      </right>
      <top style="thin">
        <color theme="0" tint="-0.499984740745262"/>
      </top>
      <bottom style="thin">
        <color theme="0" tint="-0.499984740745262"/>
      </bottom>
      <diagonal/>
    </border>
    <border>
      <left style="thin">
        <color theme="4" tint="0.39997558519241921"/>
      </left>
      <right/>
      <top/>
      <bottom/>
      <diagonal/>
    </border>
    <border>
      <left style="hair">
        <color indexed="64"/>
      </left>
      <right style="hair">
        <color indexed="64"/>
      </right>
      <top style="hair">
        <color indexed="64"/>
      </top>
      <bottom style="hair">
        <color indexed="64"/>
      </bottom>
      <diagonal/>
    </border>
    <border>
      <left style="hair">
        <color indexed="64"/>
      </left>
      <right/>
      <top/>
      <bottom/>
      <diagonal/>
    </border>
  </borders>
  <cellStyleXfs count="228">
    <xf numFmtId="0" fontId="0" fillId="0" borderId="0"/>
    <xf numFmtId="0" fontId="20" fillId="2" borderId="0" applyNumberFormat="0" applyBorder="0" applyAlignment="0" applyProtection="0"/>
    <xf numFmtId="0" fontId="20" fillId="2" borderId="0" applyNumberFormat="0" applyBorder="0" applyAlignment="0" applyProtection="0"/>
    <xf numFmtId="0" fontId="20" fillId="3" borderId="0" applyNumberFormat="0" applyBorder="0" applyAlignment="0" applyProtection="0"/>
    <xf numFmtId="0" fontId="20" fillId="3" borderId="0" applyNumberFormat="0" applyBorder="0" applyAlignment="0" applyProtection="0"/>
    <xf numFmtId="0" fontId="20" fillId="4" borderId="0" applyNumberFormat="0" applyBorder="0" applyAlignment="0" applyProtection="0"/>
    <xf numFmtId="0" fontId="20" fillId="4" borderId="0" applyNumberFormat="0" applyBorder="0" applyAlignment="0" applyProtection="0"/>
    <xf numFmtId="0" fontId="20" fillId="5" borderId="0" applyNumberFormat="0" applyBorder="0" applyAlignment="0" applyProtection="0"/>
    <xf numFmtId="0" fontId="20" fillId="5" borderId="0" applyNumberFormat="0" applyBorder="0" applyAlignment="0" applyProtection="0"/>
    <xf numFmtId="0" fontId="20" fillId="6" borderId="0" applyNumberFormat="0" applyBorder="0" applyAlignment="0" applyProtection="0"/>
    <xf numFmtId="0" fontId="20" fillId="6" borderId="0" applyNumberFormat="0" applyBorder="0" applyAlignment="0" applyProtection="0"/>
    <xf numFmtId="0" fontId="20" fillId="7" borderId="0" applyNumberFormat="0" applyBorder="0" applyAlignment="0" applyProtection="0"/>
    <xf numFmtId="0" fontId="20" fillId="7" borderId="0" applyNumberFormat="0" applyBorder="0" applyAlignment="0" applyProtection="0"/>
    <xf numFmtId="0" fontId="20" fillId="8" borderId="0" applyNumberFormat="0" applyBorder="0" applyAlignment="0" applyProtection="0"/>
    <xf numFmtId="0" fontId="20" fillId="8" borderId="0" applyNumberFormat="0" applyBorder="0" applyAlignment="0" applyProtection="0"/>
    <xf numFmtId="0" fontId="20" fillId="9" borderId="0" applyNumberFormat="0" applyBorder="0" applyAlignment="0" applyProtection="0"/>
    <xf numFmtId="0" fontId="20" fillId="9" borderId="0" applyNumberFormat="0" applyBorder="0" applyAlignment="0" applyProtection="0"/>
    <xf numFmtId="0" fontId="20" fillId="10" borderId="0" applyNumberFormat="0" applyBorder="0" applyAlignment="0" applyProtection="0"/>
    <xf numFmtId="0" fontId="20" fillId="10" borderId="0" applyNumberFormat="0" applyBorder="0" applyAlignment="0" applyProtection="0"/>
    <xf numFmtId="0" fontId="20" fillId="11" borderId="0" applyNumberFormat="0" applyBorder="0" applyAlignment="0" applyProtection="0"/>
    <xf numFmtId="0" fontId="20" fillId="11" borderId="0" applyNumberFormat="0" applyBorder="0" applyAlignment="0" applyProtection="0"/>
    <xf numFmtId="0" fontId="20" fillId="12" borderId="0" applyNumberFormat="0" applyBorder="0" applyAlignment="0" applyProtection="0"/>
    <xf numFmtId="0" fontId="20" fillId="12" borderId="0" applyNumberFormat="0" applyBorder="0" applyAlignment="0" applyProtection="0"/>
    <xf numFmtId="0" fontId="20" fillId="13" borderId="0" applyNumberFormat="0" applyBorder="0" applyAlignment="0" applyProtection="0"/>
    <xf numFmtId="0" fontId="20" fillId="13" borderId="0" applyNumberFormat="0" applyBorder="0" applyAlignment="0" applyProtection="0"/>
    <xf numFmtId="0" fontId="21" fillId="14" borderId="0" applyNumberFormat="0" applyBorder="0" applyAlignment="0" applyProtection="0"/>
    <xf numFmtId="0" fontId="21" fillId="15" borderId="0" applyNumberFormat="0" applyBorder="0" applyAlignment="0" applyProtection="0"/>
    <xf numFmtId="0" fontId="21" fillId="16" borderId="0" applyNumberFormat="0" applyBorder="0" applyAlignment="0" applyProtection="0"/>
    <xf numFmtId="0" fontId="21" fillId="17" borderId="0" applyNumberFormat="0" applyBorder="0" applyAlignment="0" applyProtection="0"/>
    <xf numFmtId="0" fontId="21" fillId="18" borderId="0" applyNumberFormat="0" applyBorder="0" applyAlignment="0" applyProtection="0"/>
    <xf numFmtId="0" fontId="21" fillId="19" borderId="0" applyNumberFormat="0" applyBorder="0" applyAlignment="0" applyProtection="0"/>
    <xf numFmtId="0" fontId="21" fillId="20" borderId="0" applyNumberFormat="0" applyBorder="0" applyAlignment="0" applyProtection="0"/>
    <xf numFmtId="0" fontId="21" fillId="21" borderId="0" applyNumberFormat="0" applyBorder="0" applyAlignment="0" applyProtection="0"/>
    <xf numFmtId="0" fontId="21" fillId="22" borderId="0" applyNumberFormat="0" applyBorder="0" applyAlignment="0" applyProtection="0"/>
    <xf numFmtId="0" fontId="21" fillId="23" borderId="0" applyNumberFormat="0" applyBorder="0" applyAlignment="0" applyProtection="0"/>
    <xf numFmtId="0" fontId="21" fillId="24" borderId="0" applyNumberFormat="0" applyBorder="0" applyAlignment="0" applyProtection="0"/>
    <xf numFmtId="0" fontId="21" fillId="25" borderId="0" applyNumberFormat="0" applyBorder="0" applyAlignment="0" applyProtection="0"/>
    <xf numFmtId="0" fontId="22" fillId="26" borderId="0" applyNumberFormat="0" applyBorder="0" applyAlignment="0" applyProtection="0"/>
    <xf numFmtId="0" fontId="23" fillId="26" borderId="0" applyNumberFormat="0" applyBorder="0" applyAlignment="0" applyProtection="0"/>
    <xf numFmtId="0" fontId="24" fillId="27" borderId="7" applyNumberFormat="0" applyAlignment="0" applyProtection="0"/>
    <xf numFmtId="0" fontId="25" fillId="28" borderId="8" applyNumberFormat="0" applyAlignment="0" applyProtection="0"/>
    <xf numFmtId="0" fontId="26" fillId="0" borderId="0" applyNumberFormat="0" applyFill="0" applyBorder="0" applyAlignment="0" applyProtection="0"/>
    <xf numFmtId="0" fontId="27" fillId="29" borderId="0" applyNumberFormat="0" applyBorder="0" applyAlignment="0" applyProtection="0"/>
    <xf numFmtId="0" fontId="28" fillId="29" borderId="0" applyNumberFormat="0" applyBorder="0" applyAlignment="0" applyProtection="0"/>
    <xf numFmtId="0" fontId="29" fillId="0" borderId="9" applyNumberFormat="0" applyFill="0" applyAlignment="0" applyProtection="0"/>
    <xf numFmtId="0" fontId="30" fillId="0" borderId="10" applyNumberFormat="0" applyFill="0" applyAlignment="0" applyProtection="0"/>
    <xf numFmtId="0" fontId="31" fillId="0" borderId="11" applyNumberFormat="0" applyFill="0" applyAlignment="0" applyProtection="0"/>
    <xf numFmtId="0" fontId="31" fillId="0" borderId="0" applyNumberFormat="0" applyFill="0" applyBorder="0" applyAlignment="0" applyProtection="0"/>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5" fillId="0" borderId="0" applyNumberFormat="0" applyFill="0" applyBorder="0" applyAlignment="0" applyProtection="0">
      <alignment vertical="top"/>
      <protection locked="0"/>
    </xf>
    <xf numFmtId="0" fontId="32" fillId="30" borderId="7" applyNumberFormat="0" applyAlignment="0" applyProtection="0"/>
    <xf numFmtId="0" fontId="33" fillId="0" borderId="12" applyNumberFormat="0" applyFill="0" applyAlignment="0" applyProtection="0"/>
    <xf numFmtId="0" fontId="34" fillId="31" borderId="0" applyNumberFormat="0" applyBorder="0" applyAlignment="0" applyProtection="0"/>
    <xf numFmtId="0" fontId="35" fillId="31" borderId="0" applyNumberFormat="0" applyBorder="0" applyAlignment="0" applyProtection="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16" fillId="0" borderId="0"/>
    <xf numFmtId="0" fontId="8" fillId="0" borderId="0"/>
    <xf numFmtId="0" fontId="7" fillId="0" borderId="0"/>
    <xf numFmtId="0" fontId="4" fillId="0" borderId="0"/>
    <xf numFmtId="0" fontId="4" fillId="0" borderId="0"/>
    <xf numFmtId="0" fontId="20" fillId="0" borderId="0"/>
    <xf numFmtId="0" fontId="20" fillId="0" borderId="0"/>
    <xf numFmtId="0" fontId="20" fillId="0" borderId="0"/>
    <xf numFmtId="0" fontId="20" fillId="0" borderId="0"/>
    <xf numFmtId="0" fontId="19" fillId="0" borderId="0"/>
    <xf numFmtId="0" fontId="4" fillId="0" borderId="0"/>
    <xf numFmtId="0" fontId="4" fillId="0" borderId="0"/>
    <xf numFmtId="0" fontId="36" fillId="0" borderId="0"/>
    <xf numFmtId="0" fontId="4" fillId="0" borderId="0"/>
    <xf numFmtId="0" fontId="4" fillId="0" borderId="0"/>
    <xf numFmtId="0" fontId="9" fillId="0" borderId="0"/>
    <xf numFmtId="0" fontId="9" fillId="0" borderId="0"/>
    <xf numFmtId="0" fontId="8" fillId="0" borderId="0"/>
    <xf numFmtId="0" fontId="4" fillId="0" borderId="0"/>
    <xf numFmtId="0" fontId="10" fillId="0" borderId="0"/>
    <xf numFmtId="0" fontId="11" fillId="0" borderId="0"/>
    <xf numFmtId="0" fontId="8"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20" fillId="0" borderId="0"/>
    <xf numFmtId="0" fontId="20" fillId="0" borderId="0"/>
    <xf numFmtId="0" fontId="3" fillId="0" borderId="0"/>
    <xf numFmtId="0" fontId="3" fillId="0" borderId="0"/>
    <xf numFmtId="0" fontId="3" fillId="0" borderId="0"/>
    <xf numFmtId="0" fontId="20" fillId="0" borderId="0"/>
    <xf numFmtId="0" fontId="10" fillId="0" borderId="0"/>
    <xf numFmtId="0" fontId="20" fillId="0" borderId="0"/>
    <xf numFmtId="0" fontId="20" fillId="0" borderId="0"/>
    <xf numFmtId="0" fontId="3" fillId="0" borderId="0"/>
    <xf numFmtId="0" fontId="3" fillId="0" borderId="0"/>
    <xf numFmtId="0" fontId="3" fillId="0" borderId="0"/>
    <xf numFmtId="0" fontId="20" fillId="0" borderId="0"/>
    <xf numFmtId="0" fontId="14"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36"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8" fillId="0" borderId="0"/>
    <xf numFmtId="0" fontId="8" fillId="0" borderId="0"/>
    <xf numFmtId="0" fontId="8"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20" fillId="0" borderId="0"/>
    <xf numFmtId="0" fontId="8" fillId="0" borderId="0"/>
    <xf numFmtId="0" fontId="20" fillId="0" borderId="0"/>
    <xf numFmtId="0" fontId="20" fillId="0" borderId="0"/>
    <xf numFmtId="0" fontId="20" fillId="0" borderId="0"/>
    <xf numFmtId="0" fontId="20" fillId="0" borderId="0"/>
    <xf numFmtId="0" fontId="8" fillId="0" borderId="0"/>
    <xf numFmtId="0" fontId="8" fillId="0" borderId="0"/>
    <xf numFmtId="0" fontId="8" fillId="0" borderId="0"/>
    <xf numFmtId="0" fontId="8" fillId="0" borderId="0"/>
    <xf numFmtId="0" fontId="12" fillId="0" borderId="0"/>
    <xf numFmtId="0" fontId="20" fillId="32" borderId="13" applyNumberFormat="0" applyFont="0" applyAlignment="0" applyProtection="0"/>
    <xf numFmtId="0" fontId="3" fillId="32" borderId="13" applyNumberFormat="0" applyFont="0" applyAlignment="0" applyProtection="0"/>
    <xf numFmtId="0" fontId="3" fillId="32" borderId="13" applyNumberFormat="0" applyFont="0" applyAlignment="0" applyProtection="0"/>
    <xf numFmtId="0" fontId="37" fillId="27" borderId="14" applyNumberFormat="0" applyAlignment="0" applyProtection="0"/>
    <xf numFmtId="0" fontId="12" fillId="0" borderId="0">
      <alignment vertical="top"/>
    </xf>
    <xf numFmtId="0" fontId="38" fillId="0" borderId="0" applyNumberFormat="0" applyFill="0" applyBorder="0" applyAlignment="0" applyProtection="0"/>
    <xf numFmtId="0" fontId="39" fillId="0" borderId="15" applyNumberFormat="0" applyFill="0" applyAlignment="0" applyProtection="0"/>
    <xf numFmtId="0" fontId="40" fillId="0" borderId="0" applyNumberFormat="0" applyFill="0" applyBorder="0" applyAlignment="0" applyProtection="0"/>
    <xf numFmtId="0" fontId="2" fillId="0" borderId="0"/>
    <xf numFmtId="0" fontId="12" fillId="0" borderId="0"/>
    <xf numFmtId="0" fontId="4" fillId="0" borderId="1"/>
    <xf numFmtId="0" fontId="4" fillId="0" borderId="0"/>
    <xf numFmtId="0" fontId="81" fillId="0" borderId="0"/>
    <xf numFmtId="0" fontId="1" fillId="0" borderId="0"/>
  </cellStyleXfs>
  <cellXfs count="289">
    <xf numFmtId="0" fontId="0" fillId="0" borderId="0" xfId="0"/>
    <xf numFmtId="0" fontId="6" fillId="0" borderId="0" xfId="0" applyFont="1"/>
    <xf numFmtId="0" fontId="13" fillId="0" borderId="0" xfId="0" applyFont="1"/>
    <xf numFmtId="0" fontId="15" fillId="0" borderId="0" xfId="0" applyFont="1"/>
    <xf numFmtId="0" fontId="4" fillId="0" borderId="0" xfId="0" applyFont="1"/>
    <xf numFmtId="0" fontId="6" fillId="0" borderId="0" xfId="212" applyFont="1" applyFill="1"/>
    <xf numFmtId="0" fontId="6" fillId="0" borderId="0" xfId="212" applyFont="1" applyFill="1" applyBorder="1" applyAlignment="1">
      <alignment horizontal="left"/>
    </xf>
    <xf numFmtId="0" fontId="6" fillId="0" borderId="0" xfId="212" applyFont="1" applyFill="1" applyBorder="1"/>
    <xf numFmtId="0" fontId="6" fillId="0" borderId="0" xfId="92" applyFont="1" applyFill="1" applyBorder="1"/>
    <xf numFmtId="0" fontId="6" fillId="0" borderId="0" xfId="0" applyFont="1" applyFill="1" applyBorder="1"/>
    <xf numFmtId="0" fontId="18" fillId="0" borderId="0" xfId="212" applyFont="1" applyFill="1" applyBorder="1" applyAlignment="1">
      <alignment horizontal="left"/>
    </xf>
    <xf numFmtId="0" fontId="6" fillId="0" borderId="0" xfId="213" applyFont="1" applyFill="1" applyBorder="1" applyAlignment="1">
      <alignment wrapText="1"/>
    </xf>
    <xf numFmtId="0" fontId="6" fillId="0" borderId="0" xfId="0" applyFont="1" applyFill="1" applyBorder="1" applyAlignment="1">
      <alignment horizontal="center"/>
    </xf>
    <xf numFmtId="0" fontId="6" fillId="0" borderId="0" xfId="0" applyFont="1" applyFill="1" applyBorder="1" applyAlignment="1"/>
    <xf numFmtId="0" fontId="6" fillId="0" borderId="0" xfId="213" applyNumberFormat="1" applyFont="1" applyFill="1" applyBorder="1" applyAlignment="1" applyProtection="1">
      <alignment wrapText="1"/>
    </xf>
    <xf numFmtId="0" fontId="6" fillId="0" borderId="0" xfId="0" applyFont="1" applyFill="1" applyBorder="1" applyAlignment="1">
      <alignment vertical="center"/>
    </xf>
    <xf numFmtId="0" fontId="6" fillId="0" borderId="0" xfId="0" applyFont="1" applyFill="1" applyBorder="1" applyAlignment="1">
      <alignment wrapText="1"/>
    </xf>
    <xf numFmtId="0" fontId="6" fillId="0" borderId="0" xfId="0" applyFont="1" applyFill="1" applyBorder="1" applyAlignment="1">
      <alignment vertical="center" wrapText="1"/>
    </xf>
    <xf numFmtId="0" fontId="17" fillId="0" borderId="0" xfId="0" applyFont="1" applyFill="1" applyBorder="1" applyAlignment="1">
      <alignment horizontal="left"/>
    </xf>
    <xf numFmtId="0" fontId="6" fillId="0" borderId="0" xfId="213" applyFont="1" applyFill="1" applyBorder="1" applyAlignment="1"/>
    <xf numFmtId="0" fontId="6" fillId="0" borderId="0" xfId="91" applyFont="1" applyFill="1" applyBorder="1" applyAlignment="1">
      <alignment horizontal="left" vertical="center"/>
    </xf>
    <xf numFmtId="0" fontId="6" fillId="0" borderId="0" xfId="91" applyFont="1" applyFill="1" applyBorder="1" applyAlignment="1">
      <alignment horizontal="left" vertical="center" wrapText="1"/>
    </xf>
    <xf numFmtId="0" fontId="0" fillId="0" borderId="0" xfId="0" applyAlignment="1">
      <alignment wrapText="1"/>
    </xf>
    <xf numFmtId="0" fontId="4" fillId="33" borderId="0" xfId="0" applyFont="1" applyFill="1"/>
    <xf numFmtId="0" fontId="43" fillId="0" borderId="0" xfId="55" applyFont="1"/>
    <xf numFmtId="164" fontId="43" fillId="0" borderId="0" xfId="55" applyNumberFormat="1" applyFont="1"/>
    <xf numFmtId="0" fontId="43" fillId="0" borderId="0" xfId="55" applyFont="1" applyAlignment="1">
      <alignment wrapText="1"/>
    </xf>
    <xf numFmtId="0" fontId="6" fillId="0" borderId="0" xfId="212" applyFont="1" applyFill="1"/>
    <xf numFmtId="0" fontId="48" fillId="0" borderId="0" xfId="106" applyFont="1"/>
    <xf numFmtId="0" fontId="48" fillId="0" borderId="0" xfId="106" applyFont="1" applyAlignment="1">
      <alignment wrapText="1"/>
    </xf>
    <xf numFmtId="0" fontId="48" fillId="0" borderId="0" xfId="106" applyFont="1" applyAlignment="1">
      <alignment horizontal="left"/>
    </xf>
    <xf numFmtId="0" fontId="48" fillId="0" borderId="0" xfId="106" applyFont="1" applyAlignment="1">
      <alignment horizontal="left" wrapText="1"/>
    </xf>
    <xf numFmtId="0" fontId="50" fillId="0" borderId="0" xfId="0" applyFont="1"/>
    <xf numFmtId="0" fontId="48" fillId="0" borderId="0" xfId="0" applyFont="1"/>
    <xf numFmtId="0" fontId="52" fillId="0" borderId="0" xfId="0" applyFont="1"/>
    <xf numFmtId="0" fontId="53" fillId="0" borderId="0" xfId="0" applyFont="1"/>
    <xf numFmtId="0" fontId="39" fillId="0" borderId="0" xfId="0" applyFont="1"/>
    <xf numFmtId="0" fontId="0" fillId="39" borderId="1" xfId="106" applyFont="1" applyFill="1" applyBorder="1" applyAlignment="1">
      <alignment horizontal="center"/>
    </xf>
    <xf numFmtId="0" fontId="55" fillId="0" borderId="0" xfId="0" applyFont="1" applyAlignment="1">
      <alignment vertical="center"/>
    </xf>
    <xf numFmtId="0" fontId="0" fillId="0" borderId="0" xfId="0" applyFont="1"/>
    <xf numFmtId="0" fontId="39" fillId="0" borderId="0" xfId="0" applyFont="1" applyAlignment="1">
      <alignment wrapText="1"/>
    </xf>
    <xf numFmtId="0" fontId="56" fillId="36" borderId="0" xfId="106" applyFont="1" applyFill="1" applyAlignment="1">
      <alignment horizontal="center" wrapText="1"/>
    </xf>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49" fontId="0" fillId="0" borderId="0" xfId="0" applyNumberFormat="1" applyAlignment="1">
      <alignment wrapText="1"/>
    </xf>
    <xf numFmtId="0" fontId="59" fillId="0" borderId="0" xfId="0" applyFont="1"/>
    <xf numFmtId="49" fontId="0" fillId="0" borderId="0" xfId="0" applyNumberFormat="1"/>
    <xf numFmtId="49" fontId="43" fillId="0" borderId="0" xfId="55" applyNumberFormat="1" applyFont="1"/>
    <xf numFmtId="0" fontId="60" fillId="0" borderId="0" xfId="0" applyFont="1"/>
    <xf numFmtId="0" fontId="61" fillId="0" borderId="0" xfId="0" applyFont="1"/>
    <xf numFmtId="0" fontId="62" fillId="0" borderId="0" xfId="0" applyFont="1"/>
    <xf numFmtId="0" fontId="63" fillId="0" borderId="0" xfId="48" applyFont="1" applyAlignment="1" applyProtection="1"/>
    <xf numFmtId="49" fontId="4" fillId="0" borderId="0" xfId="0" applyNumberFormat="1" applyFont="1"/>
    <xf numFmtId="0" fontId="64" fillId="0" borderId="0" xfId="48" applyFont="1" applyAlignment="1" applyProtection="1"/>
    <xf numFmtId="0" fontId="50" fillId="0" borderId="4" xfId="0" applyFont="1" applyBorder="1" applyAlignment="1">
      <alignment horizontal="left" vertical="top"/>
    </xf>
    <xf numFmtId="0" fontId="50" fillId="0" borderId="4" xfId="212" applyFont="1" applyFill="1" applyBorder="1" applyAlignment="1">
      <alignment horizontal="left" vertical="top"/>
    </xf>
    <xf numFmtId="0" fontId="50" fillId="0" borderId="0" xfId="0" applyFont="1" applyAlignment="1">
      <alignment horizontal="left" vertical="top"/>
    </xf>
    <xf numFmtId="49" fontId="50" fillId="0" borderId="0" xfId="0" applyNumberFormat="1" applyFont="1" applyFill="1" applyBorder="1" applyAlignment="1">
      <alignment horizontal="left" vertical="top" wrapText="1"/>
    </xf>
    <xf numFmtId="0" fontId="50" fillId="0" borderId="0" xfId="0" applyFont="1" applyFill="1" applyBorder="1" applyAlignment="1">
      <alignment horizontal="left" vertical="top" wrapText="1"/>
    </xf>
    <xf numFmtId="0" fontId="50" fillId="0" borderId="0" xfId="0" applyFont="1" applyFill="1" applyBorder="1" applyAlignment="1">
      <alignment horizontal="left" vertical="top"/>
    </xf>
    <xf numFmtId="0" fontId="48" fillId="0" borderId="0" xfId="0" applyFont="1" applyAlignment="1">
      <alignment horizontal="left"/>
    </xf>
    <xf numFmtId="0" fontId="57" fillId="0" borderId="0" xfId="213" applyFont="1" applyFill="1" applyAlignment="1">
      <alignment vertical="top"/>
    </xf>
    <xf numFmtId="49" fontId="48" fillId="0" borderId="0" xfId="0" applyNumberFormat="1" applyFont="1" applyAlignment="1">
      <alignment vertical="top"/>
    </xf>
    <xf numFmtId="49" fontId="48" fillId="0" borderId="0" xfId="0" applyNumberFormat="1" applyFont="1" applyAlignment="1">
      <alignment vertical="top" wrapText="1"/>
    </xf>
    <xf numFmtId="0" fontId="48" fillId="0" borderId="0" xfId="0" applyFont="1" applyAlignment="1">
      <alignment vertical="top" wrapText="1"/>
    </xf>
    <xf numFmtId="0" fontId="48" fillId="0" borderId="0" xfId="0" applyFont="1" applyAlignment="1">
      <alignment horizontal="left" vertical="top"/>
    </xf>
    <xf numFmtId="0" fontId="48" fillId="0" borderId="0" xfId="0" applyFont="1" applyAlignment="1">
      <alignment vertical="top"/>
    </xf>
    <xf numFmtId="49" fontId="48" fillId="0" borderId="0" xfId="212" applyNumberFormat="1" applyFont="1" applyFill="1" applyAlignment="1">
      <alignment vertical="top"/>
    </xf>
    <xf numFmtId="0" fontId="48" fillId="0" borderId="0" xfId="0" applyFont="1" applyAlignment="1">
      <alignment wrapText="1"/>
    </xf>
    <xf numFmtId="0" fontId="59" fillId="0" borderId="0" xfId="0" applyFont="1" applyAlignment="1">
      <alignment vertical="top"/>
    </xf>
    <xf numFmtId="0" fontId="59" fillId="0" borderId="0" xfId="0" applyFont="1" applyAlignment="1">
      <alignment vertical="top" wrapText="1"/>
    </xf>
    <xf numFmtId="0" fontId="66" fillId="0" borderId="0" xfId="0" applyFont="1" applyAlignment="1">
      <alignment horizontal="left" vertical="top"/>
    </xf>
    <xf numFmtId="0" fontId="48" fillId="0" borderId="0" xfId="0" applyFont="1" applyAlignment="1">
      <alignment horizontal="center" vertical="top"/>
    </xf>
    <xf numFmtId="0" fontId="67" fillId="0" borderId="0" xfId="0" applyFont="1"/>
    <xf numFmtId="0" fontId="48" fillId="0" borderId="0" xfId="223" applyFont="1" applyFill="1" applyBorder="1" applyAlignment="1">
      <alignment wrapText="1"/>
    </xf>
    <xf numFmtId="0" fontId="48" fillId="0" borderId="0" xfId="224" applyFont="1" applyBorder="1"/>
    <xf numFmtId="0" fontId="47" fillId="0" borderId="0" xfId="48" applyFont="1" applyAlignment="1" applyProtection="1">
      <alignment horizontal="left" vertical="top"/>
    </xf>
    <xf numFmtId="0" fontId="49" fillId="40" borderId="0" xfId="213" applyFont="1" applyFill="1" applyAlignment="1">
      <alignment vertical="top"/>
    </xf>
    <xf numFmtId="0" fontId="57" fillId="40" borderId="0" xfId="213" applyFont="1" applyFill="1" applyAlignment="1">
      <alignment vertical="top"/>
    </xf>
    <xf numFmtId="0" fontId="50" fillId="40" borderId="0" xfId="0"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212" applyFont="1" applyFill="1"/>
    <xf numFmtId="0" fontId="48" fillId="0" borderId="0" xfId="74" applyFont="1"/>
    <xf numFmtId="0" fontId="48" fillId="0" borderId="0" xfId="72" applyFont="1"/>
    <xf numFmtId="164" fontId="48" fillId="0" borderId="0" xfId="0" applyNumberFormat="1" applyFont="1"/>
    <xf numFmtId="0" fontId="58" fillId="35" borderId="0" xfId="0" applyFont="1" applyFill="1" applyAlignment="1">
      <alignment horizontal="left"/>
    </xf>
    <xf numFmtId="0" fontId="58" fillId="35" borderId="0" xfId="0" applyFont="1" applyFill="1"/>
    <xf numFmtId="0" fontId="69" fillId="35" borderId="2" xfId="0" applyFont="1" applyFill="1" applyBorder="1"/>
    <xf numFmtId="0" fontId="65" fillId="0" borderId="2" xfId="0" applyFont="1" applyBorder="1" applyAlignment="1">
      <alignment vertical="top"/>
    </xf>
    <xf numFmtId="0" fontId="48" fillId="0" borderId="2" xfId="0" applyFont="1" applyBorder="1" applyAlignment="1">
      <alignment vertical="top"/>
    </xf>
    <xf numFmtId="0" fontId="48" fillId="0" borderId="2" xfId="0" applyFont="1" applyBorder="1"/>
    <xf numFmtId="0" fontId="50" fillId="35" borderId="0" xfId="0" applyFont="1" applyFill="1" applyAlignment="1">
      <alignment vertical="top"/>
    </xf>
    <xf numFmtId="49" fontId="50" fillId="35" borderId="0" xfId="0" applyNumberFormat="1" applyFont="1" applyFill="1" applyBorder="1" applyAlignment="1">
      <alignment horizontal="center" vertical="top" wrapText="1"/>
    </xf>
    <xf numFmtId="0" fontId="50" fillId="35" borderId="0" xfId="0" applyFont="1" applyFill="1" applyBorder="1" applyAlignment="1">
      <alignment vertical="top" wrapText="1"/>
    </xf>
    <xf numFmtId="0" fontId="50" fillId="0" borderId="4" xfId="0" applyFont="1" applyFill="1" applyBorder="1" applyAlignment="1">
      <alignment horizontal="left" vertical="top"/>
    </xf>
    <xf numFmtId="0" fontId="49" fillId="33" borderId="0" xfId="213" applyFont="1" applyFill="1"/>
    <xf numFmtId="0" fontId="57" fillId="33" borderId="0" xfId="213" applyFont="1" applyFill="1"/>
    <xf numFmtId="0" fontId="49" fillId="33" borderId="0" xfId="213" applyFont="1" applyFill="1" applyAlignment="1">
      <alignment vertical="top"/>
    </xf>
    <xf numFmtId="0" fontId="57" fillId="33" borderId="0" xfId="213" applyFont="1" applyFill="1" applyAlignment="1">
      <alignment vertical="top"/>
    </xf>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53" fillId="38" borderId="1" xfId="0" applyFont="1" applyFill="1" applyBorder="1" applyAlignment="1">
      <alignment vertical="top" wrapText="1"/>
    </xf>
    <xf numFmtId="0" fontId="0" fillId="38" borderId="1" xfId="0" applyFill="1" applyBorder="1"/>
    <xf numFmtId="0" fontId="0" fillId="0" borderId="1" xfId="0" applyFill="1" applyBorder="1"/>
    <xf numFmtId="0" fontId="6" fillId="0" borderId="1" xfId="0" applyFont="1" applyFill="1" applyBorder="1"/>
    <xf numFmtId="0" fontId="6" fillId="0" borderId="1" xfId="0" applyFont="1" applyFill="1" applyBorder="1" applyAlignment="1">
      <alignment horizontal="center"/>
    </xf>
    <xf numFmtId="0" fontId="18" fillId="0" borderId="1" xfId="212" applyFont="1" applyFill="1" applyBorder="1" applyAlignment="1">
      <alignment horizontal="left"/>
    </xf>
    <xf numFmtId="0" fontId="6" fillId="0" borderId="1" xfId="212" applyFont="1" applyFill="1" applyBorder="1" applyAlignment="1">
      <alignment horizontal="left"/>
    </xf>
    <xf numFmtId="0" fontId="48" fillId="38" borderId="1" xfId="0" applyFont="1" applyFill="1" applyBorder="1" applyAlignment="1">
      <alignment horizontal="left" vertical="top"/>
    </xf>
    <xf numFmtId="0" fontId="20" fillId="0" borderId="0" xfId="0" applyFont="1" applyFill="1" applyBorder="1" applyAlignment="1">
      <alignment vertical="center"/>
    </xf>
    <xf numFmtId="0" fontId="50" fillId="40" borderId="0" xfId="0" applyFont="1" applyFill="1" applyAlignment="1">
      <alignment wrapText="1"/>
    </xf>
    <xf numFmtId="0" fontId="20" fillId="0" borderId="0" xfId="0" applyFont="1" applyFill="1" applyBorder="1" applyAlignment="1">
      <alignment vertical="center" wrapText="1"/>
    </xf>
    <xf numFmtId="0" fontId="48" fillId="0" borderId="0" xfId="0" applyFont="1" applyFill="1" applyBorder="1" applyAlignment="1">
      <alignment vertical="center" wrapText="1"/>
    </xf>
    <xf numFmtId="0" fontId="15" fillId="40" borderId="0" xfId="0" applyFont="1" applyFill="1"/>
    <xf numFmtId="0" fontId="50" fillId="40" borderId="0" xfId="0" applyFont="1" applyFill="1" applyAlignment="1">
      <alignment vertical="top" wrapText="1"/>
    </xf>
    <xf numFmtId="49" fontId="50" fillId="0" borderId="0" xfId="0" applyNumberFormat="1" applyFont="1" applyFill="1" applyBorder="1" applyAlignment="1">
      <alignment horizontal="center" vertical="top" wrapText="1"/>
    </xf>
    <xf numFmtId="0" fontId="50" fillId="40" borderId="0" xfId="0" applyFont="1" applyFill="1" applyAlignment="1">
      <alignment horizontal="left" vertical="top" wrapText="1"/>
    </xf>
    <xf numFmtId="0" fontId="48" fillId="0" borderId="0" xfId="72" applyFont="1" applyAlignment="1">
      <alignment horizontal="left" vertical="top" wrapText="1"/>
    </xf>
    <xf numFmtId="0" fontId="48" fillId="0" borderId="0" xfId="0" applyFont="1" applyAlignment="1">
      <alignment horizontal="left" vertical="top" wrapText="1"/>
    </xf>
    <xf numFmtId="0" fontId="43" fillId="40" borderId="0" xfId="55" applyFont="1" applyFill="1" applyAlignment="1">
      <alignment vertical="center"/>
    </xf>
    <xf numFmtId="0" fontId="0" fillId="0" borderId="0" xfId="0" applyAlignment="1">
      <alignment horizontal="left" vertical="top"/>
    </xf>
    <xf numFmtId="0" fontId="12" fillId="0" borderId="0" xfId="218">
      <alignment vertical="top"/>
    </xf>
    <xf numFmtId="0" fontId="44" fillId="0" borderId="6" xfId="55" applyFont="1" applyFill="1" applyBorder="1" applyAlignment="1">
      <alignment horizontal="left" vertical="top"/>
    </xf>
    <xf numFmtId="0" fontId="43" fillId="0" borderId="0" xfId="55" applyFont="1" applyAlignment="1">
      <alignment horizontal="left" vertical="top"/>
    </xf>
    <xf numFmtId="0" fontId="43" fillId="0" borderId="0" xfId="55" applyFont="1" applyAlignment="1">
      <alignment horizontal="left" vertical="top" wrapText="1"/>
    </xf>
    <xf numFmtId="0" fontId="44" fillId="0" borderId="0" xfId="0" applyFont="1" applyFill="1" applyBorder="1" applyAlignment="1">
      <alignment horizontal="left" vertical="top" wrapText="1"/>
    </xf>
    <xf numFmtId="0" fontId="70" fillId="41" borderId="0" xfId="213" applyFont="1" applyFill="1"/>
    <xf numFmtId="0" fontId="71" fillId="41" borderId="0" xfId="213" applyFont="1" applyFill="1"/>
    <xf numFmtId="0" fontId="59" fillId="41" borderId="0" xfId="0" applyFont="1" applyFill="1"/>
    <xf numFmtId="49" fontId="72" fillId="41" borderId="0" xfId="0" applyNumberFormat="1" applyFont="1" applyFill="1"/>
    <xf numFmtId="49" fontId="70" fillId="41" borderId="0" xfId="213" applyNumberFormat="1" applyFont="1" applyFill="1"/>
    <xf numFmtId="0" fontId="70" fillId="41" borderId="0" xfId="213" applyFont="1" applyFill="1" applyAlignment="1">
      <alignment vertical="top" wrapText="1"/>
    </xf>
    <xf numFmtId="0" fontId="71" fillId="41" borderId="0" xfId="213" applyFont="1" applyFill="1" applyAlignment="1">
      <alignment vertical="top"/>
    </xf>
    <xf numFmtId="0" fontId="73" fillId="33" borderId="0" xfId="48" applyFont="1" applyFill="1" applyAlignment="1" applyProtection="1"/>
    <xf numFmtId="0" fontId="50" fillId="0" borderId="0" xfId="0" applyFont="1" applyAlignment="1">
      <alignment vertical="top"/>
    </xf>
    <xf numFmtId="0" fontId="15" fillId="0" borderId="0" xfId="0" applyFont="1" applyAlignment="1">
      <alignment horizontal="center"/>
    </xf>
    <xf numFmtId="0" fontId="54" fillId="0" borderId="0" xfId="0" applyFont="1" applyAlignment="1">
      <alignment horizontal="center"/>
    </xf>
    <xf numFmtId="0" fontId="13" fillId="0" borderId="0" xfId="0" applyFont="1" applyAlignment="1">
      <alignment horizontal="center"/>
    </xf>
    <xf numFmtId="0" fontId="0" fillId="0" borderId="0" xfId="0" applyAlignment="1">
      <alignment horizontal="center"/>
    </xf>
    <xf numFmtId="0" fontId="0" fillId="0" borderId="0" xfId="0" applyFill="1" applyAlignment="1">
      <alignment horizontal="center"/>
    </xf>
    <xf numFmtId="0" fontId="48" fillId="0" borderId="0" xfId="106" applyFont="1" applyAlignment="1">
      <alignment horizontal="center"/>
    </xf>
    <xf numFmtId="0" fontId="73" fillId="33" borderId="0" xfId="48" applyFont="1" applyFill="1" applyAlignment="1" applyProtection="1">
      <alignment vertical="top"/>
    </xf>
    <xf numFmtId="0" fontId="49" fillId="0" borderId="0" xfId="213" applyFont="1" applyFill="1" applyAlignment="1">
      <alignment vertical="top"/>
    </xf>
    <xf numFmtId="0" fontId="5" fillId="38" borderId="1" xfId="48" applyFill="1" applyBorder="1" applyAlignment="1" applyProtection="1">
      <alignment vertical="top"/>
    </xf>
    <xf numFmtId="0" fontId="50" fillId="0" borderId="0" xfId="0" applyFont="1" applyFill="1" applyBorder="1" applyAlignment="1">
      <alignment vertical="top" wrapText="1"/>
    </xf>
    <xf numFmtId="0" fontId="50" fillId="0" borderId="0" xfId="0" applyFont="1" applyFill="1" applyBorder="1" applyAlignment="1">
      <alignment horizontal="center" vertical="top"/>
    </xf>
    <xf numFmtId="0" fontId="50" fillId="38" borderId="19" xfId="0" applyFont="1" applyFill="1" applyBorder="1" applyAlignment="1">
      <alignment vertical="top" wrapText="1"/>
    </xf>
    <xf numFmtId="0" fontId="49" fillId="0" borderId="0" xfId="213" applyFont="1" applyFill="1" applyBorder="1"/>
    <xf numFmtId="0" fontId="49" fillId="0" borderId="0" xfId="213" applyFont="1" applyFill="1" applyBorder="1" applyAlignment="1">
      <alignment vertical="top"/>
    </xf>
    <xf numFmtId="0" fontId="73" fillId="0" borderId="0" xfId="48" applyFont="1" applyFill="1" applyBorder="1" applyAlignment="1" applyProtection="1">
      <alignment vertical="top"/>
    </xf>
    <xf numFmtId="0" fontId="73" fillId="0" borderId="0" xfId="48" applyFont="1" applyFill="1" applyBorder="1" applyAlignment="1" applyProtection="1"/>
    <xf numFmtId="0" fontId="50" fillId="0" borderId="0" xfId="212" applyFont="1" applyFill="1" applyBorder="1" applyAlignment="1">
      <alignment horizontal="left" vertical="top"/>
    </xf>
    <xf numFmtId="0" fontId="42" fillId="0" borderId="0" xfId="0" applyFont="1" applyFill="1" applyBorder="1" applyAlignment="1">
      <alignment horizontal="center"/>
    </xf>
    <xf numFmtId="0" fontId="42" fillId="0" borderId="0" xfId="0" quotePrefix="1" applyFont="1" applyFill="1" applyBorder="1" applyAlignment="1">
      <alignment horizontal="center"/>
    </xf>
    <xf numFmtId="0" fontId="45" fillId="34" borderId="3" xfId="0" applyFont="1" applyFill="1" applyBorder="1" applyAlignment="1">
      <alignment horizontal="center" vertical="center" textRotation="90"/>
    </xf>
    <xf numFmtId="0" fontId="4" fillId="0" borderId="0" xfId="0" applyFont="1" applyFill="1" applyBorder="1" applyAlignment="1">
      <alignment horizontal="center"/>
    </xf>
    <xf numFmtId="0" fontId="15" fillId="0" borderId="0" xfId="0" applyFont="1" applyFill="1" applyBorder="1" applyAlignment="1">
      <alignment horizontal="center"/>
    </xf>
    <xf numFmtId="0" fontId="41" fillId="0" borderId="0" xfId="0" applyFont="1" applyFill="1" applyBorder="1" applyAlignment="1">
      <alignment horizontal="center"/>
    </xf>
    <xf numFmtId="0" fontId="45" fillId="34" borderId="3" xfId="0" applyFont="1" applyFill="1" applyBorder="1" applyAlignment="1">
      <alignment horizontal="center" wrapText="1"/>
    </xf>
    <xf numFmtId="0" fontId="0" fillId="0" borderId="0" xfId="0" applyFill="1" applyBorder="1" applyAlignment="1">
      <alignment horizontal="center" vertical="top"/>
    </xf>
    <xf numFmtId="0" fontId="15" fillId="0" borderId="0" xfId="0" applyFont="1" applyAlignment="1"/>
    <xf numFmtId="0" fontId="0" fillId="0" borderId="0" xfId="0" applyAlignment="1"/>
    <xf numFmtId="0" fontId="71" fillId="41" borderId="0" xfId="213" applyFont="1" applyFill="1" applyAlignment="1">
      <alignment horizontal="left"/>
    </xf>
    <xf numFmtId="0" fontId="43" fillId="0" borderId="0" xfId="55" applyFont="1" applyAlignment="1">
      <alignment horizontal="left"/>
    </xf>
    <xf numFmtId="0" fontId="39" fillId="36" borderId="20" xfId="0" applyFont="1" applyFill="1" applyBorder="1" applyAlignment="1">
      <alignment vertical="top" wrapText="1"/>
    </xf>
    <xf numFmtId="0" fontId="39" fillId="36" borderId="23" xfId="0" applyFont="1" applyFill="1" applyBorder="1" applyAlignment="1">
      <alignment horizontal="left" vertical="top" wrapText="1"/>
    </xf>
    <xf numFmtId="0" fontId="76" fillId="40" borderId="3" xfId="55" applyFont="1" applyFill="1" applyBorder="1" applyAlignment="1">
      <alignment horizontal="center" vertical="center" wrapText="1"/>
    </xf>
    <xf numFmtId="0" fontId="76" fillId="40" borderId="3" xfId="55" applyFont="1" applyFill="1" applyBorder="1" applyAlignment="1">
      <alignment horizontal="center" vertical="center"/>
    </xf>
    <xf numFmtId="0" fontId="76" fillId="40" borderId="3" xfId="55" applyFont="1" applyFill="1" applyBorder="1" applyAlignment="1">
      <alignment horizontal="left" vertical="center" wrapText="1"/>
    </xf>
    <xf numFmtId="0" fontId="76" fillId="40" borderId="3" xfId="55" applyFont="1" applyFill="1" applyBorder="1" applyAlignment="1">
      <alignment horizontal="left" vertical="center"/>
    </xf>
    <xf numFmtId="0" fontId="77" fillId="40" borderId="0" xfId="55" applyFont="1" applyFill="1" applyAlignment="1">
      <alignment vertical="center" wrapText="1"/>
    </xf>
    <xf numFmtId="0" fontId="69" fillId="35" borderId="0" xfId="0" applyFont="1" applyFill="1" applyAlignment="1">
      <alignment vertical="top" wrapText="1"/>
    </xf>
    <xf numFmtId="0" fontId="65" fillId="0" borderId="0" xfId="0" applyFont="1" applyAlignment="1">
      <alignment vertical="top" wrapText="1"/>
    </xf>
    <xf numFmtId="0" fontId="57" fillId="42" borderId="0" xfId="213" applyFont="1" applyFill="1" applyAlignment="1">
      <alignment vertical="top"/>
    </xf>
    <xf numFmtId="49" fontId="48" fillId="42" borderId="0" xfId="0" applyNumberFormat="1" applyFont="1" applyFill="1" applyAlignment="1">
      <alignment vertical="top"/>
    </xf>
    <xf numFmtId="0" fontId="57" fillId="42" borderId="0" xfId="213" applyFont="1" applyFill="1"/>
    <xf numFmtId="49" fontId="48" fillId="42" borderId="0" xfId="0" applyNumberFormat="1" applyFont="1" applyFill="1"/>
    <xf numFmtId="0" fontId="48" fillId="0" borderId="16" xfId="55" applyFont="1" applyBorder="1" applyAlignment="1">
      <alignment horizontal="center" vertical="top" wrapText="1"/>
    </xf>
    <xf numFmtId="0" fontId="48" fillId="0" borderId="16" xfId="55" applyFont="1" applyBorder="1" applyAlignment="1">
      <alignment vertical="top" wrapText="1"/>
    </xf>
    <xf numFmtId="0" fontId="48" fillId="0" borderId="24" xfId="55" applyFont="1" applyFill="1" applyBorder="1" applyAlignment="1">
      <alignment horizontal="center" vertical="top" wrapText="1"/>
    </xf>
    <xf numFmtId="0" fontId="48" fillId="0" borderId="24" xfId="55" applyFont="1" applyFill="1" applyBorder="1" applyAlignment="1">
      <alignment horizontal="left" vertical="top" wrapText="1"/>
    </xf>
    <xf numFmtId="0" fontId="48" fillId="0" borderId="24" xfId="55" applyFont="1" applyBorder="1" applyAlignment="1">
      <alignment vertical="top" wrapText="1"/>
    </xf>
    <xf numFmtId="0" fontId="48" fillId="0" borderId="16" xfId="55" applyFont="1" applyFill="1" applyBorder="1" applyAlignment="1">
      <alignment horizontal="left" vertical="top" wrapText="1"/>
    </xf>
    <xf numFmtId="0" fontId="48" fillId="0" borderId="16" xfId="55" applyFont="1" applyFill="1" applyBorder="1" applyAlignment="1">
      <alignment horizontal="center" vertical="top" wrapText="1"/>
    </xf>
    <xf numFmtId="0" fontId="48" fillId="33" borderId="1" xfId="55" applyFont="1" applyFill="1" applyBorder="1" applyAlignment="1">
      <alignment horizontal="center" vertical="top" wrapText="1"/>
    </xf>
    <xf numFmtId="0" fontId="48" fillId="0" borderId="25" xfId="55" applyFont="1" applyFill="1" applyBorder="1" applyAlignment="1">
      <alignment horizontal="left" vertical="top" wrapText="1"/>
    </xf>
    <xf numFmtId="0" fontId="48" fillId="33" borderId="25" xfId="55" applyFont="1" applyFill="1" applyBorder="1" applyAlignment="1">
      <alignment horizontal="left" vertical="top" wrapText="1"/>
    </xf>
    <xf numFmtId="0" fontId="48" fillId="33" borderId="16" xfId="55" applyFont="1" applyFill="1" applyBorder="1" applyAlignment="1">
      <alignment horizontal="left" vertical="top" wrapText="1"/>
    </xf>
    <xf numFmtId="0" fontId="80" fillId="33" borderId="16" xfId="48" applyFont="1" applyFill="1" applyBorder="1" applyAlignment="1" applyProtection="1">
      <alignment vertical="top"/>
    </xf>
    <xf numFmtId="0" fontId="48" fillId="33" borderId="16" xfId="48" applyFont="1" applyFill="1" applyBorder="1" applyAlignment="1" applyProtection="1">
      <alignment vertical="top"/>
    </xf>
    <xf numFmtId="0" fontId="25" fillId="43" borderId="26" xfId="0" applyFont="1" applyFill="1" applyBorder="1" applyAlignment="1">
      <alignment horizontal="left" vertical="top"/>
    </xf>
    <xf numFmtId="0" fontId="25" fillId="43" borderId="0" xfId="0" applyFont="1" applyFill="1" applyBorder="1" applyAlignment="1">
      <alignment horizontal="left" vertical="top"/>
    </xf>
    <xf numFmtId="49" fontId="25" fillId="43" borderId="0" xfId="0" applyNumberFormat="1" applyFont="1" applyFill="1" applyBorder="1" applyAlignment="1">
      <alignment horizontal="left" vertical="top"/>
    </xf>
    <xf numFmtId="0" fontId="0" fillId="0" borderId="0" xfId="0" applyFont="1" applyAlignment="1">
      <alignment horizontal="left" vertical="top"/>
    </xf>
    <xf numFmtId="0" fontId="52" fillId="0" borderId="0" xfId="0" applyFont="1" applyAlignment="1">
      <alignment horizontal="left" vertical="top"/>
    </xf>
    <xf numFmtId="0" fontId="0" fillId="0" borderId="0" xfId="0" applyFont="1" applyFill="1" applyBorder="1" applyAlignment="1">
      <alignment horizontal="left" vertical="top"/>
    </xf>
    <xf numFmtId="49" fontId="0" fillId="0" borderId="0" xfId="0" applyNumberFormat="1" applyFont="1" applyFill="1" applyBorder="1" applyAlignment="1">
      <alignment horizontal="left" vertical="top"/>
    </xf>
    <xf numFmtId="49" fontId="0" fillId="0" borderId="0" xfId="0" applyNumberFormat="1" applyFont="1" applyAlignment="1">
      <alignment horizontal="left" vertical="top"/>
    </xf>
    <xf numFmtId="0" fontId="48" fillId="0" borderId="0" xfId="106" applyFont="1" applyFill="1" applyBorder="1" applyAlignment="1">
      <alignment wrapText="1"/>
    </xf>
    <xf numFmtId="0" fontId="82" fillId="0" borderId="0" xfId="0" applyFont="1"/>
    <xf numFmtId="0" fontId="82" fillId="0" borderId="0" xfId="0" applyNumberFormat="1" applyFont="1"/>
    <xf numFmtId="49" fontId="48" fillId="0" borderId="0" xfId="106" applyNumberFormat="1" applyFont="1" applyFill="1" applyBorder="1"/>
    <xf numFmtId="0" fontId="48" fillId="0" borderId="0" xfId="225" applyFont="1" applyFill="1" applyBorder="1" applyAlignment="1">
      <alignment vertical="center"/>
    </xf>
    <xf numFmtId="0" fontId="83" fillId="44" borderId="0" xfId="48" applyFont="1" applyFill="1" applyAlignment="1" applyProtection="1"/>
    <xf numFmtId="0" fontId="71" fillId="44" borderId="0" xfId="213" applyFont="1" applyFill="1"/>
    <xf numFmtId="49" fontId="48" fillId="0" borderId="16" xfId="55" applyNumberFormat="1" applyFont="1" applyBorder="1" applyAlignment="1">
      <alignment horizontal="left" vertical="top" wrapText="1"/>
    </xf>
    <xf numFmtId="49" fontId="48" fillId="0" borderId="16" xfId="223" applyNumberFormat="1" applyFont="1" applyFill="1" applyBorder="1" applyAlignment="1">
      <alignment horizontal="left" vertical="top" wrapText="1"/>
    </xf>
    <xf numFmtId="0" fontId="20" fillId="38" borderId="27" xfId="55" applyFont="1" applyFill="1" applyBorder="1" applyAlignment="1">
      <alignment horizontal="center" textRotation="90" wrapText="1"/>
    </xf>
    <xf numFmtId="0" fontId="13" fillId="0" borderId="0" xfId="0" applyFont="1" applyFill="1" applyAlignment="1">
      <alignment horizontal="center"/>
    </xf>
    <xf numFmtId="0" fontId="47" fillId="33" borderId="16" xfId="48" applyFont="1" applyFill="1" applyBorder="1" applyAlignment="1" applyProtection="1">
      <alignment vertical="top"/>
    </xf>
    <xf numFmtId="0" fontId="85" fillId="0" borderId="0" xfId="48" applyFont="1" applyAlignment="1" applyProtection="1"/>
    <xf numFmtId="0" fontId="85" fillId="0" borderId="0" xfId="48" applyFont="1" applyFill="1" applyAlignment="1" applyProtection="1"/>
    <xf numFmtId="0" fontId="44" fillId="0" borderId="6" xfId="55" applyFont="1" applyFill="1" applyBorder="1" applyAlignment="1">
      <alignment horizontal="left" vertical="top" wrapText="1"/>
    </xf>
    <xf numFmtId="0" fontId="44" fillId="0" borderId="6" xfId="55" applyFont="1" applyFill="1" applyBorder="1" applyAlignment="1">
      <alignment horizontal="left" vertical="top"/>
    </xf>
    <xf numFmtId="0" fontId="43" fillId="0" borderId="0" xfId="55" applyFont="1" applyAlignment="1">
      <alignment horizontal="left" vertical="top"/>
    </xf>
    <xf numFmtId="0" fontId="44" fillId="0" borderId="0" xfId="0" applyFont="1" applyFill="1" applyBorder="1" applyAlignment="1">
      <alignment horizontal="left" vertical="top" wrapText="1"/>
    </xf>
    <xf numFmtId="0" fontId="44" fillId="0" borderId="0" xfId="0" applyFont="1" applyFill="1" applyBorder="1" applyAlignment="1">
      <alignment horizontal="left" vertical="top"/>
    </xf>
    <xf numFmtId="0" fontId="44" fillId="33" borderId="1" xfId="55" applyFont="1" applyFill="1" applyBorder="1" applyAlignment="1">
      <alignment horizontal="center" vertical="top" wrapText="1"/>
    </xf>
    <xf numFmtId="0" fontId="84" fillId="0" borderId="6" xfId="48" applyFont="1" applyFill="1" applyBorder="1" applyAlignment="1" applyProtection="1">
      <alignment horizontal="left" vertical="top" wrapText="1"/>
    </xf>
    <xf numFmtId="0" fontId="0" fillId="0" borderId="0" xfId="0"/>
    <xf numFmtId="0" fontId="50" fillId="0" borderId="0" xfId="0" applyFont="1"/>
    <xf numFmtId="0" fontId="49" fillId="0" borderId="0" xfId="213" applyFont="1" applyFill="1"/>
    <xf numFmtId="0" fontId="57" fillId="0" borderId="0" xfId="213" applyFont="1" applyFill="1"/>
    <xf numFmtId="49" fontId="50" fillId="0" borderId="0" xfId="0" applyNumberFormat="1" applyFont="1" applyFill="1" applyBorder="1" applyAlignment="1">
      <alignment horizontal="center" vertical="center" wrapText="1"/>
    </xf>
    <xf numFmtId="0" fontId="50" fillId="0" borderId="0" xfId="0" applyFont="1" applyFill="1" applyBorder="1" applyAlignment="1">
      <alignment wrapText="1"/>
    </xf>
    <xf numFmtId="0" fontId="50" fillId="0" borderId="0" xfId="0" applyFont="1" applyFill="1" applyBorder="1" applyAlignment="1">
      <alignment horizontal="center" vertical="center"/>
    </xf>
    <xf numFmtId="0" fontId="50" fillId="0" borderId="4" xfId="0" applyFont="1" applyBorder="1" applyAlignment="1">
      <alignment horizontal="left"/>
    </xf>
    <xf numFmtId="0" fontId="50" fillId="0" borderId="4" xfId="212" applyFont="1" applyFill="1" applyBorder="1" applyAlignment="1">
      <alignment horizontal="left"/>
    </xf>
    <xf numFmtId="0" fontId="57" fillId="0" borderId="0" xfId="213" applyFont="1" applyFill="1" applyAlignment="1">
      <alignment vertical="top"/>
    </xf>
    <xf numFmtId="0" fontId="49" fillId="40" borderId="0" xfId="213" applyFont="1" applyFill="1" applyAlignment="1">
      <alignment vertical="top"/>
    </xf>
    <xf numFmtId="0" fontId="49" fillId="40" borderId="0" xfId="213" applyFont="1" applyFill="1"/>
    <xf numFmtId="0" fontId="57" fillId="40" borderId="0" xfId="213" applyFont="1" applyFill="1"/>
    <xf numFmtId="0" fontId="50" fillId="40" borderId="0" xfId="0" applyFont="1" applyFill="1"/>
    <xf numFmtId="0" fontId="48" fillId="0" borderId="0" xfId="74" applyFont="1"/>
    <xf numFmtId="0" fontId="49" fillId="33" borderId="0" xfId="213" applyFont="1" applyFill="1"/>
    <xf numFmtId="0" fontId="50" fillId="38" borderId="1" xfId="0" applyFont="1" applyFill="1" applyBorder="1" applyAlignment="1">
      <alignment vertical="top" wrapText="1"/>
    </xf>
    <xf numFmtId="0" fontId="5" fillId="38" borderId="1" xfId="48" applyFill="1" applyBorder="1" applyAlignment="1" applyProtection="1"/>
    <xf numFmtId="0" fontId="50" fillId="38" borderId="1" xfId="0" applyFont="1" applyFill="1" applyBorder="1" applyAlignment="1">
      <alignment horizontal="left" vertical="top"/>
    </xf>
    <xf numFmtId="0" fontId="73" fillId="33" borderId="0" xfId="48" applyFont="1" applyFill="1" applyAlignment="1" applyProtection="1"/>
    <xf numFmtId="0" fontId="57" fillId="42" borderId="0" xfId="213" applyFont="1" applyFill="1" applyAlignment="1">
      <alignment vertical="top"/>
    </xf>
    <xf numFmtId="0" fontId="57" fillId="42" borderId="0" xfId="213" applyFont="1" applyFill="1"/>
    <xf numFmtId="49" fontId="48" fillId="42" borderId="0" xfId="0" applyNumberFormat="1" applyFont="1" applyFill="1"/>
    <xf numFmtId="0" fontId="5" fillId="0" borderId="0" xfId="48" applyAlignment="1" applyProtection="1">
      <alignment wrapText="1"/>
    </xf>
    <xf numFmtId="0" fontId="51" fillId="0" borderId="1" xfId="110" applyFont="1" applyFill="1" applyBorder="1" applyAlignment="1">
      <alignment horizontal="center" vertical="center" textRotation="90" wrapText="1"/>
    </xf>
    <xf numFmtId="0" fontId="5" fillId="0" borderId="16" xfId="48" applyBorder="1" applyAlignment="1" applyProtection="1">
      <alignment horizontal="center" vertical="center" textRotation="90" wrapText="1"/>
    </xf>
    <xf numFmtId="0" fontId="5" fillId="0" borderId="16" xfId="48" applyBorder="1" applyAlignment="1" applyProtection="1">
      <alignment horizontal="left" vertical="center" textRotation="90"/>
    </xf>
    <xf numFmtId="0" fontId="5" fillId="0" borderId="0" xfId="48" applyBorder="1" applyAlignment="1" applyProtection="1">
      <alignment horizontal="center" vertical="center" textRotation="90"/>
    </xf>
    <xf numFmtId="0" fontId="39" fillId="37" borderId="3" xfId="110" applyFont="1" applyFill="1" applyBorder="1" applyAlignment="1">
      <alignment horizontal="left" vertical="center" wrapText="1"/>
    </xf>
    <xf numFmtId="0" fontId="50" fillId="0" borderId="0" xfId="110" applyFont="1" applyFill="1"/>
    <xf numFmtId="0" fontId="50" fillId="0" borderId="0" xfId="110" applyFont="1"/>
    <xf numFmtId="0" fontId="48" fillId="0" borderId="0" xfId="110" applyFont="1"/>
    <xf numFmtId="0" fontId="51" fillId="34" borderId="1" xfId="110" applyFont="1" applyFill="1" applyBorder="1" applyAlignment="1">
      <alignment horizontal="left" wrapText="1"/>
    </xf>
    <xf numFmtId="0" fontId="20" fillId="34" borderId="1" xfId="110" applyFont="1" applyFill="1" applyBorder="1" applyAlignment="1">
      <alignment horizontal="left" wrapText="1"/>
    </xf>
    <xf numFmtId="0" fontId="20" fillId="34" borderId="1" xfId="110" applyFont="1" applyFill="1" applyBorder="1" applyAlignment="1">
      <alignment horizontal="left"/>
    </xf>
    <xf numFmtId="0" fontId="20" fillId="34" borderId="1" xfId="110" applyFont="1" applyFill="1" applyBorder="1" applyAlignment="1">
      <alignment horizontal="center"/>
    </xf>
    <xf numFmtId="0" fontId="39" fillId="34" borderId="1" xfId="110" applyFont="1" applyFill="1" applyBorder="1" applyAlignment="1">
      <alignment wrapText="1"/>
    </xf>
    <xf numFmtId="0" fontId="51" fillId="34" borderId="0" xfId="110" applyFont="1" applyFill="1" applyBorder="1" applyAlignment="1">
      <alignment horizontal="left" wrapText="1"/>
    </xf>
    <xf numFmtId="0" fontId="20" fillId="34" borderId="0" xfId="110" applyFont="1" applyFill="1" applyBorder="1" applyAlignment="1">
      <alignment horizontal="left" wrapText="1"/>
    </xf>
    <xf numFmtId="0" fontId="20" fillId="34" borderId="0" xfId="110" applyFont="1" applyFill="1" applyBorder="1" applyAlignment="1">
      <alignment horizontal="center" wrapText="1"/>
    </xf>
    <xf numFmtId="0" fontId="39" fillId="34" borderId="3" xfId="110" applyFont="1" applyFill="1" applyBorder="1" applyAlignment="1">
      <alignment wrapText="1"/>
    </xf>
    <xf numFmtId="0" fontId="5" fillId="0" borderId="0" xfId="48" applyFill="1" applyBorder="1" applyAlignment="1" applyProtection="1">
      <alignment horizontal="center" vertical="center" textRotation="90" wrapText="1"/>
    </xf>
    <xf numFmtId="0" fontId="79" fillId="35" borderId="0" xfId="48" applyFont="1" applyFill="1" applyAlignment="1" applyProtection="1">
      <alignment horizontal="center"/>
    </xf>
    <xf numFmtId="0" fontId="13" fillId="0" borderId="4" xfId="0" applyFont="1" applyBorder="1" applyAlignment="1">
      <alignment horizontal="center"/>
    </xf>
    <xf numFmtId="0" fontId="47" fillId="37" borderId="27" xfId="48" applyFont="1" applyFill="1" applyBorder="1" applyAlignment="1" applyProtection="1">
      <alignment horizontal="center" textRotation="90"/>
    </xf>
    <xf numFmtId="0" fontId="46" fillId="0" borderId="1" xfId="0" applyFont="1" applyBorder="1" applyAlignment="1">
      <alignment horizontal="center" vertical="center" wrapText="1"/>
    </xf>
    <xf numFmtId="0" fontId="46" fillId="0" borderId="1" xfId="0" applyFont="1" applyBorder="1" applyAlignment="1">
      <alignment horizontal="center" vertical="center"/>
    </xf>
    <xf numFmtId="0" fontId="46" fillId="37" borderId="1" xfId="0" applyFont="1" applyFill="1" applyBorder="1" applyAlignment="1">
      <alignment horizontal="center" vertical="center" textRotation="90"/>
    </xf>
    <xf numFmtId="0" fontId="68" fillId="37" borderId="3" xfId="48" applyFont="1" applyFill="1" applyBorder="1" applyAlignment="1" applyProtection="1">
      <alignment horizontal="center" textRotation="90"/>
    </xf>
    <xf numFmtId="0" fontId="68" fillId="37" borderId="5" xfId="48" applyFont="1" applyFill="1" applyBorder="1" applyAlignment="1" applyProtection="1">
      <alignment horizontal="center" textRotation="90"/>
    </xf>
    <xf numFmtId="0" fontId="46" fillId="36" borderId="21" xfId="0" applyFont="1" applyFill="1" applyBorder="1" applyAlignment="1">
      <alignment horizontal="center" vertical="center" wrapText="1"/>
    </xf>
    <xf numFmtId="0" fontId="46" fillId="36" borderId="22" xfId="0" applyFont="1" applyFill="1" applyBorder="1" applyAlignment="1">
      <alignment horizontal="center" vertical="center" wrapText="1"/>
    </xf>
    <xf numFmtId="0" fontId="15" fillId="0" borderId="0" xfId="0" applyFont="1" applyAlignment="1">
      <alignment horizontal="center"/>
    </xf>
    <xf numFmtId="0" fontId="48" fillId="45" borderId="28" xfId="0" applyFont="1" applyFill="1" applyBorder="1" applyAlignment="1">
      <alignment horizontal="center" textRotation="90"/>
    </xf>
    <xf numFmtId="0" fontId="50" fillId="0" borderId="28" xfId="0" applyFont="1" applyBorder="1" applyAlignment="1">
      <alignment horizontal="center" textRotation="90"/>
    </xf>
    <xf numFmtId="0" fontId="48" fillId="45" borderId="0" xfId="0" applyFont="1" applyFill="1" applyAlignment="1">
      <alignment horizontal="center" textRotation="90"/>
    </xf>
    <xf numFmtId="0" fontId="50" fillId="0" borderId="0" xfId="0" applyFont="1" applyAlignment="1">
      <alignment horizontal="center" textRotation="90"/>
    </xf>
    <xf numFmtId="0" fontId="50" fillId="38" borderId="17" xfId="0" applyFont="1" applyFill="1" applyBorder="1" applyAlignment="1">
      <alignment horizontal="center" vertical="top" wrapText="1"/>
    </xf>
    <xf numFmtId="0" fontId="50" fillId="38" borderId="18" xfId="0" applyFont="1" applyFill="1" applyBorder="1" applyAlignment="1">
      <alignment horizontal="center" vertical="top" wrapText="1"/>
    </xf>
    <xf numFmtId="0" fontId="50" fillId="38" borderId="19" xfId="0" applyFont="1" applyFill="1" applyBorder="1" applyAlignment="1">
      <alignment horizontal="center" vertical="top" wrapText="1"/>
    </xf>
    <xf numFmtId="0" fontId="50" fillId="38" borderId="20" xfId="0" applyFont="1" applyFill="1" applyBorder="1" applyAlignment="1">
      <alignment horizontal="center" vertical="top" wrapText="1"/>
    </xf>
    <xf numFmtId="0" fontId="50" fillId="38" borderId="4" xfId="0" applyFont="1" applyFill="1" applyBorder="1" applyAlignment="1">
      <alignment horizontal="center" vertical="top" wrapText="1"/>
    </xf>
  </cellXfs>
  <cellStyles count="228">
    <cellStyle name="20% - Accent1 2" xfId="1"/>
    <cellStyle name="20% - Accent1 2 2" xfId="2"/>
    <cellStyle name="20% - Accent2 2" xfId="3"/>
    <cellStyle name="20% - Accent2 2 2" xfId="4"/>
    <cellStyle name="20% - Accent3 2" xfId="5"/>
    <cellStyle name="20% - Accent3 2 2" xfId="6"/>
    <cellStyle name="20% - Accent4 2" xfId="7"/>
    <cellStyle name="20% - Accent4 2 2" xfId="8"/>
    <cellStyle name="20% - Accent5 2" xfId="9"/>
    <cellStyle name="20% - Accent5 2 2" xfId="10"/>
    <cellStyle name="20% - Accent6 2" xfId="11"/>
    <cellStyle name="20% - Accent6 2 2" xfId="12"/>
    <cellStyle name="40% - Accent1 2" xfId="13"/>
    <cellStyle name="40% - Accent1 2 2" xfId="14"/>
    <cellStyle name="40% - Accent2 2" xfId="15"/>
    <cellStyle name="40% - Accent2 2 2" xfId="16"/>
    <cellStyle name="40% - Accent3 2" xfId="17"/>
    <cellStyle name="40% - Accent3 2 2" xfId="18"/>
    <cellStyle name="40% - Accent4 2" xfId="19"/>
    <cellStyle name="40% - Accent4 2 2" xfId="20"/>
    <cellStyle name="40% - Accent5 2" xfId="21"/>
    <cellStyle name="40% - Accent5 2 2" xfId="22"/>
    <cellStyle name="40% - Accent6 2" xfId="23"/>
    <cellStyle name="40% - Accent6 2 2" xfId="24"/>
    <cellStyle name="60% - Accent1 2" xfId="25"/>
    <cellStyle name="60% - Accent2 2" xfId="26"/>
    <cellStyle name="60% - Accent3 2" xfId="27"/>
    <cellStyle name="60% - Accent4 2" xfId="28"/>
    <cellStyle name="60% - Accent5 2" xfId="29"/>
    <cellStyle name="60% - Accent6 2" xfId="30"/>
    <cellStyle name="Accent1 2" xfId="31"/>
    <cellStyle name="Accent2 2" xfId="32"/>
    <cellStyle name="Accent3 2" xfId="33"/>
    <cellStyle name="Accent4 2" xfId="34"/>
    <cellStyle name="Accent5 2" xfId="35"/>
    <cellStyle name="Accent6 2" xfId="36"/>
    <cellStyle name="Bad 2" xfId="37"/>
    <cellStyle name="Bad 3" xfId="38"/>
    <cellStyle name="Calculation 2" xfId="39"/>
    <cellStyle name="cell" xfId="224"/>
    <cellStyle name="Check Cell 2" xfId="40"/>
    <cellStyle name="Explanatory Text 2" xfId="41"/>
    <cellStyle name="Good 2" xfId="42"/>
    <cellStyle name="Good 3" xfId="43"/>
    <cellStyle name="Heading 1 2" xfId="44"/>
    <cellStyle name="Heading 2 2" xfId="45"/>
    <cellStyle name="Heading 3 2" xfId="46"/>
    <cellStyle name="Heading 4 2" xfId="47"/>
    <cellStyle name="Hyperlink" xfId="48" builtinId="8"/>
    <cellStyle name="Hyperlink 2" xfId="49"/>
    <cellStyle name="Hyperlink 3" xfId="50"/>
    <cellStyle name="Input 2" xfId="51"/>
    <cellStyle name="Linked Cell 2" xfId="52"/>
    <cellStyle name="Neutral 2" xfId="53"/>
    <cellStyle name="Neutral 3" xfId="54"/>
    <cellStyle name="Normal" xfId="0" builtinId="0"/>
    <cellStyle name="Normal 10" xfId="55"/>
    <cellStyle name="Normal 10 2" xfId="56"/>
    <cellStyle name="Normal 10 2 2" xfId="57"/>
    <cellStyle name="Normal 10 2 2 2" xfId="58"/>
    <cellStyle name="Normal 10 2 2 2 2" xfId="59"/>
    <cellStyle name="Normal 10 2 2 3" xfId="60"/>
    <cellStyle name="Normal 10 2 3" xfId="61"/>
    <cellStyle name="Normal 10 2 3 2" xfId="62"/>
    <cellStyle name="Normal 10 2 4" xfId="63"/>
    <cellStyle name="Normal 10 3" xfId="64"/>
    <cellStyle name="Normal 10 3 2" xfId="65"/>
    <cellStyle name="Normal 10 3 2 2" xfId="66"/>
    <cellStyle name="Normal 10 3 3" xfId="67"/>
    <cellStyle name="Normal 10 4" xfId="68"/>
    <cellStyle name="Normal 10 4 2" xfId="69"/>
    <cellStyle name="Normal 10 5" xfId="70"/>
    <cellStyle name="Normal 11" xfId="71"/>
    <cellStyle name="Normal 11 2" xfId="72"/>
    <cellStyle name="Normal 12" xfId="73"/>
    <cellStyle name="Normal 12 2" xfId="74"/>
    <cellStyle name="Normal 13" xfId="75"/>
    <cellStyle name="Normal 14" xfId="76"/>
    <cellStyle name="Normal 14 2" xfId="77"/>
    <cellStyle name="Normal 15" xfId="78"/>
    <cellStyle name="Normal 15 2" xfId="79"/>
    <cellStyle name="Normal 16" xfId="80"/>
    <cellStyle name="Normal 16 2" xfId="81"/>
    <cellStyle name="Normal 16 3" xfId="82"/>
    <cellStyle name="Normal 17" xfId="83"/>
    <cellStyle name="Normal 18" xfId="84"/>
    <cellStyle name="Normal 19" xfId="85"/>
    <cellStyle name="Normal 2" xfId="86"/>
    <cellStyle name="Normal 2 2" xfId="87"/>
    <cellStyle name="Normal 2 3" xfId="88"/>
    <cellStyle name="Normal 2_STO" xfId="89"/>
    <cellStyle name="Normal 20" xfId="222"/>
    <cellStyle name="Normal 20 2" xfId="227"/>
    <cellStyle name="Normal 28" xfId="226"/>
    <cellStyle name="Normal 3" xfId="90"/>
    <cellStyle name="Normal 3 2" xfId="91"/>
    <cellStyle name="Normal 3 2 2" xfId="92"/>
    <cellStyle name="Normal 3 3" xfId="93"/>
    <cellStyle name="Normal 3 3 2" xfId="94"/>
    <cellStyle name="Normal 3 3 2 2" xfId="95"/>
    <cellStyle name="Normal 3 3 3" xfId="96"/>
    <cellStyle name="Normal 3 3 4" xfId="97"/>
    <cellStyle name="Normal 3 3 5" xfId="98"/>
    <cellStyle name="Normal 3 3 6" xfId="99"/>
    <cellStyle name="Normal 3 4" xfId="100"/>
    <cellStyle name="Normal 3 4 2" xfId="101"/>
    <cellStyle name="Normal 3 5" xfId="102"/>
    <cellStyle name="Normal 3 6" xfId="103"/>
    <cellStyle name="Normal 3 7" xfId="104"/>
    <cellStyle name="Normal 3 8" xfId="105"/>
    <cellStyle name="Normal 4" xfId="106"/>
    <cellStyle name="Normal 4 2" xfId="107"/>
    <cellStyle name="Normal 4 2 2" xfId="108"/>
    <cellStyle name="Normal 4 2 2 2" xfId="109"/>
    <cellStyle name="Normal 4 2 3" xfId="110"/>
    <cellStyle name="Normal 4 2 4" xfId="111"/>
    <cellStyle name="Normal 4 2 5" xfId="112"/>
    <cellStyle name="Normal 4 2 6" xfId="113"/>
    <cellStyle name="Normal 4 3" xfId="114"/>
    <cellStyle name="Normal 4 3 2" xfId="115"/>
    <cellStyle name="Normal 4 3 2 2" xfId="116"/>
    <cellStyle name="Normal 4 3 3" xfId="117"/>
    <cellStyle name="Normal 4 3 4" xfId="118"/>
    <cellStyle name="Normal 4 3 5" xfId="119"/>
    <cellStyle name="Normal 4 3 6" xfId="120"/>
    <cellStyle name="Normal 4 4" xfId="121"/>
    <cellStyle name="Normal 4 4 2" xfId="122"/>
    <cellStyle name="Normal 4 5" xfId="123"/>
    <cellStyle name="Normal 4 6" xfId="124"/>
    <cellStyle name="Normal 4 7" xfId="125"/>
    <cellStyle name="Normal 4 8" xfId="126"/>
    <cellStyle name="Normal 5" xfId="127"/>
    <cellStyle name="Normal 5 2" xfId="128"/>
    <cellStyle name="Normal 5 2 2" xfId="129"/>
    <cellStyle name="Normal 5 3" xfId="130"/>
    <cellStyle name="Normal 5 4" xfId="131"/>
    <cellStyle name="Normal 5 5" xfId="132"/>
    <cellStyle name="Normal 5 6" xfId="133"/>
    <cellStyle name="Normal 5 7" xfId="225"/>
    <cellStyle name="Normal 6" xfId="134"/>
    <cellStyle name="Normal 6 2" xfId="135"/>
    <cellStyle name="Normal 63" xfId="136"/>
    <cellStyle name="Normal 7" xfId="137"/>
    <cellStyle name="Normal 7 2" xfId="138"/>
    <cellStyle name="Normal 7 2 2" xfId="139"/>
    <cellStyle name="Normal 7 2 2 2" xfId="140"/>
    <cellStyle name="Normal 7 2 2 2 2" xfId="141"/>
    <cellStyle name="Normal 7 2 2 3" xfId="142"/>
    <cellStyle name="Normal 7 2 3" xfId="143"/>
    <cellStyle name="Normal 7 2 3 2" xfId="144"/>
    <cellStyle name="Normal 7 2 4" xfId="145"/>
    <cellStyle name="Normal 7 2 5" xfId="146"/>
    <cellStyle name="Normal 7 2 5 2" xfId="147"/>
    <cellStyle name="Normal 7 2 6" xfId="148"/>
    <cellStyle name="Normal 7 2 6 2" xfId="149"/>
    <cellStyle name="Normal 7 3" xfId="150"/>
    <cellStyle name="Normal 7 3 2" xfId="151"/>
    <cellStyle name="Normal 7 3 2 2" xfId="152"/>
    <cellStyle name="Normal 7 3 3" xfId="153"/>
    <cellStyle name="Normal 7 4" xfId="154"/>
    <cellStyle name="Normal 7 4 2" xfId="155"/>
    <cellStyle name="Normal 7 5" xfId="156"/>
    <cellStyle name="Normal 7 6" xfId="157"/>
    <cellStyle name="Normal 7 6 2" xfId="158"/>
    <cellStyle name="Normal 7 7" xfId="159"/>
    <cellStyle name="Normal 7 8" xfId="160"/>
    <cellStyle name="Normal 7 8 2" xfId="161"/>
    <cellStyle name="Normal 8" xfId="162"/>
    <cellStyle name="Normal 8 2" xfId="163"/>
    <cellStyle name="Normal 8 2 2" xfId="164"/>
    <cellStyle name="Normal 8 2 2 2" xfId="165"/>
    <cellStyle name="Normal 8 2 2 2 2" xfId="166"/>
    <cellStyle name="Normal 8 2 2 3" xfId="167"/>
    <cellStyle name="Normal 8 2 3" xfId="168"/>
    <cellStyle name="Normal 8 2 3 2" xfId="169"/>
    <cellStyle name="Normal 8 2 4" xfId="170"/>
    <cellStyle name="Normal 8 3" xfId="171"/>
    <cellStyle name="Normal 8 3 2" xfId="172"/>
    <cellStyle name="Normal 8 3 2 2" xfId="173"/>
    <cellStyle name="Normal 8 3 3" xfId="174"/>
    <cellStyle name="Normal 8 4" xfId="175"/>
    <cellStyle name="Normal 8 4 2" xfId="176"/>
    <cellStyle name="Normal 8 5" xfId="177"/>
    <cellStyle name="Normal 8 6" xfId="178"/>
    <cellStyle name="Normal 8 6 2" xfId="179"/>
    <cellStyle name="Normal 8 7" xfId="180"/>
    <cellStyle name="Normal 8 7 2" xfId="181"/>
    <cellStyle name="Normal 81" xfId="182"/>
    <cellStyle name="Normal 83" xfId="183"/>
    <cellStyle name="Normal 84" xfId="184"/>
    <cellStyle name="Normal 86" xfId="185"/>
    <cellStyle name="Normal 87" xfId="186"/>
    <cellStyle name="Normal 88" xfId="187"/>
    <cellStyle name="Normal 89" xfId="188"/>
    <cellStyle name="Normal 9" xfId="189"/>
    <cellStyle name="Normal 9 2" xfId="190"/>
    <cellStyle name="Normal 9 2 2" xfId="191"/>
    <cellStyle name="Normal 9 2 2 2" xfId="192"/>
    <cellStyle name="Normal 9 2 2 2 2" xfId="193"/>
    <cellStyle name="Normal 9 2 2 3" xfId="194"/>
    <cellStyle name="Normal 9 2 3" xfId="195"/>
    <cellStyle name="Normal 9 2 3 2" xfId="196"/>
    <cellStyle name="Normal 9 2 4" xfId="197"/>
    <cellStyle name="Normal 9 3" xfId="198"/>
    <cellStyle name="Normal 9 3 2" xfId="199"/>
    <cellStyle name="Normal 9 3 2 2" xfId="200"/>
    <cellStyle name="Normal 9 3 3" xfId="201"/>
    <cellStyle name="Normal 9 4" xfId="202"/>
    <cellStyle name="Normal 9 4 2" xfId="203"/>
    <cellStyle name="Normal 9 5" xfId="204"/>
    <cellStyle name="Normal 9 6" xfId="205"/>
    <cellStyle name="Normal 9 6 2" xfId="206"/>
    <cellStyle name="Normal 9 7" xfId="207"/>
    <cellStyle name="Normal 9 7 2" xfId="208"/>
    <cellStyle name="Normal 90" xfId="209"/>
    <cellStyle name="Normal 91" xfId="210"/>
    <cellStyle name="Normal 92" xfId="211"/>
    <cellStyle name="Normal_15_Dim_DSD- MATRIX- SNA Alignment V0 1" xfId="212"/>
    <cellStyle name="Normal_Sheet1" xfId="213"/>
    <cellStyle name="Normal_Sheet1 2" xfId="223"/>
    <cellStyle name="Note 2" xfId="214"/>
    <cellStyle name="Note 2 2" xfId="215"/>
    <cellStyle name="Note 2 3" xfId="216"/>
    <cellStyle name="Output 2" xfId="217"/>
    <cellStyle name="Style 1" xfId="218"/>
    <cellStyle name="Title" xfId="219" builtinId="15" customBuiltin="1"/>
    <cellStyle name="Total 2" xfId="220"/>
    <cellStyle name="Warning Text 2" xfId="221"/>
  </cellStyles>
  <dxfs count="41">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strike val="0"/>
        <condense val="0"/>
        <extend val="0"/>
        <outline val="0"/>
        <shadow val="0"/>
        <u val="none"/>
        <vertAlign val="baseline"/>
        <sz val="8"/>
        <color auto="1"/>
        <name val="Arial"/>
        <scheme val="none"/>
      </font>
      <numFmt numFmtId="0" formatCode="General"/>
    </dxf>
    <dxf>
      <font>
        <b val="0"/>
        <i val="0"/>
        <strike val="0"/>
        <condense val="0"/>
        <extend val="0"/>
        <outline val="0"/>
        <shadow val="0"/>
        <u val="none"/>
        <vertAlign val="baseline"/>
        <sz val="8"/>
        <color auto="1"/>
        <name val="Arial"/>
        <scheme val="none"/>
      </font>
    </dxf>
    <dxf>
      <numFmt numFmtId="30" formatCode="@"/>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8"/>
        <color auto="1"/>
        <name val="Arial"/>
        <scheme val="none"/>
      </font>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font>
        <b val="0"/>
        <i val="0"/>
        <strike val="0"/>
        <condense val="0"/>
        <extend val="0"/>
        <outline val="0"/>
        <shadow val="0"/>
        <u val="none"/>
        <vertAlign val="baseline"/>
        <sz val="11"/>
        <color auto="1"/>
        <name val="Calibri"/>
        <scheme val="minor"/>
      </font>
      <fill>
        <patternFill patternType="none">
          <fgColor indexed="64"/>
          <bgColor indexed="65"/>
        </patternFill>
      </fill>
      <alignment horizontal="general" vertical="bottom" textRotation="0" wrapText="1" indent="0" justifyLastLine="0" shrinkToFit="0" readingOrder="0"/>
    </dxf>
    <dxf>
      <numFmt numFmtId="30" formatCode="@"/>
    </dxf>
    <dxf>
      <font>
        <b val="0"/>
        <i val="0"/>
        <strike val="0"/>
        <condense val="0"/>
        <extend val="0"/>
        <outline val="0"/>
        <shadow val="0"/>
        <u val="none"/>
        <vertAlign val="baseline"/>
        <sz val="8"/>
        <color auto="1"/>
        <name val="Arial"/>
        <scheme val="none"/>
      </font>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fill>
        <patternFill patternType="none">
          <fgColor indexed="64"/>
          <bgColor auto="1"/>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auto="1"/>
        </patternFill>
      </fill>
      <alignment horizontal="left" vertical="top"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auto="1"/>
        </patternFill>
      </fill>
      <alignment horizontal="left" vertical="top" textRotation="0" wrapText="0" indent="0" justifyLastLine="0" shrinkToFit="0" readingOrder="0"/>
    </dxf>
    <dxf>
      <fill>
        <patternFill patternType="none">
          <fgColor indexed="64"/>
          <bgColor auto="1"/>
        </patternFill>
      </fill>
    </dxf>
    <dxf>
      <border outline="0">
        <right style="thin">
          <color theme="4" tint="0.39997558519241921"/>
        </right>
        <top style="thin">
          <color theme="4" tint="0.39997558519241921"/>
        </top>
      </border>
    </dxf>
    <dxf>
      <fill>
        <patternFill patternType="none">
          <fgColor indexed="64"/>
          <bgColor auto="1"/>
        </patternFill>
      </fill>
    </dxf>
    <dxf>
      <border outline="0">
        <bottom style="thin">
          <color theme="4" tint="0.39997558519241921"/>
        </bottom>
      </border>
    </dxf>
    <dxf>
      <font>
        <b/>
        <i val="0"/>
        <strike val="0"/>
        <condense val="0"/>
        <extend val="0"/>
        <outline val="0"/>
        <shadow val="0"/>
        <u val="none"/>
        <vertAlign val="baseline"/>
        <sz val="11"/>
        <color theme="0"/>
        <name val="Calibri"/>
        <scheme val="minor"/>
      </font>
      <fill>
        <patternFill patternType="solid">
          <fgColor theme="4"/>
          <bgColor theme="4"/>
        </patternFill>
      </fill>
      <alignment horizontal="left" vertical="top" textRotation="0" wrapText="0" indent="0" justifyLastLine="0" shrinkToFit="0" readingOrder="0"/>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b val="0"/>
        <i val="0"/>
        <strike val="0"/>
        <condense val="0"/>
        <extend val="0"/>
        <outline val="0"/>
        <shadow val="0"/>
        <u val="none"/>
        <vertAlign val="baseline"/>
        <sz val="11"/>
        <color auto="1"/>
        <name val="Calibri"/>
        <scheme val="minor"/>
      </font>
      <alignment horizontal="general" vertical="top" textRotation="0" wrapText="1" indent="0" justifyLastLine="0" shrinkToFit="0" readingOrder="0"/>
    </dxf>
    <dxf>
      <font>
        <b val="0"/>
        <i val="0"/>
        <strike val="0"/>
        <condense val="0"/>
        <extend val="0"/>
        <outline val="0"/>
        <shadow val="0"/>
        <u val="none"/>
        <vertAlign val="baseline"/>
        <sz val="11"/>
        <color auto="1"/>
        <name val="Calibri"/>
        <scheme val="minor"/>
      </font>
      <alignment vertical="top" textRotation="0" wrapText="1" indent="0" justifyLastLine="0" shrinkToFit="0" readingOrder="0"/>
    </dxf>
    <dxf>
      <font>
        <b val="0"/>
        <i val="0"/>
        <strike val="0"/>
        <condense val="0"/>
        <extend val="0"/>
        <outline val="0"/>
        <shadow val="0"/>
        <u val="none"/>
        <vertAlign val="baseline"/>
        <sz val="11"/>
        <color auto="1"/>
        <name val="Calibri"/>
        <scheme val="minor"/>
      </font>
      <alignment horizontal="center" vertical="top" textRotation="0" wrapText="0" indent="0" justifyLastLine="0" shrinkToFit="0" readingOrder="0"/>
    </dxf>
    <dxf>
      <alignment vertical="top" textRotation="0" indent="0" justifyLastLine="0" shrinkToFit="0" readingOrder="0"/>
    </dxf>
    <dxf>
      <font>
        <b/>
        <i val="0"/>
        <strike val="0"/>
        <condense val="0"/>
        <extend val="0"/>
        <outline val="0"/>
        <shadow val="0"/>
        <u val="none"/>
        <vertAlign val="baseline"/>
        <sz val="14"/>
        <color auto="1"/>
        <name val="Calibri"/>
        <scheme val="minor"/>
      </font>
      <alignment vertical="top" textRotation="0" indent="0" justifyLastLine="0" shrinkToFit="0" readingOrder="0"/>
    </dxf>
  </dxfs>
  <tableStyles count="2" defaultTableStyle="TableStyleMedium9" defaultPivotStyle="PivotStyleLight16">
    <tableStyle name="Table Style 1" pivot="0" count="0"/>
    <tableStyle name="Table Style 2" pivot="0" count="0"/>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onnections" Target="connection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theme" Target="theme/theme1.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tables/table1.xml><?xml version="1.0" encoding="utf-8"?>
<table xmlns="http://schemas.openxmlformats.org/spreadsheetml/2006/main" id="5" name="Table5" displayName="Table5" ref="A2:C8" totalsRowShown="0" headerRowDxfId="40" dataDxfId="39">
  <autoFilter ref="A2:C8"/>
  <tableColumns count="3">
    <tableColumn id="1" name="Generate? 0=no, 1=yes" dataDxfId="38"/>
    <tableColumn id="2" name="Action" dataDxfId="37"/>
    <tableColumn id="3" name="Prerequisites" dataDxfId="36"/>
  </tableColumns>
  <tableStyleInfo name="TableStyleMedium4" showFirstColumn="0" showLastColumn="0" showRowStripes="1" showColumnStripes="0"/>
</table>
</file>

<file path=xl/tables/table2.xml><?xml version="1.0" encoding="utf-8"?>
<table xmlns="http://schemas.openxmlformats.org/spreadsheetml/2006/main" id="3" name="Table14" displayName="Table14" ref="A1:F2" totalsRowShown="0" headerRowDxfId="31" dataDxfId="29" headerRowBorderDxfId="30" tableBorderDxfId="28">
  <autoFilter ref="A1:F2"/>
  <tableColumns count="6">
    <tableColumn id="1" name="ID" dataDxfId="27"/>
    <tableColumn id="2" name="Agency" dataDxfId="26"/>
    <tableColumn id="3" name="Version" dataDxfId="25"/>
    <tableColumn id="4" name="Name" dataDxfId="24"/>
    <tableColumn id="5" name="Description" dataDxfId="23"/>
    <tableColumn id="6" name="IsFinal" dataDxfId="22"/>
  </tableColumns>
  <tableStyleInfo name="TableStyleLight16" showFirstColumn="0" showLastColumn="0" showRowStripes="1" showColumnStripes="0"/>
</table>
</file>

<file path=xl/tables/table3.xml><?xml version="1.0" encoding="utf-8"?>
<table xmlns="http://schemas.openxmlformats.org/spreadsheetml/2006/main" id="2" name="Table13" displayName="Table13" ref="A1:K2" totalsRowShown="0">
  <autoFilter ref="A1:K2"/>
  <tableColumns count="11">
    <tableColumn id="1" name="ID"/>
    <tableColumn id="2" name="Agency" dataDxfId="19"/>
    <tableColumn id="3" name="Version" dataDxfId="18"/>
    <tableColumn id="4" name="Name" dataDxfId="17" dataCellStyle="Normal 4"/>
    <tableColumn id="5" name="Description" dataDxfId="16" dataCellStyle="Normal 4"/>
    <tableColumn id="6" name="IsFinal"/>
    <tableColumn id="8" name="Cat.Sch Agency" dataDxfId="15"/>
    <tableColumn id="9" name="Cat.Scheme ID" dataDxfId="14"/>
    <tableColumn id="10" name="Cat.Sch Version" dataDxfId="13"/>
    <tableColumn id="7" name="Category" dataDxfId="12"/>
    <tableColumn id="11" name="Formula to Convert Name to Code" dataDxfId="11">
      <calculatedColumnFormula>FirstCharacters(D2,TRUE)</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printerSettings" Target="../printerSettings/printerSettings1.bin"/><Relationship Id="rId1" Type="http://schemas.openxmlformats.org/officeDocument/2006/relationships/hyperlink" Target="file:///C:\Users\barraclough_d\Technical%20standards\schemas\"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8" Type="http://schemas.openxmlformats.org/officeDocument/2006/relationships/printerSettings" Target="../printerSettings/printerSettings15.bin"/><Relationship Id="rId3" Type="http://schemas.openxmlformats.org/officeDocument/2006/relationships/printerSettings" Target="../printerSettings/printerSettings10.bin"/><Relationship Id="rId7" Type="http://schemas.openxmlformats.org/officeDocument/2006/relationships/printerSettings" Target="../printerSettings/printerSettings14.bin"/><Relationship Id="rId2" Type="http://schemas.openxmlformats.org/officeDocument/2006/relationships/printerSettings" Target="../printerSettings/printerSettings9.bin"/><Relationship Id="rId1" Type="http://schemas.openxmlformats.org/officeDocument/2006/relationships/printerSettings" Target="../printerSettings/printerSettings8.bin"/><Relationship Id="rId6" Type="http://schemas.openxmlformats.org/officeDocument/2006/relationships/printerSettings" Target="../printerSettings/printerSettings13.bin"/><Relationship Id="rId5" Type="http://schemas.openxmlformats.org/officeDocument/2006/relationships/printerSettings" Target="../printerSettings/printerSettings12.bin"/><Relationship Id="rId4" Type="http://schemas.openxmlformats.org/officeDocument/2006/relationships/printerSettings" Target="../printerSettings/printerSettings11.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2.xml.rels><?xml version="1.0" encoding="UTF-8" standalone="yes"?>
<Relationships xmlns="http://schemas.openxmlformats.org/package/2006/relationships"><Relationship Id="rId3" Type="http://schemas.openxmlformats.org/officeDocument/2006/relationships/printerSettings" Target="../printerSettings/printerSettings21.bin"/><Relationship Id="rId2" Type="http://schemas.openxmlformats.org/officeDocument/2006/relationships/printerSettings" Target="../printerSettings/printerSettings20.bin"/><Relationship Id="rId1" Type="http://schemas.openxmlformats.org/officeDocument/2006/relationships/printerSettings" Target="../printerSettings/printerSettings19.bin"/><Relationship Id="rId6" Type="http://schemas.openxmlformats.org/officeDocument/2006/relationships/printerSettings" Target="../printerSettings/printerSettings23.bin"/><Relationship Id="rId5" Type="http://schemas.openxmlformats.org/officeDocument/2006/relationships/hyperlink" Target="mailto:DEUX@1" TargetMode="External"/><Relationship Id="rId4" Type="http://schemas.openxmlformats.org/officeDocument/2006/relationships/printerSettings" Target="../printerSettings/printerSettings2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14.xml.rels><?xml version="1.0" encoding="UTF-8" standalone="yes"?>
<Relationships xmlns="http://schemas.openxmlformats.org/package/2006/relationships"><Relationship Id="rId3" Type="http://schemas.openxmlformats.org/officeDocument/2006/relationships/printerSettings" Target="../printerSettings/printerSettings27.bin"/><Relationship Id="rId2" Type="http://schemas.openxmlformats.org/officeDocument/2006/relationships/printerSettings" Target="../printerSettings/printerSettings26.bin"/><Relationship Id="rId1" Type="http://schemas.openxmlformats.org/officeDocument/2006/relationships/printerSettings" Target="../printerSettings/printerSettings25.bin"/><Relationship Id="rId6" Type="http://schemas.openxmlformats.org/officeDocument/2006/relationships/printerSettings" Target="../printerSettings/printerSettings30.bin"/><Relationship Id="rId5" Type="http://schemas.openxmlformats.org/officeDocument/2006/relationships/printerSettings" Target="../printerSettings/printerSettings29.bin"/><Relationship Id="rId4" Type="http://schemas.openxmlformats.org/officeDocument/2006/relationships/printerSettings" Target="../printerSettings/printerSettings28.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F11"/>
  <sheetViews>
    <sheetView tabSelected="1" zoomScaleNormal="100" workbookViewId="0">
      <selection activeCell="C9" sqref="C9"/>
    </sheetView>
  </sheetViews>
  <sheetFormatPr defaultRowHeight="15" x14ac:dyDescent="0.25"/>
  <cols>
    <col min="1" max="1" width="36.1640625" style="33" bestFit="1" customWidth="1"/>
    <col min="2" max="2" width="29.1640625" style="73" bestFit="1" customWidth="1"/>
    <col min="3" max="3" width="58.33203125" style="73" customWidth="1"/>
    <col min="4" max="4" width="33.6640625" style="73" customWidth="1"/>
    <col min="5" max="5" width="27.6640625" style="97" bestFit="1" customWidth="1"/>
    <col min="6" max="6" width="10.33203125" style="65" customWidth="1"/>
    <col min="7" max="7" width="8.1640625" style="33" customWidth="1"/>
    <col min="8" max="10" width="9.33203125" style="33"/>
    <col min="11" max="11" width="48.6640625" style="33" bestFit="1" customWidth="1"/>
    <col min="12" max="12" width="4.5" style="33" bestFit="1" customWidth="1"/>
    <col min="13" max="16384" width="9.33203125" style="33"/>
  </cols>
  <sheetData>
    <row r="1" spans="1:6" s="93" customFormat="1" ht="36" x14ac:dyDescent="0.55000000000000004">
      <c r="A1" s="269" t="s">
        <v>268</v>
      </c>
      <c r="B1" s="269"/>
      <c r="C1" s="269"/>
      <c r="D1" s="94" t="s">
        <v>261</v>
      </c>
      <c r="F1" s="92"/>
    </row>
    <row r="2" spans="1:6" s="74" customFormat="1" ht="18.75" x14ac:dyDescent="0.2">
      <c r="A2" s="74" t="s">
        <v>269</v>
      </c>
      <c r="B2" s="75" t="s">
        <v>218</v>
      </c>
      <c r="C2" s="75" t="s">
        <v>257</v>
      </c>
      <c r="D2" s="95" t="s">
        <v>242</v>
      </c>
      <c r="E2" s="81" t="s">
        <v>949</v>
      </c>
    </row>
    <row r="3" spans="1:6" s="71" customFormat="1" ht="30" x14ac:dyDescent="0.2">
      <c r="A3" s="77">
        <v>1</v>
      </c>
      <c r="B3" s="69" t="s">
        <v>371</v>
      </c>
      <c r="C3" s="69" t="s">
        <v>258</v>
      </c>
      <c r="D3" s="95" t="s">
        <v>248</v>
      </c>
      <c r="E3" s="76">
        <v>0</v>
      </c>
    </row>
    <row r="4" spans="1:6" s="71" customFormat="1" ht="30" x14ac:dyDescent="0.2">
      <c r="A4" s="77">
        <v>1</v>
      </c>
      <c r="B4" s="69" t="s">
        <v>370</v>
      </c>
      <c r="C4" s="69" t="s">
        <v>963</v>
      </c>
      <c r="D4" s="95" t="s">
        <v>948</v>
      </c>
      <c r="E4" s="70" t="s">
        <v>290</v>
      </c>
    </row>
    <row r="5" spans="1:6" s="71" customFormat="1" ht="30" x14ac:dyDescent="0.2">
      <c r="A5" s="77">
        <v>1</v>
      </c>
      <c r="B5" s="69" t="s">
        <v>217</v>
      </c>
      <c r="C5" s="69" t="s">
        <v>270</v>
      </c>
      <c r="D5" s="180" t="s">
        <v>372</v>
      </c>
      <c r="E5" s="96" t="s">
        <v>373</v>
      </c>
      <c r="F5" s="70"/>
    </row>
    <row r="6" spans="1:6" s="71" customFormat="1" x14ac:dyDescent="0.2">
      <c r="A6" s="77">
        <v>1</v>
      </c>
      <c r="B6" s="69" t="s">
        <v>213</v>
      </c>
      <c r="C6" s="69" t="s">
        <v>260</v>
      </c>
      <c r="D6" s="142"/>
      <c r="E6" s="126"/>
      <c r="F6" s="70"/>
    </row>
    <row r="7" spans="1:6" s="71" customFormat="1" ht="31.5" x14ac:dyDescent="0.2">
      <c r="A7" s="77">
        <v>1</v>
      </c>
      <c r="B7" s="69" t="s">
        <v>214</v>
      </c>
      <c r="C7" s="69" t="s">
        <v>259</v>
      </c>
      <c r="D7" s="179" t="s">
        <v>409</v>
      </c>
      <c r="E7" s="96"/>
      <c r="F7" s="70"/>
    </row>
    <row r="8" spans="1:6" s="71" customFormat="1" x14ac:dyDescent="0.2">
      <c r="A8" s="77">
        <v>1</v>
      </c>
      <c r="B8" s="69" t="s">
        <v>251</v>
      </c>
      <c r="C8" s="69" t="s">
        <v>256</v>
      </c>
      <c r="D8" s="218" t="s">
        <v>410</v>
      </c>
      <c r="E8" s="96"/>
      <c r="F8" s="70"/>
    </row>
    <row r="9" spans="1:6" s="71" customFormat="1" x14ac:dyDescent="0.2">
      <c r="B9" s="69"/>
      <c r="C9" s="69"/>
      <c r="D9" s="219" t="s">
        <v>411</v>
      </c>
      <c r="E9" s="96"/>
      <c r="F9" s="70"/>
    </row>
    <row r="10" spans="1:6" x14ac:dyDescent="0.25">
      <c r="A10" s="71"/>
      <c r="B10" s="69"/>
      <c r="C10" s="69"/>
      <c r="D10" s="69"/>
    </row>
    <row r="11" spans="1:6" x14ac:dyDescent="0.25">
      <c r="C11" s="69"/>
    </row>
  </sheetData>
  <mergeCells count="1">
    <mergeCell ref="A1:C1"/>
  </mergeCells>
  <hyperlinks>
    <hyperlink ref="A1" location="'Generate SDMX-ML'!A1" display="Generate SDMX-ML!"/>
    <hyperlink ref="E2" r:id="rId1" display="\\FS-CH-1.main.oecd.org\Users1\barraclough_d\SDMX\Technical standards\schemas\"/>
    <hyperlink ref="D8" location="'Indicator-Concept Matrix'!A1" display="Update Concept Scheme Concepts"/>
    <hyperlink ref="D9" location="'Concept Scheme'!M1" display="Update DSD Matrix Concepts and CLs"/>
    <hyperlink ref="A1:C1" location="'Generate SDMX &amp; Params'!A1" display="Generate SDMX-ML"/>
  </hyperlinks>
  <pageMargins left="0.7" right="0.7" top="0.75" bottom="0.75" header="0.3" footer="0.3"/>
  <pageSetup paperSize="9" orientation="portrait" r:id="rId2"/>
  <tableParts count="1">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dimension ref="A1:B27"/>
  <sheetViews>
    <sheetView topLeftCell="A10" workbookViewId="0">
      <selection activeCell="C14" sqref="C14"/>
    </sheetView>
  </sheetViews>
  <sheetFormatPr defaultRowHeight="12.75" x14ac:dyDescent="0.2"/>
  <cols>
    <col min="1" max="1" width="14" style="129" bestFit="1" customWidth="1"/>
    <col min="2" max="2" width="28.1640625" style="129" customWidth="1"/>
    <col min="3" max="16384" width="9.33203125" style="129"/>
  </cols>
  <sheetData>
    <row r="1" spans="1:2" x14ac:dyDescent="0.2">
      <c r="A1" s="129" t="s">
        <v>350</v>
      </c>
      <c r="B1" s="129" t="s">
        <v>21</v>
      </c>
    </row>
    <row r="2" spans="1:2" x14ac:dyDescent="0.2">
      <c r="B2" s="129" t="s">
        <v>22</v>
      </c>
    </row>
    <row r="3" spans="1:2" x14ac:dyDescent="0.2">
      <c r="B3" s="129" t="s">
        <v>3</v>
      </c>
    </row>
    <row r="4" spans="1:2" x14ac:dyDescent="0.2">
      <c r="B4" s="129" t="s">
        <v>1</v>
      </c>
    </row>
    <row r="5" spans="1:2" x14ac:dyDescent="0.2">
      <c r="B5" s="129" t="s">
        <v>219</v>
      </c>
    </row>
    <row r="6" spans="1:2" x14ac:dyDescent="0.2">
      <c r="B6" s="129" t="s">
        <v>351</v>
      </c>
    </row>
    <row r="7" spans="1:2" x14ac:dyDescent="0.2">
      <c r="B7" s="129" t="s">
        <v>26</v>
      </c>
    </row>
    <row r="8" spans="1:2" x14ac:dyDescent="0.2">
      <c r="B8" s="129" t="s">
        <v>40</v>
      </c>
    </row>
    <row r="9" spans="1:2" x14ac:dyDescent="0.2">
      <c r="B9" s="129" t="s">
        <v>352</v>
      </c>
    </row>
    <row r="10" spans="1:2" x14ac:dyDescent="0.2">
      <c r="B10" s="129" t="s">
        <v>353</v>
      </c>
    </row>
    <row r="11" spans="1:2" x14ac:dyDescent="0.2">
      <c r="A11" s="129" t="s">
        <v>354</v>
      </c>
      <c r="B11" s="129" t="s">
        <v>47</v>
      </c>
    </row>
    <row r="12" spans="1:2" x14ac:dyDescent="0.2">
      <c r="B12" s="130" t="s">
        <v>42</v>
      </c>
    </row>
    <row r="13" spans="1:2" x14ac:dyDescent="0.2">
      <c r="B13" s="130" t="s">
        <v>109</v>
      </c>
    </row>
    <row r="14" spans="1:2" x14ac:dyDescent="0.2">
      <c r="B14" s="129" t="s">
        <v>48</v>
      </c>
    </row>
    <row r="15" spans="1:2" x14ac:dyDescent="0.2">
      <c r="A15" s="129" t="s">
        <v>355</v>
      </c>
      <c r="B15" s="129" t="b">
        <v>1</v>
      </c>
    </row>
    <row r="16" spans="1:2" x14ac:dyDescent="0.2">
      <c r="B16" s="129" t="b">
        <v>0</v>
      </c>
    </row>
    <row r="17" spans="1:2" x14ac:dyDescent="0.2">
      <c r="A17" s="129" t="s">
        <v>356</v>
      </c>
      <c r="B17" s="129" t="s">
        <v>2</v>
      </c>
    </row>
    <row r="18" spans="1:2" x14ac:dyDescent="0.2">
      <c r="B18" s="129" t="s">
        <v>229</v>
      </c>
    </row>
    <row r="19" spans="1:2" x14ac:dyDescent="0.2">
      <c r="B19" s="129" t="s">
        <v>357</v>
      </c>
    </row>
    <row r="20" spans="1:2" x14ac:dyDescent="0.2">
      <c r="A20" s="129" t="s">
        <v>367</v>
      </c>
      <c r="B20" s="132" t="s">
        <v>358</v>
      </c>
    </row>
    <row r="21" spans="1:2" x14ac:dyDescent="0.2">
      <c r="B21" s="132" t="s">
        <v>18</v>
      </c>
    </row>
    <row r="22" spans="1:2" x14ac:dyDescent="0.2">
      <c r="B22" s="132" t="s">
        <v>360</v>
      </c>
    </row>
    <row r="23" spans="1:2" x14ac:dyDescent="0.2">
      <c r="B23" s="132" t="s">
        <v>369</v>
      </c>
    </row>
    <row r="24" spans="1:2" x14ac:dyDescent="0.2">
      <c r="B24" s="133" t="s">
        <v>361</v>
      </c>
    </row>
    <row r="25" spans="1:2" x14ac:dyDescent="0.2">
      <c r="B25" s="133" t="s">
        <v>359</v>
      </c>
    </row>
    <row r="26" spans="1:2" x14ac:dyDescent="0.2">
      <c r="B26" s="133" t="s">
        <v>368</v>
      </c>
    </row>
    <row r="27" spans="1:2" x14ac:dyDescent="0.2">
      <c r="B27" s="133"/>
    </row>
  </sheetData>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92D050"/>
  </sheetPr>
  <dimension ref="A1:E37"/>
  <sheetViews>
    <sheetView topLeftCell="A13" zoomScaleNormal="100" workbookViewId="0">
      <selection activeCell="K10" sqref="K10"/>
    </sheetView>
  </sheetViews>
  <sheetFormatPr defaultRowHeight="18.75" x14ac:dyDescent="0.3"/>
  <cols>
    <col min="1" max="1" width="9.33203125" style="50"/>
    <col min="2" max="2" width="9.33203125" style="33"/>
    <col min="3" max="3" width="9.33203125" style="34"/>
    <col min="4" max="4" width="24" style="34" customWidth="1"/>
    <col min="5" max="16384" width="9.33203125" style="34"/>
  </cols>
  <sheetData>
    <row r="1" spans="1:5" s="54" customFormat="1" ht="21" x14ac:dyDescent="0.35">
      <c r="A1" s="53" t="s">
        <v>123</v>
      </c>
      <c r="B1" s="33"/>
      <c r="D1" s="55"/>
      <c r="E1" s="56"/>
    </row>
    <row r="2" spans="1:5" s="54" customFormat="1" ht="21" x14ac:dyDescent="0.35">
      <c r="A2" s="53">
        <v>0</v>
      </c>
      <c r="B2" s="33" t="s">
        <v>412</v>
      </c>
      <c r="D2" s="55"/>
      <c r="E2" s="56"/>
    </row>
    <row r="3" spans="1:5" x14ac:dyDescent="0.3">
      <c r="A3" s="50">
        <v>1</v>
      </c>
      <c r="B3" s="58" t="s">
        <v>185</v>
      </c>
    </row>
    <row r="4" spans="1:5" s="35" customFormat="1" x14ac:dyDescent="0.3">
      <c r="A4" s="50"/>
      <c r="B4" s="33"/>
      <c r="C4" s="35" t="s">
        <v>186</v>
      </c>
    </row>
    <row r="5" spans="1:5" s="35" customFormat="1" x14ac:dyDescent="0.3">
      <c r="A5" s="50"/>
      <c r="B5" s="33"/>
      <c r="C5" s="35" t="s">
        <v>189</v>
      </c>
    </row>
    <row r="6" spans="1:5" s="35" customFormat="1" x14ac:dyDescent="0.3">
      <c r="A6" s="50"/>
      <c r="B6" s="33"/>
      <c r="D6" s="35" t="s">
        <v>187</v>
      </c>
    </row>
    <row r="7" spans="1:5" s="35" customFormat="1" x14ac:dyDescent="0.3">
      <c r="A7" s="50"/>
      <c r="B7" s="33"/>
      <c r="D7" s="35" t="s">
        <v>188</v>
      </c>
    </row>
    <row r="8" spans="1:5" s="35" customFormat="1" x14ac:dyDescent="0.3">
      <c r="A8" s="50"/>
      <c r="B8" s="33"/>
      <c r="D8" s="35" t="s">
        <v>190</v>
      </c>
    </row>
    <row r="9" spans="1:5" x14ac:dyDescent="0.3">
      <c r="A9" s="50">
        <v>2</v>
      </c>
      <c r="B9" s="58" t="s">
        <v>126</v>
      </c>
    </row>
    <row r="10" spans="1:5" s="35" customFormat="1" x14ac:dyDescent="0.3">
      <c r="A10" s="50"/>
      <c r="B10" s="33"/>
      <c r="C10" s="35" t="s">
        <v>191</v>
      </c>
    </row>
    <row r="11" spans="1:5" s="35" customFormat="1" x14ac:dyDescent="0.3">
      <c r="A11" s="50"/>
      <c r="B11" s="33"/>
      <c r="C11" s="35" t="s">
        <v>127</v>
      </c>
    </row>
    <row r="12" spans="1:5" s="35" customFormat="1" x14ac:dyDescent="0.3">
      <c r="A12" s="50"/>
      <c r="B12" s="33"/>
      <c r="C12" s="35" t="s">
        <v>125</v>
      </c>
    </row>
    <row r="13" spans="1:5" s="35" customFormat="1" x14ac:dyDescent="0.3">
      <c r="A13" s="50"/>
      <c r="B13" s="33"/>
      <c r="C13" s="35" t="s">
        <v>179</v>
      </c>
    </row>
    <row r="14" spans="1:5" x14ac:dyDescent="0.3">
      <c r="A14" s="50">
        <v>3</v>
      </c>
      <c r="B14" s="78" t="s">
        <v>345</v>
      </c>
    </row>
    <row r="15" spans="1:5" x14ac:dyDescent="0.3">
      <c r="C15" s="35" t="s">
        <v>129</v>
      </c>
    </row>
    <row r="16" spans="1:5" x14ac:dyDescent="0.3">
      <c r="C16" s="35" t="s">
        <v>443</v>
      </c>
    </row>
    <row r="17" spans="1:4" x14ac:dyDescent="0.3">
      <c r="A17" s="50">
        <v>4</v>
      </c>
      <c r="B17" s="78" t="s">
        <v>124</v>
      </c>
    </row>
    <row r="18" spans="1:4" x14ac:dyDescent="0.3">
      <c r="C18" s="35" t="s">
        <v>131</v>
      </c>
    </row>
    <row r="19" spans="1:4" x14ac:dyDescent="0.3">
      <c r="C19" s="35" t="s">
        <v>130</v>
      </c>
    </row>
    <row r="20" spans="1:4" x14ac:dyDescent="0.3">
      <c r="C20" s="35" t="s">
        <v>180</v>
      </c>
    </row>
    <row r="21" spans="1:4" x14ac:dyDescent="0.3">
      <c r="C21" s="35" t="s">
        <v>181</v>
      </c>
    </row>
    <row r="22" spans="1:4" x14ac:dyDescent="0.3">
      <c r="C22" s="35" t="s">
        <v>182</v>
      </c>
    </row>
    <row r="23" spans="1:4" x14ac:dyDescent="0.3">
      <c r="A23" s="50">
        <v>5</v>
      </c>
      <c r="B23" s="58" t="s">
        <v>243</v>
      </c>
      <c r="C23" s="35"/>
    </row>
    <row r="24" spans="1:4" x14ac:dyDescent="0.3">
      <c r="A24" s="50">
        <v>6</v>
      </c>
      <c r="B24" s="58" t="s">
        <v>250</v>
      </c>
      <c r="C24" s="35"/>
    </row>
    <row r="25" spans="1:4" x14ac:dyDescent="0.3">
      <c r="A25" s="50">
        <v>7</v>
      </c>
      <c r="B25" s="58" t="s">
        <v>249</v>
      </c>
    </row>
    <row r="26" spans="1:4" s="35" customFormat="1" x14ac:dyDescent="0.3">
      <c r="A26" s="50"/>
      <c r="B26" s="33"/>
      <c r="C26" s="35" t="s">
        <v>204</v>
      </c>
    </row>
    <row r="27" spans="1:4" s="35" customFormat="1" x14ac:dyDescent="0.3">
      <c r="A27" s="50"/>
      <c r="B27" s="33"/>
      <c r="C27" s="35" t="s">
        <v>205</v>
      </c>
    </row>
    <row r="28" spans="1:4" s="35" customFormat="1" x14ac:dyDescent="0.3">
      <c r="A28" s="50"/>
      <c r="B28" s="33"/>
      <c r="C28" s="35" t="s">
        <v>206</v>
      </c>
    </row>
    <row r="29" spans="1:4" x14ac:dyDescent="0.3">
      <c r="D29" s="35" t="s">
        <v>128</v>
      </c>
    </row>
    <row r="30" spans="1:4" x14ac:dyDescent="0.3">
      <c r="C30" s="35" t="s">
        <v>207</v>
      </c>
    </row>
    <row r="31" spans="1:4" x14ac:dyDescent="0.3">
      <c r="D31" s="35" t="s">
        <v>208</v>
      </c>
    </row>
    <row r="32" spans="1:4" x14ac:dyDescent="0.3">
      <c r="A32" s="50">
        <v>8</v>
      </c>
      <c r="B32" s="78" t="s">
        <v>346</v>
      </c>
      <c r="D32" s="35"/>
    </row>
    <row r="33" spans="1:4" x14ac:dyDescent="0.3">
      <c r="C33" s="35" t="s">
        <v>348</v>
      </c>
      <c r="D33" s="35"/>
    </row>
    <row r="34" spans="1:4" x14ac:dyDescent="0.3">
      <c r="D34" s="35" t="s">
        <v>347</v>
      </c>
    </row>
    <row r="35" spans="1:4" x14ac:dyDescent="0.3">
      <c r="D35" s="35" t="s">
        <v>349</v>
      </c>
    </row>
    <row r="36" spans="1:4" s="33" customFormat="1" x14ac:dyDescent="0.3">
      <c r="A36" s="50">
        <v>9</v>
      </c>
      <c r="B36" s="58" t="s">
        <v>244</v>
      </c>
    </row>
    <row r="37" spans="1:4" x14ac:dyDescent="0.3">
      <c r="C37" s="35" t="s">
        <v>442</v>
      </c>
    </row>
  </sheetData>
  <hyperlinks>
    <hyperlink ref="B3" location="'Indicator-Concept Matrix'!A1" display="Decompose existing Indicators into separate Concepts"/>
    <hyperlink ref="B9" location="'Concept Scheme'!A1" display="Complete the Concept Scheme overview table with all concepts. "/>
    <hyperlink ref="B23" location="DSDs!A1" display="Add the DSDs and their details to the DSDs worksheet"/>
    <hyperlink ref="B25" location="'DSD-Concept Matrix'!A1" display="[if there is more than one DSD] Complete the DSD-Concept Matrix worksheet"/>
    <hyperlink ref="B36" location="'Generate SDMX-ML'!A1" display="Generate  the SDMX-ML using the Generate SDMX-ML worksheet"/>
  </hyperlinks>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filterMode="1">
    <tabColor rgb="FF0070C0"/>
  </sheetPr>
  <dimension ref="A1:H3"/>
  <sheetViews>
    <sheetView zoomScale="85" zoomScaleNormal="85" workbookViewId="0">
      <pane ySplit="3" topLeftCell="A4" activePane="bottomLeft" state="frozen"/>
      <selection activeCell="C49" sqref="C49"/>
      <selection pane="bottomLeft" activeCell="A5" sqref="A5"/>
    </sheetView>
  </sheetViews>
  <sheetFormatPr defaultColWidth="10.6640625" defaultRowHeight="15" x14ac:dyDescent="0.25"/>
  <cols>
    <col min="1" max="1" width="17.5" style="28" bestFit="1" customWidth="1"/>
    <col min="2" max="2" width="65.1640625" style="29" customWidth="1"/>
    <col min="3" max="3" width="32.1640625" style="31" customWidth="1"/>
    <col min="4" max="4" width="31" style="30" customWidth="1"/>
    <col min="5" max="5" width="14.5" style="148" bestFit="1" customWidth="1"/>
    <col min="6" max="16384" width="10.6640625" style="28"/>
  </cols>
  <sheetData>
    <row r="1" spans="1:8" s="257" customFormat="1" ht="117.75" customHeight="1" x14ac:dyDescent="0.25">
      <c r="A1" s="250" t="s">
        <v>377</v>
      </c>
      <c r="B1" s="251" t="s">
        <v>184</v>
      </c>
      <c r="C1" s="268" t="s">
        <v>16</v>
      </c>
      <c r="D1" s="252" t="s">
        <v>20</v>
      </c>
      <c r="E1" s="253" t="s">
        <v>196</v>
      </c>
      <c r="F1" s="254" t="s">
        <v>30</v>
      </c>
      <c r="G1" s="255" t="s">
        <v>959</v>
      </c>
      <c r="H1" s="256"/>
    </row>
    <row r="2" spans="1:8" s="258" customFormat="1" ht="32.25" x14ac:dyDescent="0.4">
      <c r="B2" s="259" t="s">
        <v>183</v>
      </c>
      <c r="C2" s="259"/>
      <c r="D2" s="260"/>
      <c r="E2" s="261"/>
      <c r="F2" s="262"/>
      <c r="G2" s="263" t="s">
        <v>960</v>
      </c>
    </row>
    <row r="3" spans="1:8" s="258" customFormat="1" ht="26.25" x14ac:dyDescent="0.4">
      <c r="A3" s="257" t="s">
        <v>252</v>
      </c>
      <c r="B3" s="264"/>
      <c r="C3" s="264"/>
      <c r="D3" s="265"/>
      <c r="E3" s="265"/>
      <c r="F3" s="266"/>
      <c r="G3" s="267"/>
    </row>
  </sheetData>
  <autoFilter ref="A1:A3">
    <filterColumn colId="0">
      <filters blank="1">
        <filter val="AIR_GHG"/>
        <filter val="Source"/>
      </filters>
    </filterColumn>
  </autoFilter>
  <hyperlinks>
    <hyperlink ref="A1" location="'Indicator-Concept Matrix'!A1" display="Update Concept Scheme Concepts"/>
    <hyperlink ref="F1" location="CL_UNIT_MULT!A1" display="UNIT_MULT"/>
    <hyperlink ref="E1" location="CL_MEASURE!A1" display="MEASURE"/>
    <hyperlink ref="D1" location="CL_UNIT_MEASURE!A1" display="UNIT_MEASURE"/>
    <hyperlink ref="C1" location="CL_AREA!A1" display="REF_AREA"/>
  </hyperlinks>
  <pageMargins left="0.7" right="0.7" top="0.75" bottom="0.75"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70C0"/>
  </sheetPr>
  <dimension ref="A1:O12"/>
  <sheetViews>
    <sheetView zoomScale="85" zoomScaleNormal="85" workbookViewId="0">
      <pane xSplit="2" ySplit="2" topLeftCell="C3" activePane="bottomRight" state="frozen"/>
      <selection activeCell="A7" sqref="A7"/>
      <selection pane="topRight" activeCell="A7" sqref="A7"/>
      <selection pane="bottomLeft" activeCell="A7" sqref="A7"/>
      <selection pane="bottomRight" activeCell="D15" sqref="D15"/>
    </sheetView>
  </sheetViews>
  <sheetFormatPr defaultRowHeight="12.75" x14ac:dyDescent="0.2"/>
  <cols>
    <col min="1" max="1" width="23.33203125" style="24" customWidth="1"/>
    <col min="2" max="2" width="32.33203125" style="24" customWidth="1"/>
    <col min="3" max="3" width="30.6640625" style="26" customWidth="1"/>
    <col min="4" max="4" width="30.5" style="24" bestFit="1" customWidth="1"/>
    <col min="5" max="5" width="41.1640625" style="24" bestFit="1" customWidth="1"/>
    <col min="6" max="6" width="39.33203125" style="26" customWidth="1"/>
    <col min="7" max="7" width="32.1640625" style="52" bestFit="1" customWidth="1"/>
    <col min="8" max="8" width="25" style="24" customWidth="1"/>
    <col min="9" max="9" width="14.5" style="25" customWidth="1"/>
    <col min="10" max="10" width="22" style="171" customWidth="1"/>
    <col min="11" max="11" width="11.1640625" style="26" customWidth="1"/>
    <col min="12" max="12" width="11" style="24" customWidth="1"/>
    <col min="13" max="13" width="38.5" style="24" customWidth="1"/>
    <col min="14" max="16384" width="9.33203125" style="24"/>
  </cols>
  <sheetData>
    <row r="1" spans="1:15" s="135" customFormat="1" ht="18.75" x14ac:dyDescent="0.3">
      <c r="A1" s="134" t="s">
        <v>43</v>
      </c>
      <c r="B1" s="135" t="s">
        <v>15</v>
      </c>
      <c r="C1" s="136" t="s">
        <v>44</v>
      </c>
      <c r="D1" s="137" t="s">
        <v>132</v>
      </c>
      <c r="E1" s="134" t="s">
        <v>210</v>
      </c>
      <c r="F1" s="135" t="s">
        <v>953</v>
      </c>
      <c r="G1" s="138" t="s">
        <v>209</v>
      </c>
      <c r="H1" s="135" t="s">
        <v>954</v>
      </c>
      <c r="I1" s="134" t="s">
        <v>9</v>
      </c>
      <c r="J1" s="170"/>
      <c r="K1" s="139" t="s">
        <v>262</v>
      </c>
      <c r="L1" s="140" t="b">
        <v>0</v>
      </c>
      <c r="M1" s="211" t="s">
        <v>406</v>
      </c>
      <c r="N1" s="212"/>
      <c r="O1" s="212"/>
    </row>
    <row r="2" spans="1:15" s="127" customFormat="1" ht="38.25" x14ac:dyDescent="0.2">
      <c r="A2" s="174" t="s">
        <v>49</v>
      </c>
      <c r="B2" s="174" t="s">
        <v>110</v>
      </c>
      <c r="C2" s="175" t="s">
        <v>4</v>
      </c>
      <c r="D2" s="174" t="s">
        <v>111</v>
      </c>
      <c r="E2" s="176" t="s">
        <v>51</v>
      </c>
      <c r="F2" s="177" t="s">
        <v>46</v>
      </c>
      <c r="G2" s="177" t="s">
        <v>283</v>
      </c>
      <c r="H2" s="177" t="s">
        <v>284</v>
      </c>
      <c r="I2" s="178" t="s">
        <v>344</v>
      </c>
    </row>
    <row r="3" spans="1:15" s="131" customFormat="1" ht="90" x14ac:dyDescent="0.2">
      <c r="A3" s="185" t="s">
        <v>3</v>
      </c>
      <c r="B3" s="186" t="s">
        <v>196</v>
      </c>
      <c r="C3" s="186" t="s">
        <v>197</v>
      </c>
      <c r="D3" s="186" t="s">
        <v>220</v>
      </c>
      <c r="E3" s="196" t="s">
        <v>224</v>
      </c>
      <c r="F3" s="186" t="s">
        <v>47</v>
      </c>
      <c r="G3" s="131">
        <v>1</v>
      </c>
      <c r="H3" s="131">
        <v>25</v>
      </c>
      <c r="I3" s="132"/>
    </row>
    <row r="4" spans="1:15" s="131" customFormat="1" ht="38.25" customHeight="1" x14ac:dyDescent="0.2">
      <c r="A4" s="185" t="s">
        <v>3</v>
      </c>
      <c r="B4" s="186" t="s">
        <v>20</v>
      </c>
      <c r="C4" s="186" t="s">
        <v>198</v>
      </c>
      <c r="D4" s="186" t="s">
        <v>221</v>
      </c>
      <c r="E4" s="196" t="s">
        <v>225</v>
      </c>
      <c r="F4" s="186" t="s">
        <v>47</v>
      </c>
      <c r="G4" s="131">
        <v>1</v>
      </c>
      <c r="H4" s="131">
        <v>25</v>
      </c>
      <c r="I4" s="133"/>
    </row>
    <row r="5" spans="1:15" s="131" customFormat="1" ht="60" x14ac:dyDescent="0.2">
      <c r="A5" s="187" t="s">
        <v>3</v>
      </c>
      <c r="B5" s="188" t="s">
        <v>16</v>
      </c>
      <c r="C5" s="188" t="s">
        <v>17</v>
      </c>
      <c r="D5" s="189" t="s">
        <v>222</v>
      </c>
      <c r="E5" s="196" t="s">
        <v>223</v>
      </c>
      <c r="F5" s="186" t="s">
        <v>47</v>
      </c>
      <c r="G5" s="131">
        <v>1</v>
      </c>
      <c r="H5" s="131">
        <v>25</v>
      </c>
      <c r="I5" s="133"/>
    </row>
    <row r="6" spans="1:15" ht="45" x14ac:dyDescent="0.2">
      <c r="A6" s="191" t="s">
        <v>22</v>
      </c>
      <c r="B6" s="190" t="s">
        <v>41</v>
      </c>
      <c r="C6" s="190" t="s">
        <v>50</v>
      </c>
      <c r="D6" s="186" t="s">
        <v>444</v>
      </c>
      <c r="E6" s="197" t="s">
        <v>52</v>
      </c>
      <c r="F6" s="190" t="s">
        <v>42</v>
      </c>
      <c r="G6" s="131"/>
      <c r="H6" s="131"/>
      <c r="I6" s="26"/>
      <c r="J6" s="24"/>
      <c r="K6" s="24"/>
    </row>
    <row r="7" spans="1:15" ht="45" x14ac:dyDescent="0.2">
      <c r="A7" s="191" t="s">
        <v>21</v>
      </c>
      <c r="B7" s="190" t="s">
        <v>18</v>
      </c>
      <c r="C7" s="190" t="s">
        <v>5</v>
      </c>
      <c r="D7" s="186" t="s">
        <v>445</v>
      </c>
      <c r="E7" s="196" t="s">
        <v>19</v>
      </c>
      <c r="F7" s="190" t="s">
        <v>47</v>
      </c>
      <c r="G7" s="131">
        <v>1</v>
      </c>
      <c r="H7" s="131">
        <v>25</v>
      </c>
      <c r="I7" s="26"/>
      <c r="J7" s="24"/>
      <c r="K7" s="24"/>
    </row>
    <row r="8" spans="1:15" ht="12.75" customHeight="1" x14ac:dyDescent="0.2">
      <c r="A8" s="187" t="s">
        <v>1</v>
      </c>
      <c r="B8" s="190" t="s">
        <v>38</v>
      </c>
      <c r="C8" s="190" t="s">
        <v>39</v>
      </c>
      <c r="D8" s="186" t="s">
        <v>446</v>
      </c>
      <c r="E8" s="197" t="s">
        <v>52</v>
      </c>
      <c r="F8" s="130" t="s">
        <v>109</v>
      </c>
      <c r="G8" s="131">
        <v>1</v>
      </c>
      <c r="H8" s="131">
        <v>25</v>
      </c>
      <c r="I8" s="26"/>
      <c r="J8" s="24"/>
      <c r="K8" s="24"/>
    </row>
    <row r="9" spans="1:15" ht="60" x14ac:dyDescent="0.2">
      <c r="A9" s="192" t="s">
        <v>219</v>
      </c>
      <c r="B9" s="193" t="s">
        <v>27</v>
      </c>
      <c r="C9" s="190" t="s">
        <v>34</v>
      </c>
      <c r="D9" s="186" t="s">
        <v>447</v>
      </c>
      <c r="E9" s="196" t="s">
        <v>31</v>
      </c>
      <c r="F9" s="190" t="s">
        <v>47</v>
      </c>
      <c r="G9" s="131">
        <v>1</v>
      </c>
      <c r="H9" s="131">
        <v>25</v>
      </c>
      <c r="I9" s="26"/>
      <c r="J9" s="24"/>
      <c r="K9" s="24"/>
    </row>
    <row r="10" spans="1:15" ht="38.25" x14ac:dyDescent="0.2">
      <c r="A10" s="225" t="s">
        <v>26</v>
      </c>
      <c r="B10" s="221" t="s">
        <v>28</v>
      </c>
      <c r="C10" s="221" t="s">
        <v>35</v>
      </c>
      <c r="D10" s="220" t="s">
        <v>951</v>
      </c>
      <c r="E10" s="226" t="s">
        <v>952</v>
      </c>
      <c r="F10" s="221" t="s">
        <v>48</v>
      </c>
      <c r="G10" s="222">
        <v>1</v>
      </c>
      <c r="H10" s="224">
        <v>2</v>
      </c>
      <c r="I10" s="223"/>
      <c r="J10" s="222"/>
      <c r="K10" s="222"/>
    </row>
    <row r="11" spans="1:15" ht="45" x14ac:dyDescent="0.2">
      <c r="A11" s="192" t="s">
        <v>219</v>
      </c>
      <c r="B11" s="193" t="s">
        <v>29</v>
      </c>
      <c r="C11" s="190" t="s">
        <v>36</v>
      </c>
      <c r="D11" s="186" t="s">
        <v>448</v>
      </c>
      <c r="E11" s="217" t="s">
        <v>32</v>
      </c>
      <c r="F11" s="190" t="s">
        <v>47</v>
      </c>
      <c r="G11" s="131">
        <v>1</v>
      </c>
      <c r="H11" s="131">
        <v>25</v>
      </c>
      <c r="I11" s="26"/>
      <c r="J11" s="24"/>
      <c r="K11" s="24"/>
    </row>
    <row r="12" spans="1:15" ht="105" x14ac:dyDescent="0.2">
      <c r="A12" s="192" t="s">
        <v>351</v>
      </c>
      <c r="B12" s="194" t="s">
        <v>30</v>
      </c>
      <c r="C12" s="195" t="s">
        <v>37</v>
      </c>
      <c r="D12" s="186" t="s">
        <v>449</v>
      </c>
      <c r="E12" s="217" t="s">
        <v>33</v>
      </c>
      <c r="F12" s="190" t="s">
        <v>48</v>
      </c>
      <c r="G12" s="131">
        <v>1</v>
      </c>
      <c r="H12" s="131">
        <v>25</v>
      </c>
      <c r="I12" s="26"/>
      <c r="J12" s="24"/>
      <c r="K12" s="24"/>
    </row>
  </sheetData>
  <conditionalFormatting sqref="F2:H2">
    <cfRule type="duplicateValues" dxfId="35" priority="3"/>
  </conditionalFormatting>
  <conditionalFormatting sqref="B3:B82">
    <cfRule type="duplicateValues" dxfId="34" priority="12"/>
  </conditionalFormatting>
  <dataValidations count="5">
    <dataValidation type="list" allowBlank="1" showInputMessage="1" showErrorMessage="1" sqref="L1">
      <formula1>drpBoolean</formula1>
    </dataValidation>
    <dataValidation type="list" allowBlank="1" showInputMessage="1" showErrorMessage="1" sqref="F3:F5">
      <formula1>drpTypes</formula1>
    </dataValidation>
    <dataValidation type="list" allowBlank="1" showInputMessage="1" showErrorMessage="1" sqref="A3:A37">
      <formula1>drpDimAttrMeas</formula1>
    </dataValidation>
    <dataValidation type="whole" allowBlank="1" showInputMessage="1" showErrorMessage="1" sqref="I13:J1048576 G3:H12">
      <formula1>1</formula1>
      <formula2>999999</formula2>
    </dataValidation>
    <dataValidation type="list" allowBlank="1" showInputMessage="1" showErrorMessage="1" sqref="K13:K1048576 I3:I12">
      <formula1>drpConceptRoles</formula1>
    </dataValidation>
  </dataValidations>
  <hyperlinks>
    <hyperlink ref="M1" location="'Concept Scheme'!M1" display="Update DSD Matrix Concepts and CLs"/>
    <hyperlink ref="E3" location="CL_MEASURE!A1" display="CL_MEASURE"/>
    <hyperlink ref="E4" location="CL_UNIT_MEASURE!A1" display="CL_UNIT_MEASURE"/>
    <hyperlink ref="E5" location="CL_AREA!A1" display="CL_AREA"/>
    <hyperlink ref="E9" location="CL_CONF_STATUS!A1" display="CL_CONF_STATUS"/>
    <hyperlink ref="E11" location="CL_OBS_STATUS!A1" display="CL_OBS_STATUS"/>
    <hyperlink ref="E12" location="CL_UNIT_MULT!A1" display="CL_UNIT_MULT"/>
    <hyperlink ref="E7" location="CL_FREQ!A1" display="CL_FREQ"/>
    <hyperlink ref="E10" location="CL_DECIMALS!A1" display="CL_DECIMALS"/>
  </hyperlinks>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0070C0"/>
  </sheetPr>
  <dimension ref="A1:H40"/>
  <sheetViews>
    <sheetView zoomScale="130" zoomScaleNormal="130" workbookViewId="0">
      <pane ySplit="1" topLeftCell="A2" activePane="bottomLeft" state="frozen"/>
      <selection activeCell="D50" sqref="D50"/>
      <selection pane="bottomLeft" activeCell="A2" sqref="A2"/>
    </sheetView>
  </sheetViews>
  <sheetFormatPr defaultRowHeight="11.25" x14ac:dyDescent="0.2"/>
  <cols>
    <col min="1" max="1" width="9.33203125" style="201"/>
    <col min="2" max="2" width="11.1640625" style="201" customWidth="1"/>
    <col min="3" max="3" width="11.6640625" style="205" customWidth="1"/>
    <col min="4" max="4" width="33.33203125" style="201" bestFit="1" customWidth="1"/>
    <col min="5" max="5" width="34.83203125" style="201" customWidth="1"/>
    <col min="6" max="6" width="14.5" style="201" bestFit="1" customWidth="1"/>
    <col min="7" max="7" width="19" style="201" bestFit="1" customWidth="1"/>
    <col min="8" max="16384" width="9.33203125" style="201"/>
  </cols>
  <sheetData>
    <row r="1" spans="1:8" ht="15" x14ac:dyDescent="0.2">
      <c r="A1" s="198" t="s">
        <v>240</v>
      </c>
      <c r="B1" s="199" t="s">
        <v>43</v>
      </c>
      <c r="C1" s="200" t="s">
        <v>44</v>
      </c>
      <c r="D1" s="199" t="s">
        <v>209</v>
      </c>
      <c r="E1" s="199" t="s">
        <v>9</v>
      </c>
      <c r="F1" s="199" t="s">
        <v>262</v>
      </c>
      <c r="H1" s="202"/>
    </row>
    <row r="2" spans="1:8" x14ac:dyDescent="0.2">
      <c r="A2" s="203" t="s">
        <v>965</v>
      </c>
      <c r="B2" s="203" t="s">
        <v>15</v>
      </c>
      <c r="C2" s="204" t="s">
        <v>132</v>
      </c>
      <c r="D2" s="203" t="s">
        <v>956</v>
      </c>
      <c r="E2" s="203"/>
      <c r="F2" s="203" t="b">
        <v>0</v>
      </c>
    </row>
    <row r="40" spans="3:3" x14ac:dyDescent="0.2">
      <c r="C40" s="205">
        <f>+C44</f>
        <v>0</v>
      </c>
    </row>
  </sheetData>
  <protectedRanges>
    <protectedRange algorithmName="SHA-512" hashValue="qTcaU7p6hnrcV3QGwQgrp2MI4WU29Lws/lA1J6AzrgWq0XJDLSt1Xlmzwxsk2QvAMj1vfi/H8qOxj6AU1x4rhg==" saltValue="YGeSSPmDG66YJOhj5E5XPA==" spinCount="100000" sqref="A1:F1" name="Range1_1"/>
  </protectedRanges>
  <conditionalFormatting sqref="A2">
    <cfRule type="duplicateValues" dxfId="33" priority="3"/>
  </conditionalFormatting>
  <conditionalFormatting sqref="A2:A100">
    <cfRule type="duplicateValues" dxfId="32" priority="1"/>
  </conditionalFormatting>
  <pageMargins left="0.7" right="0.7" top="0.75" bottom="0.75" header="0.3" footer="0.3"/>
  <pageSetup paperSize="9" orientation="portrait" r:id="rId1"/>
  <tableParts count="1">
    <tablePart r:id="rId2"/>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tabColor rgb="FF0070C0"/>
  </sheetPr>
  <dimension ref="A1:K39"/>
  <sheetViews>
    <sheetView zoomScaleNormal="100" workbookViewId="0">
      <pane ySplit="1" topLeftCell="A2" activePane="bottomLeft" state="frozen"/>
      <selection activeCell="D50" sqref="D50"/>
      <selection pane="bottomLeft" activeCell="A2" sqref="A2:F35"/>
    </sheetView>
  </sheetViews>
  <sheetFormatPr defaultRowHeight="11.25" x14ac:dyDescent="0.2"/>
  <cols>
    <col min="1" max="1" width="16.33203125" customWidth="1"/>
    <col min="2" max="2" width="10" customWidth="1"/>
    <col min="3" max="3" width="10" style="51" customWidth="1"/>
    <col min="4" max="4" width="27.33203125" customWidth="1"/>
    <col min="5" max="5" width="26" customWidth="1"/>
    <col min="6" max="6" width="13.5" customWidth="1"/>
    <col min="7" max="7" width="18" customWidth="1"/>
    <col min="8" max="8" width="17.1640625" customWidth="1"/>
    <col min="9" max="9" width="17" style="51" customWidth="1"/>
    <col min="10" max="10" width="14.5" customWidth="1"/>
    <col min="11" max="11" width="34" style="207" bestFit="1" customWidth="1"/>
  </cols>
  <sheetData>
    <row r="1" spans="1:11" x14ac:dyDescent="0.2">
      <c r="A1" t="s">
        <v>240</v>
      </c>
      <c r="B1" t="s">
        <v>43</v>
      </c>
      <c r="C1" s="51" t="s">
        <v>44</v>
      </c>
      <c r="D1" t="s">
        <v>209</v>
      </c>
      <c r="E1" t="s">
        <v>9</v>
      </c>
      <c r="F1" s="4" t="s">
        <v>262</v>
      </c>
      <c r="G1" s="4" t="s">
        <v>288</v>
      </c>
      <c r="H1" s="4" t="s">
        <v>287</v>
      </c>
      <c r="I1" s="57" t="s">
        <v>289</v>
      </c>
      <c r="J1" s="3" t="s">
        <v>280</v>
      </c>
      <c r="K1" s="207" t="s">
        <v>458</v>
      </c>
    </row>
    <row r="2" spans="1:11" ht="15" x14ac:dyDescent="0.25">
      <c r="A2" t="s">
        <v>966</v>
      </c>
      <c r="B2" s="4" t="s">
        <v>15</v>
      </c>
      <c r="C2" s="57" t="s">
        <v>132</v>
      </c>
      <c r="D2" s="206" t="s">
        <v>957</v>
      </c>
      <c r="E2" s="206"/>
      <c r="F2" t="b">
        <v>0</v>
      </c>
      <c r="G2" s="4" t="s">
        <v>15</v>
      </c>
      <c r="H2" s="4" t="s">
        <v>958</v>
      </c>
      <c r="I2" s="57" t="s">
        <v>132</v>
      </c>
      <c r="J2" s="4" t="s">
        <v>955</v>
      </c>
      <c r="K2" s="208" t="str">
        <f>FirstCharacters(D2,TRUE)</f>
        <v>TD</v>
      </c>
    </row>
    <row r="39" spans="3:3" x14ac:dyDescent="0.2">
      <c r="C39" s="51">
        <f>+C43</f>
        <v>0</v>
      </c>
    </row>
  </sheetData>
  <dataConsolidate/>
  <conditionalFormatting sqref="A2">
    <cfRule type="duplicateValues" dxfId="21" priority="4"/>
  </conditionalFormatting>
  <conditionalFormatting sqref="A2:A100">
    <cfRule type="duplicateValues" dxfId="20" priority="1"/>
  </conditionalFormatting>
  <pageMargins left="0.7" right="0.7" top="0.75" bottom="0.75" header="0.3" footer="0.3"/>
  <pageSetup paperSize="9" orientation="portrait" r:id="rId1"/>
  <tableParts count="1">
    <tablePart r:id="rId2"/>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rgb="FF0070C0"/>
    <pageSetUpPr fitToPage="1"/>
  </sheetPr>
  <dimension ref="A1:S42"/>
  <sheetViews>
    <sheetView zoomScale="130" zoomScaleNormal="130" workbookViewId="0">
      <pane xSplit="5" ySplit="5" topLeftCell="F6" activePane="bottomRight" state="frozen"/>
      <selection activeCell="D50" sqref="D50"/>
      <selection pane="topRight" activeCell="D50" sqref="D50"/>
      <selection pane="bottomLeft" activeCell="D50" sqref="D50"/>
      <selection pane="bottomRight" activeCell="D9" sqref="D9"/>
    </sheetView>
  </sheetViews>
  <sheetFormatPr defaultRowHeight="11.25" x14ac:dyDescent="0.2"/>
  <cols>
    <col min="1" max="1" width="13.83203125" style="4" customWidth="1"/>
    <col min="2" max="2" width="19.33203125" style="4" customWidth="1"/>
    <col min="3" max="3" width="12.5" style="4" customWidth="1"/>
    <col min="4" max="4" width="19.33203125" style="4" customWidth="1"/>
    <col min="5" max="5" width="11.1640625" bestFit="1" customWidth="1"/>
    <col min="6" max="6" width="7.5" style="146" bestFit="1" customWidth="1"/>
    <col min="7" max="7" width="8" style="147" customWidth="1"/>
    <col min="8" max="8" width="6.83203125" style="146" customWidth="1"/>
    <col min="9" max="11" width="3.83203125" style="146" customWidth="1"/>
  </cols>
  <sheetData>
    <row r="1" spans="1:19" s="3" customFormat="1" ht="18" x14ac:dyDescent="0.25">
      <c r="B1" s="2"/>
      <c r="C1" s="2"/>
      <c r="D1" s="2"/>
      <c r="F1" s="143"/>
      <c r="G1" s="143"/>
      <c r="H1" s="143"/>
      <c r="I1" s="144"/>
      <c r="J1" s="143"/>
      <c r="K1" s="143"/>
    </row>
    <row r="2" spans="1:19" s="3" customFormat="1" ht="12.75" x14ac:dyDescent="0.2">
      <c r="A2" s="2"/>
      <c r="B2" s="2"/>
      <c r="F2" s="145" t="s">
        <v>375</v>
      </c>
      <c r="G2" s="145" t="s">
        <v>374</v>
      </c>
      <c r="H2" s="270" t="s">
        <v>195</v>
      </c>
      <c r="I2" s="270"/>
      <c r="J2" s="270"/>
      <c r="K2" s="216"/>
      <c r="L2" s="2" t="s">
        <v>950</v>
      </c>
    </row>
    <row r="3" spans="1:19" s="168" customFormat="1" ht="21.75" customHeight="1" x14ac:dyDescent="0.2">
      <c r="A3" s="272" t="s">
        <v>192</v>
      </c>
      <c r="B3" s="273"/>
      <c r="C3" s="277" t="s">
        <v>405</v>
      </c>
      <c r="D3" s="278"/>
      <c r="E3" s="274" t="s">
        <v>193</v>
      </c>
      <c r="F3" s="275" t="s">
        <v>38</v>
      </c>
      <c r="G3" s="275" t="s">
        <v>41</v>
      </c>
      <c r="H3" s="271" t="s">
        <v>18</v>
      </c>
      <c r="I3" s="271" t="s">
        <v>16</v>
      </c>
      <c r="J3" s="271" t="s">
        <v>196</v>
      </c>
      <c r="K3" s="271" t="s">
        <v>20</v>
      </c>
      <c r="L3" s="280" t="s">
        <v>27</v>
      </c>
      <c r="M3" s="280" t="s">
        <v>29</v>
      </c>
      <c r="N3" s="282" t="s">
        <v>28</v>
      </c>
      <c r="O3" s="282" t="s">
        <v>30</v>
      </c>
      <c r="P3" s="279"/>
      <c r="Q3" s="279"/>
      <c r="R3" s="279"/>
      <c r="S3" s="279"/>
    </row>
    <row r="4" spans="1:19" s="169" customFormat="1" ht="107.25" customHeight="1" x14ac:dyDescent="0.2">
      <c r="A4" s="273"/>
      <c r="B4" s="273"/>
      <c r="C4" s="172" t="s">
        <v>407</v>
      </c>
      <c r="D4" s="173" t="s">
        <v>408</v>
      </c>
      <c r="E4" s="274"/>
      <c r="F4" s="276"/>
      <c r="G4" s="276"/>
      <c r="H4" s="271"/>
      <c r="I4" s="271"/>
      <c r="J4" s="271"/>
      <c r="K4" s="271"/>
      <c r="L4" s="281"/>
      <c r="M4" s="281"/>
      <c r="N4" s="283"/>
      <c r="O4" s="283"/>
      <c r="P4" s="279"/>
      <c r="Q4" s="279"/>
      <c r="R4" s="279"/>
      <c r="S4" s="279"/>
    </row>
    <row r="5" spans="1:19" ht="35.25" x14ac:dyDescent="0.25">
      <c r="A5" s="162" t="s">
        <v>226</v>
      </c>
      <c r="B5" s="162" t="s">
        <v>228</v>
      </c>
      <c r="C5" s="41" t="str">
        <f t="array" ref="C5">"DSDs: "&amp;SUM(IF(FREQUENCY(IF(LEN(DSDs)&gt;0,MATCH(DSDs,DSDs,0),""), IF(LEN(DSDs)&gt;0,MATCH(DSDs,DSDs,0),""))&gt;0,1))</f>
        <v>DSDs: 1</v>
      </c>
      <c r="D5" s="41" t="str">
        <f>"DSD Concept count. Max: "&amp;MAX(DSDDimCount)</f>
        <v>DSD Concept count. Max: 0</v>
      </c>
      <c r="E5" s="166" t="s">
        <v>194</v>
      </c>
      <c r="F5" s="166"/>
      <c r="G5" s="166"/>
      <c r="H5" s="166"/>
      <c r="I5" s="166"/>
      <c r="J5" s="166"/>
      <c r="K5" s="166"/>
      <c r="L5" s="215"/>
      <c r="M5" s="215"/>
      <c r="N5" s="215"/>
      <c r="O5" s="215"/>
    </row>
    <row r="6" spans="1:19" s="1" customFormat="1" ht="12" x14ac:dyDescent="0.2">
      <c r="A6" s="163" t="s">
        <v>2</v>
      </c>
      <c r="B6" s="163" t="s">
        <v>229</v>
      </c>
      <c r="C6" s="165" t="s">
        <v>965</v>
      </c>
      <c r="D6" s="167"/>
      <c r="E6" s="160" t="s">
        <v>966</v>
      </c>
      <c r="F6" s="160" t="s">
        <v>203</v>
      </c>
      <c r="G6" s="160" t="s">
        <v>203</v>
      </c>
      <c r="H6" s="12" t="s">
        <v>203</v>
      </c>
      <c r="I6" s="12" t="s">
        <v>203</v>
      </c>
      <c r="J6" s="12" t="s">
        <v>203</v>
      </c>
      <c r="K6" s="12" t="s">
        <v>203</v>
      </c>
      <c r="L6" s="1" t="s">
        <v>203</v>
      </c>
      <c r="M6" s="1" t="s">
        <v>203</v>
      </c>
      <c r="N6" s="1" t="s">
        <v>203</v>
      </c>
      <c r="O6" s="1" t="s">
        <v>203</v>
      </c>
    </row>
    <row r="7" spans="1:19" s="1" customFormat="1" ht="12" x14ac:dyDescent="0.2">
      <c r="A7" s="163"/>
      <c r="B7" s="163"/>
      <c r="C7" s="165"/>
      <c r="D7" s="167"/>
      <c r="E7" s="160"/>
      <c r="F7" s="160"/>
      <c r="G7" s="160"/>
      <c r="H7" s="12"/>
      <c r="I7" s="12"/>
      <c r="J7" s="12"/>
      <c r="K7" s="12"/>
    </row>
    <row r="8" spans="1:19" s="1" customFormat="1" ht="12" x14ac:dyDescent="0.2">
      <c r="A8" s="163"/>
      <c r="B8" s="163"/>
      <c r="C8" s="165"/>
      <c r="D8" s="167"/>
      <c r="E8" s="160"/>
      <c r="F8" s="160"/>
      <c r="G8" s="160"/>
      <c r="H8" s="12"/>
      <c r="I8" s="12"/>
      <c r="J8" s="12"/>
      <c r="K8" s="12"/>
    </row>
    <row r="9" spans="1:19" s="1" customFormat="1" ht="12" x14ac:dyDescent="0.2">
      <c r="A9" s="163"/>
      <c r="B9" s="163"/>
      <c r="C9" s="165"/>
      <c r="D9" s="167"/>
      <c r="E9" s="160"/>
      <c r="F9" s="160"/>
      <c r="G9" s="160"/>
      <c r="H9" s="12"/>
      <c r="I9" s="12"/>
      <c r="J9" s="12"/>
      <c r="K9" s="12"/>
    </row>
    <row r="10" spans="1:19" s="1" customFormat="1" ht="12" x14ac:dyDescent="0.2">
      <c r="A10" s="163"/>
      <c r="B10" s="163"/>
      <c r="C10" s="165"/>
      <c r="D10" s="167"/>
      <c r="E10" s="161"/>
      <c r="F10" s="161"/>
      <c r="G10" s="161"/>
      <c r="H10" s="12"/>
      <c r="I10" s="12"/>
      <c r="J10" s="12"/>
      <c r="K10" s="12"/>
    </row>
    <row r="11" spans="1:19" s="1" customFormat="1" ht="12" x14ac:dyDescent="0.2">
      <c r="A11" s="163"/>
      <c r="B11" s="163"/>
      <c r="C11" s="165"/>
      <c r="D11" s="167"/>
      <c r="E11" s="161"/>
      <c r="F11" s="161"/>
      <c r="G11" s="161"/>
      <c r="H11" s="12"/>
      <c r="I11" s="12"/>
      <c r="J11" s="12"/>
      <c r="K11" s="12"/>
    </row>
    <row r="12" spans="1:19" s="1" customFormat="1" ht="12" x14ac:dyDescent="0.2">
      <c r="A12" s="164"/>
      <c r="B12" s="163"/>
      <c r="C12" s="165"/>
      <c r="D12" s="167"/>
      <c r="E12" s="160"/>
      <c r="F12" s="160"/>
      <c r="G12" s="160"/>
      <c r="H12" s="12"/>
      <c r="I12" s="12"/>
      <c r="J12" s="12"/>
      <c r="K12" s="12"/>
    </row>
    <row r="13" spans="1:19" s="1" customFormat="1" ht="12" x14ac:dyDescent="0.2">
      <c r="A13" s="164"/>
      <c r="B13" s="163"/>
      <c r="C13" s="165"/>
      <c r="D13" s="167"/>
      <c r="E13" s="160"/>
      <c r="F13" s="160"/>
      <c r="G13" s="160"/>
      <c r="H13" s="12"/>
      <c r="I13" s="12"/>
      <c r="J13" s="12"/>
      <c r="K13" s="12"/>
    </row>
    <row r="14" spans="1:19" s="1" customFormat="1" ht="12" x14ac:dyDescent="0.2">
      <c r="A14" s="164"/>
      <c r="B14" s="163"/>
      <c r="C14" s="165"/>
      <c r="D14" s="167"/>
      <c r="E14" s="160"/>
      <c r="F14" s="160"/>
      <c r="G14" s="160"/>
      <c r="H14" s="12"/>
      <c r="I14" s="12"/>
      <c r="J14" s="12"/>
      <c r="K14" s="12"/>
    </row>
    <row r="15" spans="1:19" s="1" customFormat="1" ht="12" x14ac:dyDescent="0.2">
      <c r="A15" s="164"/>
      <c r="B15" s="163"/>
      <c r="C15" s="165"/>
      <c r="D15" s="167"/>
      <c r="E15" s="160"/>
      <c r="F15" s="160"/>
      <c r="G15" s="160"/>
      <c r="H15" s="12"/>
      <c r="I15" s="12"/>
      <c r="J15" s="12"/>
      <c r="K15" s="12"/>
    </row>
    <row r="16" spans="1:19" s="1" customFormat="1" ht="12" x14ac:dyDescent="0.2">
      <c r="A16" s="163"/>
      <c r="B16" s="163"/>
      <c r="C16" s="165"/>
      <c r="D16" s="167"/>
      <c r="E16" s="160"/>
      <c r="F16" s="160"/>
      <c r="G16" s="160"/>
      <c r="H16" s="12"/>
      <c r="I16" s="12"/>
      <c r="J16" s="12"/>
      <c r="K16" s="12"/>
    </row>
    <row r="17" spans="1:11" s="1" customFormat="1" ht="12" x14ac:dyDescent="0.2">
      <c r="A17" s="164"/>
      <c r="B17" s="163"/>
      <c r="C17" s="165"/>
      <c r="D17" s="167"/>
      <c r="E17" s="160"/>
      <c r="F17" s="160"/>
      <c r="G17" s="160"/>
      <c r="H17" s="12"/>
      <c r="I17" s="12"/>
      <c r="J17" s="12"/>
      <c r="K17" s="12"/>
    </row>
    <row r="18" spans="1:11" s="1" customFormat="1" ht="12" x14ac:dyDescent="0.2">
      <c r="A18" s="164"/>
      <c r="B18" s="163"/>
      <c r="C18" s="165"/>
      <c r="D18" s="167"/>
      <c r="E18" s="160"/>
      <c r="F18" s="160"/>
      <c r="G18" s="160"/>
      <c r="H18" s="12"/>
      <c r="I18" s="12"/>
      <c r="J18" s="12"/>
      <c r="K18" s="12"/>
    </row>
    <row r="19" spans="1:11" s="1" customFormat="1" ht="12" x14ac:dyDescent="0.2">
      <c r="A19" s="164"/>
      <c r="B19" s="163"/>
      <c r="C19" s="165"/>
      <c r="D19" s="167"/>
      <c r="E19" s="160"/>
      <c r="F19" s="160"/>
      <c r="G19" s="160"/>
      <c r="H19" s="12"/>
      <c r="I19" s="12"/>
      <c r="J19" s="12"/>
      <c r="K19" s="12"/>
    </row>
    <row r="20" spans="1:11" s="1" customFormat="1" ht="12" x14ac:dyDescent="0.2">
      <c r="A20" s="164"/>
      <c r="B20" s="163"/>
      <c r="C20" s="165"/>
      <c r="D20" s="167"/>
      <c r="E20" s="160"/>
      <c r="F20" s="160"/>
      <c r="G20" s="160"/>
      <c r="H20" s="12"/>
      <c r="I20" s="12"/>
      <c r="J20" s="12"/>
      <c r="K20" s="12"/>
    </row>
    <row r="21" spans="1:11" s="1" customFormat="1" ht="12" x14ac:dyDescent="0.2">
      <c r="A21" s="164"/>
      <c r="B21" s="163"/>
      <c r="C21" s="165"/>
      <c r="D21" s="167"/>
      <c r="E21" s="160"/>
      <c r="F21" s="160"/>
      <c r="G21" s="160"/>
      <c r="H21" s="12"/>
      <c r="I21" s="12"/>
      <c r="J21" s="12"/>
      <c r="K21" s="12"/>
    </row>
    <row r="22" spans="1:11" s="1" customFormat="1" ht="12" x14ac:dyDescent="0.2">
      <c r="A22" s="164"/>
      <c r="B22" s="163"/>
      <c r="C22" s="165"/>
      <c r="D22" s="167"/>
      <c r="E22" s="160"/>
      <c r="F22" s="160"/>
      <c r="G22" s="160"/>
      <c r="H22" s="12"/>
      <c r="I22" s="12"/>
      <c r="J22" s="12"/>
      <c r="K22" s="12"/>
    </row>
    <row r="23" spans="1:11" s="1" customFormat="1" ht="12" x14ac:dyDescent="0.2">
      <c r="A23" s="164"/>
      <c r="B23" s="163"/>
      <c r="C23" s="165"/>
      <c r="D23" s="167"/>
      <c r="E23" s="160"/>
      <c r="F23" s="160"/>
      <c r="G23" s="160"/>
      <c r="H23" s="12"/>
      <c r="I23" s="12"/>
      <c r="J23" s="12"/>
      <c r="K23" s="12"/>
    </row>
    <row r="24" spans="1:11" s="1" customFormat="1" ht="12" x14ac:dyDescent="0.2">
      <c r="A24" s="164"/>
      <c r="B24" s="163"/>
      <c r="C24" s="165"/>
      <c r="D24" s="167"/>
      <c r="E24" s="160"/>
      <c r="F24" s="160"/>
      <c r="G24" s="160"/>
      <c r="H24" s="12"/>
      <c r="I24" s="12"/>
      <c r="J24" s="12"/>
      <c r="K24" s="12"/>
    </row>
    <row r="25" spans="1:11" s="1" customFormat="1" ht="12" x14ac:dyDescent="0.2">
      <c r="A25" s="164"/>
      <c r="B25" s="163"/>
      <c r="C25" s="165"/>
      <c r="D25" s="167"/>
      <c r="E25" s="160"/>
      <c r="F25" s="160"/>
      <c r="G25" s="160"/>
      <c r="H25" s="12"/>
      <c r="I25" s="12"/>
      <c r="J25" s="12"/>
      <c r="K25" s="12"/>
    </row>
    <row r="26" spans="1:11" s="1" customFormat="1" ht="12" x14ac:dyDescent="0.2">
      <c r="A26" s="164"/>
      <c r="B26" s="163"/>
      <c r="C26" s="165"/>
      <c r="D26" s="167"/>
      <c r="E26" s="160"/>
      <c r="F26" s="160"/>
      <c r="G26" s="160"/>
      <c r="H26" s="12"/>
      <c r="I26" s="12"/>
      <c r="J26" s="12"/>
      <c r="K26" s="12"/>
    </row>
    <row r="27" spans="1:11" s="1" customFormat="1" ht="12" x14ac:dyDescent="0.2">
      <c r="A27" s="164"/>
      <c r="B27" s="163"/>
      <c r="C27" s="165"/>
      <c r="D27" s="167"/>
      <c r="E27" s="160"/>
      <c r="F27" s="160"/>
      <c r="G27" s="160"/>
      <c r="H27" s="12"/>
      <c r="I27" s="12"/>
      <c r="J27" s="12"/>
      <c r="K27" s="12"/>
    </row>
    <row r="28" spans="1:11" s="1" customFormat="1" ht="12" x14ac:dyDescent="0.2">
      <c r="A28" s="164"/>
      <c r="B28" s="163"/>
      <c r="C28" s="165"/>
      <c r="D28" s="167"/>
      <c r="E28" s="160"/>
      <c r="F28" s="160"/>
      <c r="G28" s="160"/>
      <c r="H28" s="12"/>
      <c r="I28" s="12"/>
      <c r="J28" s="12"/>
      <c r="K28" s="12"/>
    </row>
    <row r="29" spans="1:11" s="1" customFormat="1" ht="12" x14ac:dyDescent="0.2">
      <c r="A29" s="164"/>
      <c r="B29" s="163"/>
      <c r="C29" s="165"/>
      <c r="D29" s="167"/>
      <c r="E29" s="160"/>
      <c r="F29" s="160"/>
      <c r="G29" s="160"/>
      <c r="H29" s="12"/>
      <c r="I29" s="12"/>
      <c r="J29" s="12"/>
      <c r="K29" s="12"/>
    </row>
    <row r="30" spans="1:11" s="1" customFormat="1" ht="12" x14ac:dyDescent="0.2">
      <c r="A30" s="164"/>
      <c r="B30" s="163"/>
      <c r="C30" s="165"/>
      <c r="D30" s="167"/>
      <c r="E30" s="160"/>
      <c r="F30" s="160"/>
      <c r="G30" s="160"/>
      <c r="H30" s="12"/>
      <c r="I30" s="12"/>
      <c r="J30" s="12"/>
      <c r="K30" s="12"/>
    </row>
    <row r="31" spans="1:11" s="1" customFormat="1" ht="12" x14ac:dyDescent="0.2">
      <c r="A31" s="164"/>
      <c r="B31" s="163"/>
      <c r="C31" s="165"/>
      <c r="D31" s="167"/>
      <c r="E31" s="160"/>
      <c r="F31" s="160"/>
      <c r="G31" s="160"/>
      <c r="H31" s="12"/>
      <c r="I31" s="12"/>
      <c r="J31" s="12"/>
      <c r="K31" s="12"/>
    </row>
    <row r="32" spans="1:11" s="1" customFormat="1" ht="12" x14ac:dyDescent="0.2">
      <c r="A32" s="164"/>
      <c r="B32" s="163"/>
      <c r="C32" s="165"/>
      <c r="D32" s="167"/>
      <c r="E32" s="160"/>
      <c r="F32" s="160"/>
      <c r="G32" s="160"/>
      <c r="H32" s="12"/>
      <c r="I32" s="12"/>
      <c r="J32" s="12"/>
      <c r="K32" s="12"/>
    </row>
    <row r="33" spans="1:11" s="1" customFormat="1" ht="12" x14ac:dyDescent="0.2">
      <c r="A33" s="164"/>
      <c r="B33" s="163"/>
      <c r="C33" s="165"/>
      <c r="D33" s="167"/>
      <c r="E33" s="160"/>
      <c r="F33" s="160"/>
      <c r="G33" s="160"/>
      <c r="H33" s="12"/>
      <c r="I33" s="12"/>
      <c r="J33" s="12"/>
      <c r="K33" s="12"/>
    </row>
    <row r="34" spans="1:11" s="1" customFormat="1" ht="12" x14ac:dyDescent="0.2">
      <c r="A34" s="164"/>
      <c r="B34" s="163"/>
      <c r="C34" s="165"/>
      <c r="D34" s="167"/>
      <c r="E34" s="160"/>
      <c r="F34" s="160"/>
      <c r="G34" s="160"/>
      <c r="H34" s="12"/>
      <c r="I34" s="12"/>
      <c r="J34" s="12"/>
      <c r="K34" s="12"/>
    </row>
    <row r="35" spans="1:11" s="1" customFormat="1" ht="12" x14ac:dyDescent="0.2">
      <c r="A35" s="164"/>
      <c r="B35" s="163"/>
      <c r="C35" s="165"/>
      <c r="D35" s="167"/>
      <c r="E35" s="160"/>
      <c r="F35" s="160"/>
      <c r="G35" s="160"/>
      <c r="H35" s="12"/>
      <c r="I35" s="12"/>
      <c r="J35" s="12"/>
      <c r="K35" s="12"/>
    </row>
    <row r="36" spans="1:11" s="1" customFormat="1" ht="12" x14ac:dyDescent="0.2">
      <c r="A36" s="164"/>
      <c r="B36" s="163"/>
      <c r="C36" s="165"/>
      <c r="D36" s="167"/>
      <c r="E36" s="160"/>
      <c r="F36" s="160"/>
      <c r="G36" s="160"/>
      <c r="H36" s="12"/>
      <c r="I36" s="12"/>
      <c r="J36" s="12"/>
      <c r="K36" s="12"/>
    </row>
    <row r="37" spans="1:11" s="1" customFormat="1" ht="12" x14ac:dyDescent="0.2">
      <c r="A37" s="164"/>
      <c r="B37" s="163"/>
      <c r="C37" s="165"/>
      <c r="D37" s="167"/>
      <c r="E37" s="160"/>
      <c r="F37" s="160"/>
      <c r="G37" s="160"/>
      <c r="H37" s="12"/>
      <c r="I37" s="12"/>
      <c r="J37" s="12"/>
      <c r="K37" s="12"/>
    </row>
    <row r="38" spans="1:11" s="1" customFormat="1" ht="12" x14ac:dyDescent="0.2">
      <c r="A38" s="164"/>
      <c r="B38" s="163"/>
      <c r="C38" s="165"/>
      <c r="D38" s="167"/>
      <c r="E38" s="160"/>
      <c r="F38" s="160"/>
      <c r="G38" s="160"/>
      <c r="H38" s="12"/>
      <c r="I38" s="12"/>
      <c r="J38" s="12"/>
      <c r="K38" s="12"/>
    </row>
    <row r="39" spans="1:11" s="1" customFormat="1" ht="12" x14ac:dyDescent="0.2">
      <c r="A39" s="164"/>
      <c r="B39" s="163"/>
      <c r="C39" s="165"/>
      <c r="D39" s="167"/>
      <c r="E39" s="160"/>
      <c r="F39" s="160"/>
      <c r="G39" s="160"/>
      <c r="H39" s="12"/>
      <c r="I39" s="12"/>
      <c r="J39" s="12"/>
      <c r="K39" s="12"/>
    </row>
    <row r="40" spans="1:11" s="1" customFormat="1" ht="12" x14ac:dyDescent="0.2">
      <c r="A40" s="164"/>
      <c r="B40" s="163"/>
      <c r="C40" s="165"/>
      <c r="D40" s="167"/>
      <c r="E40" s="160"/>
      <c r="F40" s="160"/>
      <c r="G40" s="160"/>
      <c r="H40" s="12"/>
      <c r="I40" s="12"/>
      <c r="J40" s="12"/>
      <c r="K40" s="12"/>
    </row>
    <row r="41" spans="1:11" s="1" customFormat="1" ht="12" x14ac:dyDescent="0.2">
      <c r="A41" s="164"/>
      <c r="B41" s="163"/>
      <c r="C41" s="165"/>
      <c r="D41" s="167"/>
      <c r="E41" s="160"/>
      <c r="F41" s="160"/>
      <c r="G41" s="160"/>
      <c r="H41" s="12"/>
      <c r="I41" s="12"/>
      <c r="J41" s="12"/>
      <c r="K41" s="12"/>
    </row>
    <row r="42" spans="1:11" s="1" customFormat="1" ht="12" x14ac:dyDescent="0.2">
      <c r="A42" s="164"/>
      <c r="B42" s="163"/>
      <c r="C42" s="165"/>
      <c r="D42" s="167"/>
      <c r="E42" s="160"/>
      <c r="F42" s="160"/>
      <c r="G42" s="160"/>
      <c r="H42" s="12"/>
      <c r="I42" s="12"/>
      <c r="J42" s="12"/>
      <c r="K42" s="12"/>
    </row>
  </sheetData>
  <dataConsolidate/>
  <customSheetViews>
    <customSheetView guid="{AA319F07-CC98-498A-B8F0-88469E3CB718}" scale="89" showAutoFilter="1" hiddenColumns="1">
      <pane xSplit="4" ySplit="4" topLeftCell="E12" activePane="bottomRight" state="frozen"/>
      <selection pane="bottomRight" activeCell="F30" sqref="F30"/>
      <pageMargins left="0.7" right="0.7" top="0.75" bottom="0.75" header="0.3" footer="0.3"/>
      <pageSetup paperSize="9" scale="80" orientation="landscape" r:id="rId1"/>
      <autoFilter ref="B1:AH1"/>
    </customSheetView>
    <customSheetView guid="{F7C97EE9-0129-4AF7-B3C1-B3102CE6FFA5}" showPageBreaks="1" showAutoFilter="1">
      <pane xSplit="4" ySplit="10" topLeftCell="E77" activePane="bottomRight" state="frozen"/>
      <selection pane="bottomRight" activeCell="AE82" sqref="AE82"/>
      <pageMargins left="0.7" right="0.7" top="0.75" bottom="0.75" header="0.3" footer="0.3"/>
      <pageSetup paperSize="9" scale="80" orientation="landscape" r:id="rId2"/>
      <autoFilter ref="B1:AI1"/>
    </customSheetView>
    <customSheetView guid="{E66E0E75-407A-4A45-A7DD-4716A0845D40}" showAutoFilter="1">
      <pane xSplit="4" ySplit="4" topLeftCell="E5" activePane="bottomRight" state="frozen"/>
      <selection pane="bottomRight" activeCell="AC4" sqref="AC4"/>
      <pageMargins left="0.7" right="0.7" top="0.75" bottom="0.75" header="0.3" footer="0.3"/>
      <pageSetup paperSize="9" orientation="portrait" r:id="rId3"/>
      <autoFilter ref="B1:AI1"/>
    </customSheetView>
    <customSheetView guid="{ACF55590-2DD5-4F64-8513-A5656764A8B4}" showAutoFilter="1">
      <pane xSplit="4" ySplit="4" topLeftCell="E5" activePane="bottomRight" state="frozen"/>
      <selection pane="bottomRight" activeCell="B5" sqref="B5"/>
      <pageMargins left="0.7" right="0.7" top="0.75" bottom="0.75" header="0.3" footer="0.3"/>
      <pageSetup paperSize="9" orientation="portrait" r:id="rId4"/>
      <autoFilter ref="B1:AN1"/>
    </customSheetView>
    <customSheetView guid="{FC4FBBDB-A3CF-4CB2-B1C9-D5DDEB34891E}" showAutoFilter="1">
      <pane xSplit="4" ySplit="4" topLeftCell="E5" activePane="bottomRight" state="frozen"/>
      <selection pane="bottomRight" activeCell="Z3" sqref="Z3"/>
      <pageMargins left="0.7" right="0.7" top="0.75" bottom="0.75" header="0.3" footer="0.3"/>
      <pageSetup paperSize="9" orientation="portrait" r:id="rId5"/>
      <autoFilter ref="B1:AN1"/>
    </customSheetView>
    <customSheetView guid="{E7F7CB01-84EF-4CA7-B9F6-361080D9FD6D}" scale="89" showAutoFilter="1" hiddenColumns="1">
      <pane xSplit="4" ySplit="4" topLeftCell="E5" activePane="bottomRight" state="frozen"/>
      <selection pane="bottomRight"/>
      <pageMargins left="0.7" right="0.7" top="0.75" bottom="0.75" header="0.3" footer="0.3"/>
      <pageSetup paperSize="9" scale="80" orientation="landscape" r:id="rId6"/>
      <autoFilter ref="B1:AH1"/>
    </customSheetView>
    <customSheetView guid="{609B000A-3B9D-4F2C-A882-9D8FED21A0B4}" showAutoFilter="1" hiddenColumns="1">
      <pane xSplit="7" ySplit="4" topLeftCell="H68" activePane="bottomRight" state="frozen"/>
      <selection pane="bottomRight" activeCell="D5" sqref="D5:F84"/>
      <pageMargins left="0.7" right="0.7" top="0.75" bottom="0.75" header="0.3" footer="0.3"/>
      <pageSetup paperSize="9" orientation="portrait" r:id="rId7"/>
      <autoFilter ref="B1:AK1"/>
    </customSheetView>
  </customSheetViews>
  <mergeCells count="18">
    <mergeCell ref="Q3:Q4"/>
    <mergeCell ref="R3:R4"/>
    <mergeCell ref="S3:S4"/>
    <mergeCell ref="L3:L4"/>
    <mergeCell ref="N3:N4"/>
    <mergeCell ref="M3:M4"/>
    <mergeCell ref="O3:O4"/>
    <mergeCell ref="P3:P4"/>
    <mergeCell ref="H2:J2"/>
    <mergeCell ref="J3:J4"/>
    <mergeCell ref="K3:K4"/>
    <mergeCell ref="A3:B4"/>
    <mergeCell ref="E3:E4"/>
    <mergeCell ref="H3:H4"/>
    <mergeCell ref="I3:I4"/>
    <mergeCell ref="F3:F4"/>
    <mergeCell ref="C3:D3"/>
    <mergeCell ref="G3:G4"/>
  </mergeCells>
  <conditionalFormatting sqref="E6:E100">
    <cfRule type="duplicateValues" dxfId="10" priority="1"/>
  </conditionalFormatting>
  <dataValidations count="2">
    <dataValidation type="list" allowBlank="1" showInputMessage="1" showErrorMessage="1" errorTitle="DSD must be in DSDs worksheet" error="DSD must be in DSDs worksheet" sqref="C6:C1048576">
      <formula1>DSDIds</formula1>
    </dataValidation>
    <dataValidation type="list" allowBlank="1" showInputMessage="1" showErrorMessage="1" sqref="E6:E1048576">
      <formula1>DataflowIDs</formula1>
    </dataValidation>
  </dataValidations>
  <hyperlinks>
    <hyperlink ref="J3:J4" location="CL_MEASURE!A1" display="MEASURE"/>
    <hyperlink ref="K3:K4" location="CL_UNIT_MEASURE!A1" display="UNIT_MEASURE"/>
    <hyperlink ref="I3:I4" location="CL_AREA!A1" display="REF_AREA"/>
    <hyperlink ref="H3:H4" location="CL_FREQ!A1" display="FREQ"/>
  </hyperlinks>
  <pageMargins left="0.70866141732283472" right="0.70866141732283472" top="0.74803149606299213" bottom="0.74803149606299213" header="0.31496062992125984" footer="0.31496062992125984"/>
  <pageSetup paperSize="9" scale="62" fitToHeight="0" orientation="landscape" r:id="rId8"/>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C48"/>
  <sheetViews>
    <sheetView workbookViewId="0">
      <selection activeCell="AQ2" sqref="AQ2:AQ36"/>
    </sheetView>
  </sheetViews>
  <sheetFormatPr defaultRowHeight="11.25" x14ac:dyDescent="0.2"/>
  <cols>
    <col min="1" max="1" width="10.6640625" customWidth="1"/>
    <col min="2" max="2" width="5.1640625" customWidth="1"/>
    <col min="3" max="37" width="3.5" bestFit="1" customWidth="1"/>
    <col min="38" max="38" width="4.83203125" customWidth="1"/>
    <col min="39" max="39" width="15" style="22" customWidth="1"/>
    <col min="40" max="40" width="6.83203125" bestFit="1" customWidth="1"/>
    <col min="41" max="41" width="6.83203125" customWidth="1"/>
    <col min="42" max="42" width="6.83203125" bestFit="1" customWidth="1"/>
    <col min="43" max="43" width="17.33203125" style="39" customWidth="1"/>
    <col min="44" max="52" width="5" bestFit="1" customWidth="1"/>
    <col min="53" max="53" width="3.5" bestFit="1" customWidth="1"/>
    <col min="54" max="54" width="5" bestFit="1" customWidth="1"/>
    <col min="55" max="72" width="3.5" bestFit="1" customWidth="1"/>
    <col min="73" max="73" width="5" bestFit="1" customWidth="1"/>
    <col min="74" max="80" width="3.5" bestFit="1" customWidth="1"/>
  </cols>
  <sheetData>
    <row r="1" spans="1:81" ht="45" x14ac:dyDescent="0.25">
      <c r="A1" s="36" t="s">
        <v>199</v>
      </c>
      <c r="B1" s="36" t="s">
        <v>200</v>
      </c>
      <c r="C1" s="36"/>
      <c r="D1" s="36"/>
      <c r="E1" s="36"/>
      <c r="F1" s="36"/>
      <c r="G1" s="36"/>
      <c r="H1" s="36"/>
      <c r="I1" s="36"/>
      <c r="J1" s="36"/>
      <c r="K1" s="36"/>
      <c r="L1" s="36"/>
      <c r="M1" s="36"/>
      <c r="N1" s="36"/>
      <c r="O1" s="36"/>
      <c r="P1" s="36"/>
      <c r="Q1" s="36"/>
      <c r="R1" s="36"/>
      <c r="S1" s="36"/>
      <c r="T1" s="36"/>
      <c r="U1" s="36"/>
      <c r="V1" s="36"/>
      <c r="W1" s="36"/>
      <c r="X1" s="36"/>
      <c r="Y1" s="36"/>
      <c r="Z1" s="36"/>
      <c r="AA1" s="36"/>
      <c r="AB1" s="36"/>
      <c r="AC1" s="36"/>
      <c r="AD1" s="36"/>
      <c r="AE1" s="36"/>
      <c r="AF1" s="36"/>
      <c r="AG1" s="36"/>
      <c r="AH1" s="36"/>
      <c r="AI1" s="36"/>
      <c r="AJ1" s="36"/>
      <c r="AK1" s="36"/>
      <c r="AL1" s="36"/>
      <c r="AM1" s="40" t="s">
        <v>202</v>
      </c>
      <c r="AN1" s="36"/>
      <c r="AO1" s="36"/>
      <c r="AP1" s="36"/>
      <c r="AQ1" s="36" t="s">
        <v>201</v>
      </c>
    </row>
    <row r="2" spans="1:81" ht="18.75" x14ac:dyDescent="0.2">
      <c r="A2" t="str">
        <f t="shared" ref="A2:A48" si="0">INDEX(DSDs,ROW(A1),COLUMN(A1))</f>
        <v>TESTDSD</v>
      </c>
      <c r="B2">
        <f t="shared" ref="B2:K11" si="1">IFERROR(IF(INDEX(ConDimVals,ROW(A1),COLUMN(A1))="",0,1),"")</f>
        <v>1</v>
      </c>
      <c r="C2">
        <f t="shared" si="1"/>
        <v>1</v>
      </c>
      <c r="D2">
        <f t="shared" si="1"/>
        <v>1</v>
      </c>
      <c r="E2">
        <f t="shared" si="1"/>
        <v>1</v>
      </c>
      <c r="F2">
        <f t="shared" si="1"/>
        <v>1</v>
      </c>
      <c r="G2">
        <f t="shared" si="1"/>
        <v>1</v>
      </c>
      <c r="H2" t="str">
        <f t="shared" si="1"/>
        <v/>
      </c>
      <c r="I2" t="str">
        <f t="shared" si="1"/>
        <v/>
      </c>
      <c r="J2" t="str">
        <f t="shared" si="1"/>
        <v/>
      </c>
      <c r="K2" t="str">
        <f t="shared" si="1"/>
        <v/>
      </c>
      <c r="L2" t="str">
        <f t="shared" ref="L2:U11" si="2">IFERROR(IF(INDEX(ConDimVals,ROW(K1),COLUMN(K1))="",0,1),"")</f>
        <v/>
      </c>
      <c r="M2" t="str">
        <f t="shared" si="2"/>
        <v/>
      </c>
      <c r="N2" t="str">
        <f t="shared" si="2"/>
        <v/>
      </c>
      <c r="O2" t="str">
        <f t="shared" si="2"/>
        <v/>
      </c>
      <c r="P2" t="str">
        <f t="shared" si="2"/>
        <v/>
      </c>
      <c r="Q2" t="str">
        <f t="shared" si="2"/>
        <v/>
      </c>
      <c r="R2" t="str">
        <f t="shared" si="2"/>
        <v/>
      </c>
      <c r="S2" t="str">
        <f t="shared" si="2"/>
        <v/>
      </c>
      <c r="T2" t="str">
        <f t="shared" si="2"/>
        <v/>
      </c>
      <c r="U2" t="str">
        <f t="shared" si="2"/>
        <v/>
      </c>
      <c r="V2" t="str">
        <f t="shared" ref="V2:AE11" si="3">IFERROR(IF(INDEX(ConDimVals,ROW(U1),COLUMN(U1))="",0,1),"")</f>
        <v/>
      </c>
      <c r="W2" t="str">
        <f t="shared" si="3"/>
        <v/>
      </c>
      <c r="X2" t="str">
        <f t="shared" si="3"/>
        <v/>
      </c>
      <c r="Y2" t="str">
        <f t="shared" si="3"/>
        <v/>
      </c>
      <c r="Z2" t="str">
        <f t="shared" si="3"/>
        <v/>
      </c>
      <c r="AA2" t="str">
        <f t="shared" si="3"/>
        <v/>
      </c>
      <c r="AB2" t="str">
        <f t="shared" si="3"/>
        <v/>
      </c>
      <c r="AC2" t="str">
        <f t="shared" si="3"/>
        <v/>
      </c>
      <c r="AD2" t="str">
        <f t="shared" si="3"/>
        <v/>
      </c>
      <c r="AE2" t="str">
        <f t="shared" si="3"/>
        <v/>
      </c>
      <c r="AF2" t="str">
        <f t="shared" ref="AF2:AK11" si="4">IFERROR(IF(INDEX(ConDimVals,ROW(AE1),COLUMN(AE1))="",0,1),"")</f>
        <v/>
      </c>
      <c r="AG2" t="str">
        <f t="shared" si="4"/>
        <v/>
      </c>
      <c r="AH2" t="str">
        <f t="shared" si="4"/>
        <v/>
      </c>
      <c r="AI2" t="str">
        <f t="shared" si="4"/>
        <v/>
      </c>
      <c r="AJ2" t="str">
        <f t="shared" si="4"/>
        <v/>
      </c>
      <c r="AK2" t="str">
        <f t="shared" si="4"/>
        <v/>
      </c>
      <c r="AM2" s="22">
        <f>COUNTIF(B2:AL2,1)</f>
        <v>6</v>
      </c>
      <c r="AN2" s="37"/>
      <c r="AP2">
        <v>0</v>
      </c>
      <c r="AQ2" s="38" t="str">
        <f>IFERROR(LOOKUP(2,1/(COUNTIF($AQ$1:AQ1,CountDSDs)=0),CountDSDs),"")</f>
        <v/>
      </c>
      <c r="AR2">
        <f t="shared" ref="AR2:AR36" si="5">SUMIF(CountDSDs,INDEX(CountUniqueDSDs,ROW(A1)),B$2:B$48)</f>
        <v>0</v>
      </c>
      <c r="AS2">
        <f t="shared" ref="AS2:AS36" si="6">SUMIF(CountDSDs,INDEX(CountUniqueDSDs,ROW(B1)),C$2:C$48)</f>
        <v>0</v>
      </c>
      <c r="AT2">
        <f t="shared" ref="AT2:AT36" si="7">SUMIF(CountDSDs,INDEX(CountUniqueDSDs,ROW(C1)),D$2:D$48)</f>
        <v>0</v>
      </c>
      <c r="AU2">
        <f t="shared" ref="AU2:AU36" si="8">SUMIF(CountDSDs,INDEX(CountUniqueDSDs,ROW(D1)),E$2:E$48)</f>
        <v>0</v>
      </c>
      <c r="AV2">
        <f t="shared" ref="AV2:AV36" si="9">SUMIF(CountDSDs,INDEX(CountUniqueDSDs,ROW(E1)),F$2:F$48)</f>
        <v>0</v>
      </c>
      <c r="AW2">
        <f t="shared" ref="AW2:AW36" si="10">SUMIF(CountDSDs,INDEX(CountUniqueDSDs,ROW(F1)),G$2:G$48)</f>
        <v>0</v>
      </c>
      <c r="AX2">
        <f t="shared" ref="AX2:AX36" si="11">SUMIF(CountDSDs,INDEX(CountUniqueDSDs,ROW(G1)),H$2:H$48)</f>
        <v>0</v>
      </c>
      <c r="AY2">
        <f t="shared" ref="AY2:AY36" si="12">SUMIF(CountDSDs,INDEX(CountUniqueDSDs,ROW(H1)),I$2:I$48)</f>
        <v>0</v>
      </c>
      <c r="AZ2">
        <f t="shared" ref="AZ2:AZ36" si="13">SUMIF(CountDSDs,INDEX(CountUniqueDSDs,ROW(I1)),J$2:J$48)</f>
        <v>0</v>
      </c>
      <c r="BA2">
        <f t="shared" ref="BA2:BA36" si="14">SUMIF(CountDSDs,INDEX(CountUniqueDSDs,ROW(J1)),K$2:K$48)</f>
        <v>0</v>
      </c>
      <c r="BB2">
        <f t="shared" ref="BB2:BB36" si="15">SUMIF(CountDSDs,INDEX(CountUniqueDSDs,ROW(K1)),L$2:L$48)</f>
        <v>0</v>
      </c>
      <c r="BC2">
        <f t="shared" ref="BC2:BC36" si="16">SUMIF(CountDSDs,INDEX(CountUniqueDSDs,ROW(L1)),M$2:M$48)</f>
        <v>0</v>
      </c>
      <c r="BD2">
        <f t="shared" ref="BD2:BD36" si="17">SUMIF(CountDSDs,INDEX(CountUniqueDSDs,ROW(M1)),N$2:N$48)</f>
        <v>0</v>
      </c>
      <c r="BE2">
        <f t="shared" ref="BE2:BE36" si="18">SUMIF(CountDSDs,INDEX(CountUniqueDSDs,ROW(N1)),O$2:O$48)</f>
        <v>0</v>
      </c>
      <c r="BF2">
        <f t="shared" ref="BF2:BF36" si="19">SUMIF(CountDSDs,INDEX(CountUniqueDSDs,ROW(O1)),P$2:P$48)</f>
        <v>0</v>
      </c>
      <c r="BG2">
        <f t="shared" ref="BG2:BG36" si="20">SUMIF(CountDSDs,INDEX(CountUniqueDSDs,ROW(P1)),Q$2:Q$48)</f>
        <v>0</v>
      </c>
      <c r="BH2">
        <f t="shared" ref="BH2:BH36" si="21">SUMIF(CountDSDs,INDEX(CountUniqueDSDs,ROW(Q1)),R$2:R$48)</f>
        <v>0</v>
      </c>
      <c r="BI2">
        <f t="shared" ref="BI2:BI36" si="22">SUMIF(CountDSDs,INDEX(CountUniqueDSDs,ROW(R1)),S$2:S$48)</f>
        <v>0</v>
      </c>
      <c r="BJ2">
        <f t="shared" ref="BJ2:BJ36" si="23">SUMIF(CountDSDs,INDEX(CountUniqueDSDs,ROW(S1)),T$2:T$48)</f>
        <v>0</v>
      </c>
      <c r="BK2">
        <f t="shared" ref="BK2:BK36" si="24">SUMIF(CountDSDs,INDEX(CountUniqueDSDs,ROW(T1)),U$2:U$48)</f>
        <v>0</v>
      </c>
      <c r="BL2">
        <f t="shared" ref="BL2:BL36" si="25">SUMIF(CountDSDs,INDEX(CountUniqueDSDs,ROW(U1)),V$2:V$48)</f>
        <v>0</v>
      </c>
      <c r="BM2">
        <f t="shared" ref="BM2:BM36" si="26">SUMIF(CountDSDs,INDEX(CountUniqueDSDs,ROW(V1)),W$2:W$48)</f>
        <v>0</v>
      </c>
      <c r="BN2">
        <f t="shared" ref="BN2:BN36" si="27">SUMIF(CountDSDs,INDEX(CountUniqueDSDs,ROW(W1)),X$2:X$48)</f>
        <v>0</v>
      </c>
      <c r="BO2">
        <f t="shared" ref="BO2:BO36" si="28">SUMIF(CountDSDs,INDEX(CountUniqueDSDs,ROW(X1)),Y$2:Y$48)</f>
        <v>0</v>
      </c>
      <c r="BP2">
        <f t="shared" ref="BP2:BP36" si="29">SUMIF(CountDSDs,INDEX(CountUniqueDSDs,ROW(Y1)),Z$2:Z$48)</f>
        <v>0</v>
      </c>
      <c r="BQ2">
        <f t="shared" ref="BQ2:BQ36" si="30">SUMIF(CountDSDs,INDEX(CountUniqueDSDs,ROW(Z1)),AA$2:AA$48)</f>
        <v>0</v>
      </c>
      <c r="BR2">
        <f t="shared" ref="BR2:BR36" si="31">SUMIF(CountDSDs,INDEX(CountUniqueDSDs,ROW(AA1)),AB$2:AB$48)</f>
        <v>0</v>
      </c>
      <c r="BS2">
        <f t="shared" ref="BS2:BS36" si="32">SUMIF(CountDSDs,INDEX(CountUniqueDSDs,ROW(AB1)),AC$2:AC$48)</f>
        <v>0</v>
      </c>
      <c r="BT2">
        <f t="shared" ref="BT2:BT36" si="33">SUMIF(CountDSDs,INDEX(CountUniqueDSDs,ROW(AC1)),AD$2:AD$48)</f>
        <v>0</v>
      </c>
      <c r="BU2">
        <f t="shared" ref="BU2:BU36" si="34">SUMIF(CountDSDs,INDEX(CountUniqueDSDs,ROW(AD1)),AE$2:AE$48)</f>
        <v>0</v>
      </c>
      <c r="BV2">
        <f t="shared" ref="BV2:BV36" si="35">SUMIF(CountDSDs,INDEX(CountUniqueDSDs,ROW(AE1)),AF$2:AF$48)</f>
        <v>0</v>
      </c>
      <c r="BW2">
        <f t="shared" ref="BW2:BW36" si="36">SUMIF(CountDSDs,INDEX(CountUniqueDSDs,ROW(AF1)),AG$2:AG$48)</f>
        <v>0</v>
      </c>
      <c r="BX2">
        <f t="shared" ref="BX2:BX36" si="37">SUMIF(CountDSDs,INDEX(CountUniqueDSDs,ROW(AG1)),AH$2:AH$48)</f>
        <v>0</v>
      </c>
      <c r="BY2">
        <f t="shared" ref="BY2:BY36" si="38">SUMIF(CountDSDs,INDEX(CountUniqueDSDs,ROW(AH1)),AI$2:AI$48)</f>
        <v>0</v>
      </c>
      <c r="BZ2">
        <f t="shared" ref="BZ2:BZ36" si="39">SUMIF(CountDSDs,INDEX(CountUniqueDSDs,ROW(AI1)),AJ$2:AJ$48)</f>
        <v>0</v>
      </c>
      <c r="CA2">
        <f t="shared" ref="CA2:CA36" si="40">SUMIF(CountDSDs,INDEX(CountUniqueDSDs,ROW(AJ1)),AK$2:AK$48)</f>
        <v>0</v>
      </c>
      <c r="CB2">
        <f t="shared" ref="CB2:CB36" si="41">SUMIF(CountDSDs,INDEX(CountUniqueDSDs,ROW(AK1)),AL$2:AL$48)</f>
        <v>0</v>
      </c>
      <c r="CC2">
        <f t="shared" ref="CC2:CC36" ca="1" si="42">COUNTIF(OFFSET(FIRSTROW,$AP2,0),"&gt;0")</f>
        <v>0</v>
      </c>
    </row>
    <row r="3" spans="1:81" ht="18.75" x14ac:dyDescent="0.2">
      <c r="A3">
        <f t="shared" si="0"/>
        <v>0</v>
      </c>
      <c r="B3">
        <f t="shared" si="1"/>
        <v>0</v>
      </c>
      <c r="C3">
        <f t="shared" si="1"/>
        <v>0</v>
      </c>
      <c r="D3">
        <f t="shared" si="1"/>
        <v>0</v>
      </c>
      <c r="E3">
        <f t="shared" si="1"/>
        <v>0</v>
      </c>
      <c r="F3">
        <f t="shared" si="1"/>
        <v>0</v>
      </c>
      <c r="G3">
        <f t="shared" si="1"/>
        <v>0</v>
      </c>
      <c r="H3" t="str">
        <f t="shared" si="1"/>
        <v/>
      </c>
      <c r="I3" t="str">
        <f t="shared" si="1"/>
        <v/>
      </c>
      <c r="J3" t="str">
        <f t="shared" si="1"/>
        <v/>
      </c>
      <c r="K3" t="str">
        <f t="shared" si="1"/>
        <v/>
      </c>
      <c r="L3" t="str">
        <f t="shared" si="2"/>
        <v/>
      </c>
      <c r="M3" t="str">
        <f t="shared" si="2"/>
        <v/>
      </c>
      <c r="N3" t="str">
        <f t="shared" si="2"/>
        <v/>
      </c>
      <c r="O3" t="str">
        <f t="shared" si="2"/>
        <v/>
      </c>
      <c r="P3" t="str">
        <f t="shared" si="2"/>
        <v/>
      </c>
      <c r="Q3" t="str">
        <f t="shared" si="2"/>
        <v/>
      </c>
      <c r="R3" t="str">
        <f t="shared" si="2"/>
        <v/>
      </c>
      <c r="S3" t="str">
        <f t="shared" si="2"/>
        <v/>
      </c>
      <c r="T3" t="str">
        <f t="shared" si="2"/>
        <v/>
      </c>
      <c r="U3" t="str">
        <f t="shared" si="2"/>
        <v/>
      </c>
      <c r="V3" t="str">
        <f t="shared" si="3"/>
        <v/>
      </c>
      <c r="W3" t="str">
        <f t="shared" si="3"/>
        <v/>
      </c>
      <c r="X3" t="str">
        <f t="shared" si="3"/>
        <v/>
      </c>
      <c r="Y3" t="str">
        <f t="shared" si="3"/>
        <v/>
      </c>
      <c r="Z3" t="str">
        <f t="shared" si="3"/>
        <v/>
      </c>
      <c r="AA3" t="str">
        <f t="shared" si="3"/>
        <v/>
      </c>
      <c r="AB3" t="str">
        <f t="shared" si="3"/>
        <v/>
      </c>
      <c r="AC3" t="str">
        <f t="shared" si="3"/>
        <v/>
      </c>
      <c r="AD3" t="str">
        <f t="shared" si="3"/>
        <v/>
      </c>
      <c r="AE3" t="str">
        <f t="shared" si="3"/>
        <v/>
      </c>
      <c r="AF3" t="str">
        <f t="shared" si="4"/>
        <v/>
      </c>
      <c r="AG3" t="str">
        <f t="shared" si="4"/>
        <v/>
      </c>
      <c r="AH3" t="str">
        <f t="shared" si="4"/>
        <v/>
      </c>
      <c r="AI3" t="str">
        <f t="shared" si="4"/>
        <v/>
      </c>
      <c r="AJ3" t="str">
        <f t="shared" si="4"/>
        <v/>
      </c>
      <c r="AK3" t="str">
        <f t="shared" si="4"/>
        <v/>
      </c>
      <c r="AM3" s="22">
        <f t="shared" ref="AM3:AM48" si="43">COUNTIF(B3:AL3,1)</f>
        <v>0</v>
      </c>
      <c r="AP3">
        <v>1</v>
      </c>
      <c r="AQ3" s="38" t="str">
        <f>IFERROR(LOOKUP(2,1/(COUNTIF($AQ$1:AQ2,CountDSDs)=0),CountDSDs),"")</f>
        <v/>
      </c>
      <c r="AR3">
        <f t="shared" si="5"/>
        <v>0</v>
      </c>
      <c r="AS3">
        <f t="shared" si="6"/>
        <v>0</v>
      </c>
      <c r="AT3">
        <f t="shared" si="7"/>
        <v>0</v>
      </c>
      <c r="AU3">
        <f t="shared" si="8"/>
        <v>0</v>
      </c>
      <c r="AV3">
        <f t="shared" si="9"/>
        <v>0</v>
      </c>
      <c r="AW3">
        <f t="shared" si="10"/>
        <v>0</v>
      </c>
      <c r="AX3">
        <f t="shared" si="11"/>
        <v>0</v>
      </c>
      <c r="AY3">
        <f t="shared" si="12"/>
        <v>0</v>
      </c>
      <c r="AZ3">
        <f t="shared" si="13"/>
        <v>0</v>
      </c>
      <c r="BA3">
        <f t="shared" si="14"/>
        <v>0</v>
      </c>
      <c r="BB3">
        <f t="shared" si="15"/>
        <v>0</v>
      </c>
      <c r="BC3">
        <f t="shared" si="16"/>
        <v>0</v>
      </c>
      <c r="BD3">
        <f t="shared" si="17"/>
        <v>0</v>
      </c>
      <c r="BE3">
        <f t="shared" si="18"/>
        <v>0</v>
      </c>
      <c r="BF3">
        <f t="shared" si="19"/>
        <v>0</v>
      </c>
      <c r="BG3">
        <f t="shared" si="20"/>
        <v>0</v>
      </c>
      <c r="BH3">
        <f t="shared" si="21"/>
        <v>0</v>
      </c>
      <c r="BI3">
        <f t="shared" si="22"/>
        <v>0</v>
      </c>
      <c r="BJ3">
        <f t="shared" si="23"/>
        <v>0</v>
      </c>
      <c r="BK3">
        <f t="shared" si="24"/>
        <v>0</v>
      </c>
      <c r="BL3">
        <f t="shared" si="25"/>
        <v>0</v>
      </c>
      <c r="BM3">
        <f t="shared" si="26"/>
        <v>0</v>
      </c>
      <c r="BN3">
        <f t="shared" si="27"/>
        <v>0</v>
      </c>
      <c r="BO3">
        <f t="shared" si="28"/>
        <v>0</v>
      </c>
      <c r="BP3">
        <f t="shared" si="29"/>
        <v>0</v>
      </c>
      <c r="BQ3">
        <f t="shared" si="30"/>
        <v>0</v>
      </c>
      <c r="BR3">
        <f t="shared" si="31"/>
        <v>0</v>
      </c>
      <c r="BS3">
        <f t="shared" si="32"/>
        <v>0</v>
      </c>
      <c r="BT3">
        <f t="shared" si="33"/>
        <v>0</v>
      </c>
      <c r="BU3">
        <f t="shared" si="34"/>
        <v>0</v>
      </c>
      <c r="BV3">
        <f t="shared" si="35"/>
        <v>0</v>
      </c>
      <c r="BW3">
        <f t="shared" si="36"/>
        <v>0</v>
      </c>
      <c r="BX3">
        <f t="shared" si="37"/>
        <v>0</v>
      </c>
      <c r="BY3">
        <f t="shared" si="38"/>
        <v>0</v>
      </c>
      <c r="BZ3">
        <f t="shared" si="39"/>
        <v>0</v>
      </c>
      <c r="CA3">
        <f t="shared" si="40"/>
        <v>0</v>
      </c>
      <c r="CB3">
        <f t="shared" si="41"/>
        <v>0</v>
      </c>
      <c r="CC3">
        <f t="shared" ca="1" si="42"/>
        <v>0</v>
      </c>
    </row>
    <row r="4" spans="1:81" ht="18.75" x14ac:dyDescent="0.2">
      <c r="A4">
        <f t="shared" si="0"/>
        <v>0</v>
      </c>
      <c r="B4">
        <f t="shared" si="1"/>
        <v>0</v>
      </c>
      <c r="C4">
        <f t="shared" si="1"/>
        <v>0</v>
      </c>
      <c r="D4">
        <f t="shared" si="1"/>
        <v>0</v>
      </c>
      <c r="E4">
        <f t="shared" si="1"/>
        <v>0</v>
      </c>
      <c r="F4">
        <f t="shared" si="1"/>
        <v>0</v>
      </c>
      <c r="G4">
        <f t="shared" si="1"/>
        <v>0</v>
      </c>
      <c r="H4" t="str">
        <f t="shared" si="1"/>
        <v/>
      </c>
      <c r="I4" t="str">
        <f t="shared" si="1"/>
        <v/>
      </c>
      <c r="J4" t="str">
        <f t="shared" si="1"/>
        <v/>
      </c>
      <c r="K4" t="str">
        <f t="shared" si="1"/>
        <v/>
      </c>
      <c r="L4" t="str">
        <f t="shared" si="2"/>
        <v/>
      </c>
      <c r="M4" t="str">
        <f t="shared" si="2"/>
        <v/>
      </c>
      <c r="N4" t="str">
        <f t="shared" si="2"/>
        <v/>
      </c>
      <c r="O4" t="str">
        <f t="shared" si="2"/>
        <v/>
      </c>
      <c r="P4" t="str">
        <f t="shared" si="2"/>
        <v/>
      </c>
      <c r="Q4" t="str">
        <f t="shared" si="2"/>
        <v/>
      </c>
      <c r="R4" t="str">
        <f t="shared" si="2"/>
        <v/>
      </c>
      <c r="S4" t="str">
        <f t="shared" si="2"/>
        <v/>
      </c>
      <c r="T4" t="str">
        <f t="shared" si="2"/>
        <v/>
      </c>
      <c r="U4" t="str">
        <f t="shared" si="2"/>
        <v/>
      </c>
      <c r="V4" t="str">
        <f t="shared" si="3"/>
        <v/>
      </c>
      <c r="W4" t="str">
        <f t="shared" si="3"/>
        <v/>
      </c>
      <c r="X4" t="str">
        <f t="shared" si="3"/>
        <v/>
      </c>
      <c r="Y4" t="str">
        <f t="shared" si="3"/>
        <v/>
      </c>
      <c r="Z4" t="str">
        <f t="shared" si="3"/>
        <v/>
      </c>
      <c r="AA4" t="str">
        <f t="shared" si="3"/>
        <v/>
      </c>
      <c r="AB4" t="str">
        <f t="shared" si="3"/>
        <v/>
      </c>
      <c r="AC4" t="str">
        <f t="shared" si="3"/>
        <v/>
      </c>
      <c r="AD4" t="str">
        <f t="shared" si="3"/>
        <v/>
      </c>
      <c r="AE4" t="str">
        <f t="shared" si="3"/>
        <v/>
      </c>
      <c r="AF4" t="str">
        <f t="shared" si="4"/>
        <v/>
      </c>
      <c r="AG4" t="str">
        <f t="shared" si="4"/>
        <v/>
      </c>
      <c r="AH4" t="str">
        <f t="shared" si="4"/>
        <v/>
      </c>
      <c r="AI4" t="str">
        <f t="shared" si="4"/>
        <v/>
      </c>
      <c r="AJ4" t="str">
        <f t="shared" si="4"/>
        <v/>
      </c>
      <c r="AK4" t="str">
        <f t="shared" si="4"/>
        <v/>
      </c>
      <c r="AM4" s="22">
        <f t="shared" si="43"/>
        <v>0</v>
      </c>
      <c r="AP4">
        <v>2</v>
      </c>
      <c r="AQ4" s="38" t="str">
        <f>IFERROR(LOOKUP(2,1/(COUNTIF($AQ$1:AQ3,CountDSDs)=0),CountDSDs),"")</f>
        <v/>
      </c>
      <c r="AR4">
        <f t="shared" si="5"/>
        <v>0</v>
      </c>
      <c r="AS4">
        <f t="shared" si="6"/>
        <v>0</v>
      </c>
      <c r="AT4">
        <f t="shared" si="7"/>
        <v>0</v>
      </c>
      <c r="AU4">
        <f t="shared" si="8"/>
        <v>0</v>
      </c>
      <c r="AV4">
        <f t="shared" si="9"/>
        <v>0</v>
      </c>
      <c r="AW4">
        <f t="shared" si="10"/>
        <v>0</v>
      </c>
      <c r="AX4">
        <f t="shared" si="11"/>
        <v>0</v>
      </c>
      <c r="AY4">
        <f t="shared" si="12"/>
        <v>0</v>
      </c>
      <c r="AZ4">
        <f t="shared" si="13"/>
        <v>0</v>
      </c>
      <c r="BA4">
        <f t="shared" si="14"/>
        <v>0</v>
      </c>
      <c r="BB4">
        <f t="shared" si="15"/>
        <v>0</v>
      </c>
      <c r="BC4">
        <f t="shared" si="16"/>
        <v>0</v>
      </c>
      <c r="BD4">
        <f t="shared" si="17"/>
        <v>0</v>
      </c>
      <c r="BE4">
        <f t="shared" si="18"/>
        <v>0</v>
      </c>
      <c r="BF4">
        <f t="shared" si="19"/>
        <v>0</v>
      </c>
      <c r="BG4">
        <f t="shared" si="20"/>
        <v>0</v>
      </c>
      <c r="BH4">
        <f t="shared" si="21"/>
        <v>0</v>
      </c>
      <c r="BI4">
        <f t="shared" si="22"/>
        <v>0</v>
      </c>
      <c r="BJ4">
        <f t="shared" si="23"/>
        <v>0</v>
      </c>
      <c r="BK4">
        <f t="shared" si="24"/>
        <v>0</v>
      </c>
      <c r="BL4">
        <f t="shared" si="25"/>
        <v>0</v>
      </c>
      <c r="BM4">
        <f t="shared" si="26"/>
        <v>0</v>
      </c>
      <c r="BN4">
        <f t="shared" si="27"/>
        <v>0</v>
      </c>
      <c r="BO4">
        <f t="shared" si="28"/>
        <v>0</v>
      </c>
      <c r="BP4">
        <f t="shared" si="29"/>
        <v>0</v>
      </c>
      <c r="BQ4">
        <f t="shared" si="30"/>
        <v>0</v>
      </c>
      <c r="BR4">
        <f t="shared" si="31"/>
        <v>0</v>
      </c>
      <c r="BS4">
        <f t="shared" si="32"/>
        <v>0</v>
      </c>
      <c r="BT4">
        <f t="shared" si="33"/>
        <v>0</v>
      </c>
      <c r="BU4">
        <f t="shared" si="34"/>
        <v>0</v>
      </c>
      <c r="BV4">
        <f t="shared" si="35"/>
        <v>0</v>
      </c>
      <c r="BW4">
        <f t="shared" si="36"/>
        <v>0</v>
      </c>
      <c r="BX4">
        <f t="shared" si="37"/>
        <v>0</v>
      </c>
      <c r="BY4">
        <f t="shared" si="38"/>
        <v>0</v>
      </c>
      <c r="BZ4">
        <f t="shared" si="39"/>
        <v>0</v>
      </c>
      <c r="CA4">
        <f t="shared" si="40"/>
        <v>0</v>
      </c>
      <c r="CB4">
        <f t="shared" si="41"/>
        <v>0</v>
      </c>
      <c r="CC4">
        <f t="shared" ca="1" si="42"/>
        <v>0</v>
      </c>
    </row>
    <row r="5" spans="1:81" ht="18.75" x14ac:dyDescent="0.2">
      <c r="A5">
        <f t="shared" si="0"/>
        <v>0</v>
      </c>
      <c r="B5">
        <f t="shared" si="1"/>
        <v>0</v>
      </c>
      <c r="C5">
        <f t="shared" si="1"/>
        <v>0</v>
      </c>
      <c r="D5">
        <f t="shared" si="1"/>
        <v>0</v>
      </c>
      <c r="E5">
        <f t="shared" si="1"/>
        <v>0</v>
      </c>
      <c r="F5">
        <f t="shared" si="1"/>
        <v>0</v>
      </c>
      <c r="G5">
        <f t="shared" si="1"/>
        <v>0</v>
      </c>
      <c r="H5" t="str">
        <f t="shared" si="1"/>
        <v/>
      </c>
      <c r="I5" t="str">
        <f t="shared" si="1"/>
        <v/>
      </c>
      <c r="J5" t="str">
        <f t="shared" si="1"/>
        <v/>
      </c>
      <c r="K5" t="str">
        <f t="shared" si="1"/>
        <v/>
      </c>
      <c r="L5" t="str">
        <f t="shared" si="2"/>
        <v/>
      </c>
      <c r="M5" t="str">
        <f t="shared" si="2"/>
        <v/>
      </c>
      <c r="N5" t="str">
        <f t="shared" si="2"/>
        <v/>
      </c>
      <c r="O5" t="str">
        <f t="shared" si="2"/>
        <v/>
      </c>
      <c r="P5" t="str">
        <f t="shared" si="2"/>
        <v/>
      </c>
      <c r="Q5" t="str">
        <f t="shared" si="2"/>
        <v/>
      </c>
      <c r="R5" t="str">
        <f t="shared" si="2"/>
        <v/>
      </c>
      <c r="S5" t="str">
        <f t="shared" si="2"/>
        <v/>
      </c>
      <c r="T5" t="str">
        <f t="shared" si="2"/>
        <v/>
      </c>
      <c r="U5" t="str">
        <f t="shared" si="2"/>
        <v/>
      </c>
      <c r="V5" t="str">
        <f t="shared" si="3"/>
        <v/>
      </c>
      <c r="W5" t="str">
        <f t="shared" si="3"/>
        <v/>
      </c>
      <c r="X5" t="str">
        <f t="shared" si="3"/>
        <v/>
      </c>
      <c r="Y5" t="str">
        <f t="shared" si="3"/>
        <v/>
      </c>
      <c r="Z5" t="str">
        <f t="shared" si="3"/>
        <v/>
      </c>
      <c r="AA5" t="str">
        <f t="shared" si="3"/>
        <v/>
      </c>
      <c r="AB5" t="str">
        <f t="shared" si="3"/>
        <v/>
      </c>
      <c r="AC5" t="str">
        <f t="shared" si="3"/>
        <v/>
      </c>
      <c r="AD5" t="str">
        <f t="shared" si="3"/>
        <v/>
      </c>
      <c r="AE5" t="str">
        <f t="shared" si="3"/>
        <v/>
      </c>
      <c r="AF5" t="str">
        <f t="shared" si="4"/>
        <v/>
      </c>
      <c r="AG5" t="str">
        <f t="shared" si="4"/>
        <v/>
      </c>
      <c r="AH5" t="str">
        <f t="shared" si="4"/>
        <v/>
      </c>
      <c r="AI5" t="str">
        <f t="shared" si="4"/>
        <v/>
      </c>
      <c r="AJ5" t="str">
        <f t="shared" si="4"/>
        <v/>
      </c>
      <c r="AK5" t="str">
        <f t="shared" si="4"/>
        <v/>
      </c>
      <c r="AM5" s="22">
        <f t="shared" si="43"/>
        <v>0</v>
      </c>
      <c r="AP5">
        <v>3</v>
      </c>
      <c r="AQ5" s="38" t="str">
        <f>IFERROR(LOOKUP(2,1/(COUNTIF($AQ$1:AQ4,CountDSDs)=0),CountDSDs),"")</f>
        <v/>
      </c>
      <c r="AR5">
        <f t="shared" si="5"/>
        <v>0</v>
      </c>
      <c r="AS5">
        <f t="shared" si="6"/>
        <v>0</v>
      </c>
      <c r="AT5">
        <f t="shared" si="7"/>
        <v>0</v>
      </c>
      <c r="AU5">
        <f t="shared" si="8"/>
        <v>0</v>
      </c>
      <c r="AV5">
        <f t="shared" si="9"/>
        <v>0</v>
      </c>
      <c r="AW5">
        <f t="shared" si="10"/>
        <v>0</v>
      </c>
      <c r="AX5">
        <f t="shared" si="11"/>
        <v>0</v>
      </c>
      <c r="AY5">
        <f t="shared" si="12"/>
        <v>0</v>
      </c>
      <c r="AZ5">
        <f t="shared" si="13"/>
        <v>0</v>
      </c>
      <c r="BA5">
        <f t="shared" si="14"/>
        <v>0</v>
      </c>
      <c r="BB5">
        <f t="shared" si="15"/>
        <v>0</v>
      </c>
      <c r="BC5">
        <f t="shared" si="16"/>
        <v>0</v>
      </c>
      <c r="BD5">
        <f t="shared" si="17"/>
        <v>0</v>
      </c>
      <c r="BE5">
        <f t="shared" si="18"/>
        <v>0</v>
      </c>
      <c r="BF5">
        <f t="shared" si="19"/>
        <v>0</v>
      </c>
      <c r="BG5">
        <f t="shared" si="20"/>
        <v>0</v>
      </c>
      <c r="BH5">
        <f t="shared" si="21"/>
        <v>0</v>
      </c>
      <c r="BI5">
        <f t="shared" si="22"/>
        <v>0</v>
      </c>
      <c r="BJ5">
        <f t="shared" si="23"/>
        <v>0</v>
      </c>
      <c r="BK5">
        <f t="shared" si="24"/>
        <v>0</v>
      </c>
      <c r="BL5">
        <f t="shared" si="25"/>
        <v>0</v>
      </c>
      <c r="BM5">
        <f t="shared" si="26"/>
        <v>0</v>
      </c>
      <c r="BN5">
        <f t="shared" si="27"/>
        <v>0</v>
      </c>
      <c r="BO5">
        <f t="shared" si="28"/>
        <v>0</v>
      </c>
      <c r="BP5">
        <f t="shared" si="29"/>
        <v>0</v>
      </c>
      <c r="BQ5">
        <f t="shared" si="30"/>
        <v>0</v>
      </c>
      <c r="BR5">
        <f t="shared" si="31"/>
        <v>0</v>
      </c>
      <c r="BS5">
        <f t="shared" si="32"/>
        <v>0</v>
      </c>
      <c r="BT5">
        <f t="shared" si="33"/>
        <v>0</v>
      </c>
      <c r="BU5">
        <f t="shared" si="34"/>
        <v>0</v>
      </c>
      <c r="BV5">
        <f t="shared" si="35"/>
        <v>0</v>
      </c>
      <c r="BW5">
        <f t="shared" si="36"/>
        <v>0</v>
      </c>
      <c r="BX5">
        <f t="shared" si="37"/>
        <v>0</v>
      </c>
      <c r="BY5">
        <f t="shared" si="38"/>
        <v>0</v>
      </c>
      <c r="BZ5">
        <f t="shared" si="39"/>
        <v>0</v>
      </c>
      <c r="CA5">
        <f t="shared" si="40"/>
        <v>0</v>
      </c>
      <c r="CB5">
        <f t="shared" si="41"/>
        <v>0</v>
      </c>
      <c r="CC5">
        <f t="shared" ca="1" si="42"/>
        <v>0</v>
      </c>
    </row>
    <row r="6" spans="1:81" ht="18.75" x14ac:dyDescent="0.2">
      <c r="A6">
        <f t="shared" si="0"/>
        <v>0</v>
      </c>
      <c r="B6">
        <f t="shared" si="1"/>
        <v>0</v>
      </c>
      <c r="C6">
        <f t="shared" si="1"/>
        <v>0</v>
      </c>
      <c r="D6">
        <f t="shared" si="1"/>
        <v>0</v>
      </c>
      <c r="E6">
        <f t="shared" si="1"/>
        <v>0</v>
      </c>
      <c r="F6">
        <f t="shared" si="1"/>
        <v>0</v>
      </c>
      <c r="G6">
        <f t="shared" si="1"/>
        <v>0</v>
      </c>
      <c r="H6" t="str">
        <f t="shared" si="1"/>
        <v/>
      </c>
      <c r="I6" t="str">
        <f t="shared" si="1"/>
        <v/>
      </c>
      <c r="J6" t="str">
        <f t="shared" si="1"/>
        <v/>
      </c>
      <c r="K6" t="str">
        <f t="shared" si="1"/>
        <v/>
      </c>
      <c r="L6" t="str">
        <f t="shared" si="2"/>
        <v/>
      </c>
      <c r="M6" t="str">
        <f t="shared" si="2"/>
        <v/>
      </c>
      <c r="N6" t="str">
        <f t="shared" si="2"/>
        <v/>
      </c>
      <c r="O6" t="str">
        <f t="shared" si="2"/>
        <v/>
      </c>
      <c r="P6" t="str">
        <f t="shared" si="2"/>
        <v/>
      </c>
      <c r="Q6" t="str">
        <f t="shared" si="2"/>
        <v/>
      </c>
      <c r="R6" t="str">
        <f t="shared" si="2"/>
        <v/>
      </c>
      <c r="S6" t="str">
        <f t="shared" si="2"/>
        <v/>
      </c>
      <c r="T6" t="str">
        <f t="shared" si="2"/>
        <v/>
      </c>
      <c r="U6" t="str">
        <f t="shared" si="2"/>
        <v/>
      </c>
      <c r="V6" t="str">
        <f t="shared" si="3"/>
        <v/>
      </c>
      <c r="W6" t="str">
        <f t="shared" si="3"/>
        <v/>
      </c>
      <c r="X6" t="str">
        <f t="shared" si="3"/>
        <v/>
      </c>
      <c r="Y6" t="str">
        <f t="shared" si="3"/>
        <v/>
      </c>
      <c r="Z6" t="str">
        <f t="shared" si="3"/>
        <v/>
      </c>
      <c r="AA6" t="str">
        <f t="shared" si="3"/>
        <v/>
      </c>
      <c r="AB6" t="str">
        <f t="shared" si="3"/>
        <v/>
      </c>
      <c r="AC6" t="str">
        <f t="shared" si="3"/>
        <v/>
      </c>
      <c r="AD6" t="str">
        <f t="shared" si="3"/>
        <v/>
      </c>
      <c r="AE6" t="str">
        <f t="shared" si="3"/>
        <v/>
      </c>
      <c r="AF6" t="str">
        <f t="shared" si="4"/>
        <v/>
      </c>
      <c r="AG6" t="str">
        <f t="shared" si="4"/>
        <v/>
      </c>
      <c r="AH6" t="str">
        <f t="shared" si="4"/>
        <v/>
      </c>
      <c r="AI6" t="str">
        <f t="shared" si="4"/>
        <v/>
      </c>
      <c r="AJ6" t="str">
        <f t="shared" si="4"/>
        <v/>
      </c>
      <c r="AK6" t="str">
        <f t="shared" si="4"/>
        <v/>
      </c>
      <c r="AM6" s="22">
        <f t="shared" si="43"/>
        <v>0</v>
      </c>
      <c r="AP6">
        <v>4</v>
      </c>
      <c r="AQ6" s="38" t="str">
        <f>IFERROR(LOOKUP(2,1/(COUNTIF($AQ$1:AQ5,CountDSDs)=0),CountDSDs),"")</f>
        <v/>
      </c>
      <c r="AR6">
        <f t="shared" si="5"/>
        <v>0</v>
      </c>
      <c r="AS6">
        <f t="shared" si="6"/>
        <v>0</v>
      </c>
      <c r="AT6">
        <f t="shared" si="7"/>
        <v>0</v>
      </c>
      <c r="AU6">
        <f t="shared" si="8"/>
        <v>0</v>
      </c>
      <c r="AV6">
        <f t="shared" si="9"/>
        <v>0</v>
      </c>
      <c r="AW6">
        <f t="shared" si="10"/>
        <v>0</v>
      </c>
      <c r="AX6">
        <f t="shared" si="11"/>
        <v>0</v>
      </c>
      <c r="AY6">
        <f t="shared" si="12"/>
        <v>0</v>
      </c>
      <c r="AZ6">
        <f t="shared" si="13"/>
        <v>0</v>
      </c>
      <c r="BA6">
        <f t="shared" si="14"/>
        <v>0</v>
      </c>
      <c r="BB6">
        <f t="shared" si="15"/>
        <v>0</v>
      </c>
      <c r="BC6">
        <f t="shared" si="16"/>
        <v>0</v>
      </c>
      <c r="BD6">
        <f t="shared" si="17"/>
        <v>0</v>
      </c>
      <c r="BE6">
        <f t="shared" si="18"/>
        <v>0</v>
      </c>
      <c r="BF6">
        <f t="shared" si="19"/>
        <v>0</v>
      </c>
      <c r="BG6">
        <f t="shared" si="20"/>
        <v>0</v>
      </c>
      <c r="BH6">
        <f t="shared" si="21"/>
        <v>0</v>
      </c>
      <c r="BI6">
        <f t="shared" si="22"/>
        <v>0</v>
      </c>
      <c r="BJ6">
        <f t="shared" si="23"/>
        <v>0</v>
      </c>
      <c r="BK6">
        <f t="shared" si="24"/>
        <v>0</v>
      </c>
      <c r="BL6">
        <f t="shared" si="25"/>
        <v>0</v>
      </c>
      <c r="BM6">
        <f t="shared" si="26"/>
        <v>0</v>
      </c>
      <c r="BN6">
        <f t="shared" si="27"/>
        <v>0</v>
      </c>
      <c r="BO6">
        <f t="shared" si="28"/>
        <v>0</v>
      </c>
      <c r="BP6">
        <f t="shared" si="29"/>
        <v>0</v>
      </c>
      <c r="BQ6">
        <f t="shared" si="30"/>
        <v>0</v>
      </c>
      <c r="BR6">
        <f t="shared" si="31"/>
        <v>0</v>
      </c>
      <c r="BS6">
        <f t="shared" si="32"/>
        <v>0</v>
      </c>
      <c r="BT6">
        <f t="shared" si="33"/>
        <v>0</v>
      </c>
      <c r="BU6">
        <f t="shared" si="34"/>
        <v>0</v>
      </c>
      <c r="BV6">
        <f t="shared" si="35"/>
        <v>0</v>
      </c>
      <c r="BW6">
        <f t="shared" si="36"/>
        <v>0</v>
      </c>
      <c r="BX6">
        <f t="shared" si="37"/>
        <v>0</v>
      </c>
      <c r="BY6">
        <f t="shared" si="38"/>
        <v>0</v>
      </c>
      <c r="BZ6">
        <f t="shared" si="39"/>
        <v>0</v>
      </c>
      <c r="CA6">
        <f t="shared" si="40"/>
        <v>0</v>
      </c>
      <c r="CB6">
        <f t="shared" si="41"/>
        <v>0</v>
      </c>
      <c r="CC6">
        <f t="shared" ca="1" si="42"/>
        <v>0</v>
      </c>
    </row>
    <row r="7" spans="1:81" ht="18.75" x14ac:dyDescent="0.2">
      <c r="A7">
        <f t="shared" si="0"/>
        <v>0</v>
      </c>
      <c r="B7">
        <f t="shared" si="1"/>
        <v>0</v>
      </c>
      <c r="C7">
        <f t="shared" si="1"/>
        <v>0</v>
      </c>
      <c r="D7">
        <f t="shared" si="1"/>
        <v>0</v>
      </c>
      <c r="E7">
        <f t="shared" si="1"/>
        <v>0</v>
      </c>
      <c r="F7">
        <f t="shared" si="1"/>
        <v>0</v>
      </c>
      <c r="G7">
        <f t="shared" si="1"/>
        <v>0</v>
      </c>
      <c r="H7" t="str">
        <f t="shared" si="1"/>
        <v/>
      </c>
      <c r="I7" t="str">
        <f t="shared" si="1"/>
        <v/>
      </c>
      <c r="J7" t="str">
        <f t="shared" si="1"/>
        <v/>
      </c>
      <c r="K7" t="str">
        <f t="shared" si="1"/>
        <v/>
      </c>
      <c r="L7" t="str">
        <f t="shared" si="2"/>
        <v/>
      </c>
      <c r="M7" t="str">
        <f t="shared" si="2"/>
        <v/>
      </c>
      <c r="N7" t="str">
        <f t="shared" si="2"/>
        <v/>
      </c>
      <c r="O7" t="str">
        <f t="shared" si="2"/>
        <v/>
      </c>
      <c r="P7" t="str">
        <f t="shared" si="2"/>
        <v/>
      </c>
      <c r="Q7" t="str">
        <f t="shared" si="2"/>
        <v/>
      </c>
      <c r="R7" t="str">
        <f t="shared" si="2"/>
        <v/>
      </c>
      <c r="S7" t="str">
        <f t="shared" si="2"/>
        <v/>
      </c>
      <c r="T7" t="str">
        <f t="shared" si="2"/>
        <v/>
      </c>
      <c r="U7" t="str">
        <f t="shared" si="2"/>
        <v/>
      </c>
      <c r="V7" t="str">
        <f t="shared" si="3"/>
        <v/>
      </c>
      <c r="W7" t="str">
        <f t="shared" si="3"/>
        <v/>
      </c>
      <c r="X7" t="str">
        <f t="shared" si="3"/>
        <v/>
      </c>
      <c r="Y7" t="str">
        <f t="shared" si="3"/>
        <v/>
      </c>
      <c r="Z7" t="str">
        <f t="shared" si="3"/>
        <v/>
      </c>
      <c r="AA7" t="str">
        <f t="shared" si="3"/>
        <v/>
      </c>
      <c r="AB7" t="str">
        <f t="shared" si="3"/>
        <v/>
      </c>
      <c r="AC7" t="str">
        <f t="shared" si="3"/>
        <v/>
      </c>
      <c r="AD7" t="str">
        <f t="shared" si="3"/>
        <v/>
      </c>
      <c r="AE7" t="str">
        <f t="shared" si="3"/>
        <v/>
      </c>
      <c r="AF7" t="str">
        <f t="shared" si="4"/>
        <v/>
      </c>
      <c r="AG7" t="str">
        <f t="shared" si="4"/>
        <v/>
      </c>
      <c r="AH7" t="str">
        <f t="shared" si="4"/>
        <v/>
      </c>
      <c r="AI7" t="str">
        <f t="shared" si="4"/>
        <v/>
      </c>
      <c r="AJ7" t="str">
        <f t="shared" si="4"/>
        <v/>
      </c>
      <c r="AK7" t="str">
        <f t="shared" si="4"/>
        <v/>
      </c>
      <c r="AM7" s="22">
        <f t="shared" si="43"/>
        <v>0</v>
      </c>
      <c r="AP7">
        <v>5</v>
      </c>
      <c r="AQ7" s="38" t="str">
        <f>IFERROR(LOOKUP(2,1/(COUNTIF($AQ$1:AQ6,CountDSDs)=0),CountDSDs),"")</f>
        <v/>
      </c>
      <c r="AR7">
        <f t="shared" si="5"/>
        <v>0</v>
      </c>
      <c r="AS7">
        <f t="shared" si="6"/>
        <v>0</v>
      </c>
      <c r="AT7">
        <f t="shared" si="7"/>
        <v>0</v>
      </c>
      <c r="AU7">
        <f t="shared" si="8"/>
        <v>0</v>
      </c>
      <c r="AV7">
        <f t="shared" si="9"/>
        <v>0</v>
      </c>
      <c r="AW7">
        <f t="shared" si="10"/>
        <v>0</v>
      </c>
      <c r="AX7">
        <f t="shared" si="11"/>
        <v>0</v>
      </c>
      <c r="AY7">
        <f t="shared" si="12"/>
        <v>0</v>
      </c>
      <c r="AZ7">
        <f t="shared" si="13"/>
        <v>0</v>
      </c>
      <c r="BA7">
        <f t="shared" si="14"/>
        <v>0</v>
      </c>
      <c r="BB7">
        <f t="shared" si="15"/>
        <v>0</v>
      </c>
      <c r="BC7">
        <f t="shared" si="16"/>
        <v>0</v>
      </c>
      <c r="BD7">
        <f t="shared" si="17"/>
        <v>0</v>
      </c>
      <c r="BE7">
        <f t="shared" si="18"/>
        <v>0</v>
      </c>
      <c r="BF7">
        <f t="shared" si="19"/>
        <v>0</v>
      </c>
      <c r="BG7">
        <f t="shared" si="20"/>
        <v>0</v>
      </c>
      <c r="BH7">
        <f t="shared" si="21"/>
        <v>0</v>
      </c>
      <c r="BI7">
        <f t="shared" si="22"/>
        <v>0</v>
      </c>
      <c r="BJ7">
        <f t="shared" si="23"/>
        <v>0</v>
      </c>
      <c r="BK7">
        <f t="shared" si="24"/>
        <v>0</v>
      </c>
      <c r="BL7">
        <f t="shared" si="25"/>
        <v>0</v>
      </c>
      <c r="BM7">
        <f t="shared" si="26"/>
        <v>0</v>
      </c>
      <c r="BN7">
        <f t="shared" si="27"/>
        <v>0</v>
      </c>
      <c r="BO7">
        <f t="shared" si="28"/>
        <v>0</v>
      </c>
      <c r="BP7">
        <f t="shared" si="29"/>
        <v>0</v>
      </c>
      <c r="BQ7">
        <f t="shared" si="30"/>
        <v>0</v>
      </c>
      <c r="BR7">
        <f t="shared" si="31"/>
        <v>0</v>
      </c>
      <c r="BS7">
        <f t="shared" si="32"/>
        <v>0</v>
      </c>
      <c r="BT7">
        <f t="shared" si="33"/>
        <v>0</v>
      </c>
      <c r="BU7">
        <f t="shared" si="34"/>
        <v>0</v>
      </c>
      <c r="BV7">
        <f t="shared" si="35"/>
        <v>0</v>
      </c>
      <c r="BW7">
        <f t="shared" si="36"/>
        <v>0</v>
      </c>
      <c r="BX7">
        <f t="shared" si="37"/>
        <v>0</v>
      </c>
      <c r="BY7">
        <f t="shared" si="38"/>
        <v>0</v>
      </c>
      <c r="BZ7">
        <f t="shared" si="39"/>
        <v>0</v>
      </c>
      <c r="CA7">
        <f t="shared" si="40"/>
        <v>0</v>
      </c>
      <c r="CB7">
        <f t="shared" si="41"/>
        <v>0</v>
      </c>
      <c r="CC7">
        <f t="shared" ca="1" si="42"/>
        <v>0</v>
      </c>
    </row>
    <row r="8" spans="1:81" ht="18.75" x14ac:dyDescent="0.2">
      <c r="A8">
        <f t="shared" si="0"/>
        <v>0</v>
      </c>
      <c r="B8">
        <f t="shared" si="1"/>
        <v>0</v>
      </c>
      <c r="C8">
        <f t="shared" si="1"/>
        <v>0</v>
      </c>
      <c r="D8">
        <f t="shared" si="1"/>
        <v>0</v>
      </c>
      <c r="E8">
        <f t="shared" si="1"/>
        <v>0</v>
      </c>
      <c r="F8">
        <f t="shared" si="1"/>
        <v>0</v>
      </c>
      <c r="G8">
        <f t="shared" si="1"/>
        <v>0</v>
      </c>
      <c r="H8" t="str">
        <f t="shared" si="1"/>
        <v/>
      </c>
      <c r="I8" t="str">
        <f t="shared" si="1"/>
        <v/>
      </c>
      <c r="J8" t="str">
        <f t="shared" si="1"/>
        <v/>
      </c>
      <c r="K8" t="str">
        <f t="shared" si="1"/>
        <v/>
      </c>
      <c r="L8" t="str">
        <f t="shared" si="2"/>
        <v/>
      </c>
      <c r="M8" t="str">
        <f t="shared" si="2"/>
        <v/>
      </c>
      <c r="N8" t="str">
        <f t="shared" si="2"/>
        <v/>
      </c>
      <c r="O8" t="str">
        <f t="shared" si="2"/>
        <v/>
      </c>
      <c r="P8" t="str">
        <f t="shared" si="2"/>
        <v/>
      </c>
      <c r="Q8" t="str">
        <f t="shared" si="2"/>
        <v/>
      </c>
      <c r="R8" t="str">
        <f t="shared" si="2"/>
        <v/>
      </c>
      <c r="S8" t="str">
        <f t="shared" si="2"/>
        <v/>
      </c>
      <c r="T8" t="str">
        <f t="shared" si="2"/>
        <v/>
      </c>
      <c r="U8" t="str">
        <f t="shared" si="2"/>
        <v/>
      </c>
      <c r="V8" t="str">
        <f t="shared" si="3"/>
        <v/>
      </c>
      <c r="W8" t="str">
        <f t="shared" si="3"/>
        <v/>
      </c>
      <c r="X8" t="str">
        <f t="shared" si="3"/>
        <v/>
      </c>
      <c r="Y8" t="str">
        <f t="shared" si="3"/>
        <v/>
      </c>
      <c r="Z8" t="str">
        <f t="shared" si="3"/>
        <v/>
      </c>
      <c r="AA8" t="str">
        <f t="shared" si="3"/>
        <v/>
      </c>
      <c r="AB8" t="str">
        <f t="shared" si="3"/>
        <v/>
      </c>
      <c r="AC8" t="str">
        <f t="shared" si="3"/>
        <v/>
      </c>
      <c r="AD8" t="str">
        <f t="shared" si="3"/>
        <v/>
      </c>
      <c r="AE8" t="str">
        <f t="shared" si="3"/>
        <v/>
      </c>
      <c r="AF8" t="str">
        <f t="shared" si="4"/>
        <v/>
      </c>
      <c r="AG8" t="str">
        <f t="shared" si="4"/>
        <v/>
      </c>
      <c r="AH8" t="str">
        <f t="shared" si="4"/>
        <v/>
      </c>
      <c r="AI8" t="str">
        <f t="shared" si="4"/>
        <v/>
      </c>
      <c r="AJ8" t="str">
        <f t="shared" si="4"/>
        <v/>
      </c>
      <c r="AK8" t="str">
        <f t="shared" si="4"/>
        <v/>
      </c>
      <c r="AM8" s="22">
        <f t="shared" si="43"/>
        <v>0</v>
      </c>
      <c r="AP8">
        <v>6</v>
      </c>
      <c r="AQ8" s="38" t="str">
        <f>IFERROR(LOOKUP(2,1/(COUNTIF($AQ$1:AQ7,CountDSDs)=0),CountDSDs),"")</f>
        <v/>
      </c>
      <c r="AR8">
        <f t="shared" si="5"/>
        <v>0</v>
      </c>
      <c r="AS8">
        <f t="shared" si="6"/>
        <v>0</v>
      </c>
      <c r="AT8">
        <f t="shared" si="7"/>
        <v>0</v>
      </c>
      <c r="AU8">
        <f t="shared" si="8"/>
        <v>0</v>
      </c>
      <c r="AV8">
        <f t="shared" si="9"/>
        <v>0</v>
      </c>
      <c r="AW8">
        <f t="shared" si="10"/>
        <v>0</v>
      </c>
      <c r="AX8">
        <f t="shared" si="11"/>
        <v>0</v>
      </c>
      <c r="AY8">
        <f t="shared" si="12"/>
        <v>0</v>
      </c>
      <c r="AZ8">
        <f t="shared" si="13"/>
        <v>0</v>
      </c>
      <c r="BA8">
        <f t="shared" si="14"/>
        <v>0</v>
      </c>
      <c r="BB8">
        <f t="shared" si="15"/>
        <v>0</v>
      </c>
      <c r="BC8">
        <f t="shared" si="16"/>
        <v>0</v>
      </c>
      <c r="BD8">
        <f t="shared" si="17"/>
        <v>0</v>
      </c>
      <c r="BE8">
        <f t="shared" si="18"/>
        <v>0</v>
      </c>
      <c r="BF8">
        <f t="shared" si="19"/>
        <v>0</v>
      </c>
      <c r="BG8">
        <f t="shared" si="20"/>
        <v>0</v>
      </c>
      <c r="BH8">
        <f t="shared" si="21"/>
        <v>0</v>
      </c>
      <c r="BI8">
        <f t="shared" si="22"/>
        <v>0</v>
      </c>
      <c r="BJ8">
        <f t="shared" si="23"/>
        <v>0</v>
      </c>
      <c r="BK8">
        <f t="shared" si="24"/>
        <v>0</v>
      </c>
      <c r="BL8">
        <f t="shared" si="25"/>
        <v>0</v>
      </c>
      <c r="BM8">
        <f t="shared" si="26"/>
        <v>0</v>
      </c>
      <c r="BN8">
        <f t="shared" si="27"/>
        <v>0</v>
      </c>
      <c r="BO8">
        <f t="shared" si="28"/>
        <v>0</v>
      </c>
      <c r="BP8">
        <f t="shared" si="29"/>
        <v>0</v>
      </c>
      <c r="BQ8">
        <f t="shared" si="30"/>
        <v>0</v>
      </c>
      <c r="BR8">
        <f t="shared" si="31"/>
        <v>0</v>
      </c>
      <c r="BS8">
        <f t="shared" si="32"/>
        <v>0</v>
      </c>
      <c r="BT8">
        <f t="shared" si="33"/>
        <v>0</v>
      </c>
      <c r="BU8">
        <f t="shared" si="34"/>
        <v>0</v>
      </c>
      <c r="BV8">
        <f t="shared" si="35"/>
        <v>0</v>
      </c>
      <c r="BW8">
        <f t="shared" si="36"/>
        <v>0</v>
      </c>
      <c r="BX8">
        <f t="shared" si="37"/>
        <v>0</v>
      </c>
      <c r="BY8">
        <f t="shared" si="38"/>
        <v>0</v>
      </c>
      <c r="BZ8">
        <f t="shared" si="39"/>
        <v>0</v>
      </c>
      <c r="CA8">
        <f t="shared" si="40"/>
        <v>0</v>
      </c>
      <c r="CB8">
        <f t="shared" si="41"/>
        <v>0</v>
      </c>
      <c r="CC8">
        <f t="shared" ca="1" si="42"/>
        <v>0</v>
      </c>
    </row>
    <row r="9" spans="1:81" ht="18.75" x14ac:dyDescent="0.2">
      <c r="A9">
        <f t="shared" si="0"/>
        <v>0</v>
      </c>
      <c r="B9">
        <f t="shared" si="1"/>
        <v>0</v>
      </c>
      <c r="C9">
        <f t="shared" si="1"/>
        <v>0</v>
      </c>
      <c r="D9">
        <f t="shared" si="1"/>
        <v>0</v>
      </c>
      <c r="E9">
        <f t="shared" si="1"/>
        <v>0</v>
      </c>
      <c r="F9">
        <f t="shared" si="1"/>
        <v>0</v>
      </c>
      <c r="G9">
        <f t="shared" si="1"/>
        <v>0</v>
      </c>
      <c r="H9" t="str">
        <f t="shared" si="1"/>
        <v/>
      </c>
      <c r="I9" t="str">
        <f t="shared" si="1"/>
        <v/>
      </c>
      <c r="J9" t="str">
        <f t="shared" si="1"/>
        <v/>
      </c>
      <c r="K9" t="str">
        <f t="shared" si="1"/>
        <v/>
      </c>
      <c r="L9" t="str">
        <f t="shared" si="2"/>
        <v/>
      </c>
      <c r="M9" t="str">
        <f t="shared" si="2"/>
        <v/>
      </c>
      <c r="N9" t="str">
        <f t="shared" si="2"/>
        <v/>
      </c>
      <c r="O9" t="str">
        <f t="shared" si="2"/>
        <v/>
      </c>
      <c r="P9" t="str">
        <f t="shared" si="2"/>
        <v/>
      </c>
      <c r="Q9" t="str">
        <f t="shared" si="2"/>
        <v/>
      </c>
      <c r="R9" t="str">
        <f t="shared" si="2"/>
        <v/>
      </c>
      <c r="S9" t="str">
        <f t="shared" si="2"/>
        <v/>
      </c>
      <c r="T9" t="str">
        <f t="shared" si="2"/>
        <v/>
      </c>
      <c r="U9" t="str">
        <f t="shared" si="2"/>
        <v/>
      </c>
      <c r="V9" t="str">
        <f t="shared" si="3"/>
        <v/>
      </c>
      <c r="W9" t="str">
        <f t="shared" si="3"/>
        <v/>
      </c>
      <c r="X9" t="str">
        <f t="shared" si="3"/>
        <v/>
      </c>
      <c r="Y9" t="str">
        <f t="shared" si="3"/>
        <v/>
      </c>
      <c r="Z9" t="str">
        <f t="shared" si="3"/>
        <v/>
      </c>
      <c r="AA9" t="str">
        <f t="shared" si="3"/>
        <v/>
      </c>
      <c r="AB9" t="str">
        <f t="shared" si="3"/>
        <v/>
      </c>
      <c r="AC9" t="str">
        <f t="shared" si="3"/>
        <v/>
      </c>
      <c r="AD9" t="str">
        <f t="shared" si="3"/>
        <v/>
      </c>
      <c r="AE9" t="str">
        <f t="shared" si="3"/>
        <v/>
      </c>
      <c r="AF9" t="str">
        <f t="shared" si="4"/>
        <v/>
      </c>
      <c r="AG9" t="str">
        <f t="shared" si="4"/>
        <v/>
      </c>
      <c r="AH9" t="str">
        <f t="shared" si="4"/>
        <v/>
      </c>
      <c r="AI9" t="str">
        <f t="shared" si="4"/>
        <v/>
      </c>
      <c r="AJ9" t="str">
        <f t="shared" si="4"/>
        <v/>
      </c>
      <c r="AK9" t="str">
        <f t="shared" si="4"/>
        <v/>
      </c>
      <c r="AM9" s="22">
        <f t="shared" si="43"/>
        <v>0</v>
      </c>
      <c r="AP9">
        <v>7</v>
      </c>
      <c r="AQ9" s="38" t="str">
        <f>IFERROR(LOOKUP(2,1/(COUNTIF($AQ$1:AQ8,CountDSDs)=0),CountDSDs),"")</f>
        <v/>
      </c>
      <c r="AR9">
        <f t="shared" si="5"/>
        <v>0</v>
      </c>
      <c r="AS9">
        <f t="shared" si="6"/>
        <v>0</v>
      </c>
      <c r="AT9">
        <f t="shared" si="7"/>
        <v>0</v>
      </c>
      <c r="AU9">
        <f t="shared" si="8"/>
        <v>0</v>
      </c>
      <c r="AV9">
        <f t="shared" si="9"/>
        <v>0</v>
      </c>
      <c r="AW9">
        <f t="shared" si="10"/>
        <v>0</v>
      </c>
      <c r="AX9">
        <f t="shared" si="11"/>
        <v>0</v>
      </c>
      <c r="AY9">
        <f t="shared" si="12"/>
        <v>0</v>
      </c>
      <c r="AZ9">
        <f t="shared" si="13"/>
        <v>0</v>
      </c>
      <c r="BA9">
        <f t="shared" si="14"/>
        <v>0</v>
      </c>
      <c r="BB9">
        <f t="shared" si="15"/>
        <v>0</v>
      </c>
      <c r="BC9">
        <f t="shared" si="16"/>
        <v>0</v>
      </c>
      <c r="BD9">
        <f t="shared" si="17"/>
        <v>0</v>
      </c>
      <c r="BE9">
        <f t="shared" si="18"/>
        <v>0</v>
      </c>
      <c r="BF9">
        <f t="shared" si="19"/>
        <v>0</v>
      </c>
      <c r="BG9">
        <f t="shared" si="20"/>
        <v>0</v>
      </c>
      <c r="BH9">
        <f t="shared" si="21"/>
        <v>0</v>
      </c>
      <c r="BI9">
        <f t="shared" si="22"/>
        <v>0</v>
      </c>
      <c r="BJ9">
        <f t="shared" si="23"/>
        <v>0</v>
      </c>
      <c r="BK9">
        <f t="shared" si="24"/>
        <v>0</v>
      </c>
      <c r="BL9">
        <f t="shared" si="25"/>
        <v>0</v>
      </c>
      <c r="BM9">
        <f t="shared" si="26"/>
        <v>0</v>
      </c>
      <c r="BN9">
        <f t="shared" si="27"/>
        <v>0</v>
      </c>
      <c r="BO9">
        <f t="shared" si="28"/>
        <v>0</v>
      </c>
      <c r="BP9">
        <f t="shared" si="29"/>
        <v>0</v>
      </c>
      <c r="BQ9">
        <f t="shared" si="30"/>
        <v>0</v>
      </c>
      <c r="BR9">
        <f t="shared" si="31"/>
        <v>0</v>
      </c>
      <c r="BS9">
        <f t="shared" si="32"/>
        <v>0</v>
      </c>
      <c r="BT9">
        <f t="shared" si="33"/>
        <v>0</v>
      </c>
      <c r="BU9">
        <f t="shared" si="34"/>
        <v>0</v>
      </c>
      <c r="BV9">
        <f t="shared" si="35"/>
        <v>0</v>
      </c>
      <c r="BW9">
        <f t="shared" si="36"/>
        <v>0</v>
      </c>
      <c r="BX9">
        <f t="shared" si="37"/>
        <v>0</v>
      </c>
      <c r="BY9">
        <f t="shared" si="38"/>
        <v>0</v>
      </c>
      <c r="BZ9">
        <f t="shared" si="39"/>
        <v>0</v>
      </c>
      <c r="CA9">
        <f t="shared" si="40"/>
        <v>0</v>
      </c>
      <c r="CB9">
        <f t="shared" si="41"/>
        <v>0</v>
      </c>
      <c r="CC9">
        <f t="shared" ca="1" si="42"/>
        <v>0</v>
      </c>
    </row>
    <row r="10" spans="1:81" ht="18.75" x14ac:dyDescent="0.2">
      <c r="A10">
        <f t="shared" si="0"/>
        <v>0</v>
      </c>
      <c r="B10">
        <f t="shared" si="1"/>
        <v>0</v>
      </c>
      <c r="C10">
        <f t="shared" si="1"/>
        <v>0</v>
      </c>
      <c r="D10">
        <f t="shared" si="1"/>
        <v>0</v>
      </c>
      <c r="E10">
        <f t="shared" si="1"/>
        <v>0</v>
      </c>
      <c r="F10">
        <f t="shared" si="1"/>
        <v>0</v>
      </c>
      <c r="G10">
        <f t="shared" si="1"/>
        <v>0</v>
      </c>
      <c r="H10" t="str">
        <f t="shared" si="1"/>
        <v/>
      </c>
      <c r="I10" t="str">
        <f t="shared" si="1"/>
        <v/>
      </c>
      <c r="J10" t="str">
        <f t="shared" si="1"/>
        <v/>
      </c>
      <c r="K10" t="str">
        <f t="shared" si="1"/>
        <v/>
      </c>
      <c r="L10" t="str">
        <f t="shared" si="2"/>
        <v/>
      </c>
      <c r="M10" t="str">
        <f t="shared" si="2"/>
        <v/>
      </c>
      <c r="N10" t="str">
        <f t="shared" si="2"/>
        <v/>
      </c>
      <c r="O10" t="str">
        <f t="shared" si="2"/>
        <v/>
      </c>
      <c r="P10" t="str">
        <f t="shared" si="2"/>
        <v/>
      </c>
      <c r="Q10" t="str">
        <f t="shared" si="2"/>
        <v/>
      </c>
      <c r="R10" t="str">
        <f t="shared" si="2"/>
        <v/>
      </c>
      <c r="S10" t="str">
        <f t="shared" si="2"/>
        <v/>
      </c>
      <c r="T10" t="str">
        <f t="shared" si="2"/>
        <v/>
      </c>
      <c r="U10" t="str">
        <f t="shared" si="2"/>
        <v/>
      </c>
      <c r="V10" t="str">
        <f t="shared" si="3"/>
        <v/>
      </c>
      <c r="W10" t="str">
        <f t="shared" si="3"/>
        <v/>
      </c>
      <c r="X10" t="str">
        <f t="shared" si="3"/>
        <v/>
      </c>
      <c r="Y10" t="str">
        <f t="shared" si="3"/>
        <v/>
      </c>
      <c r="Z10" t="str">
        <f t="shared" si="3"/>
        <v/>
      </c>
      <c r="AA10" t="str">
        <f t="shared" si="3"/>
        <v/>
      </c>
      <c r="AB10" t="str">
        <f t="shared" si="3"/>
        <v/>
      </c>
      <c r="AC10" t="str">
        <f t="shared" si="3"/>
        <v/>
      </c>
      <c r="AD10" t="str">
        <f t="shared" si="3"/>
        <v/>
      </c>
      <c r="AE10" t="str">
        <f t="shared" si="3"/>
        <v/>
      </c>
      <c r="AF10" t="str">
        <f t="shared" si="4"/>
        <v/>
      </c>
      <c r="AG10" t="str">
        <f t="shared" si="4"/>
        <v/>
      </c>
      <c r="AH10" t="str">
        <f t="shared" si="4"/>
        <v/>
      </c>
      <c r="AI10" t="str">
        <f t="shared" si="4"/>
        <v/>
      </c>
      <c r="AJ10" t="str">
        <f t="shared" si="4"/>
        <v/>
      </c>
      <c r="AK10" t="str">
        <f t="shared" si="4"/>
        <v/>
      </c>
      <c r="AM10" s="22">
        <f t="shared" si="43"/>
        <v>0</v>
      </c>
      <c r="AP10">
        <v>8</v>
      </c>
      <c r="AQ10" s="38" t="str">
        <f>IFERROR(LOOKUP(2,1/(COUNTIF($AQ$1:AQ9,CountDSDs)=0),CountDSDs),"")</f>
        <v/>
      </c>
      <c r="AR10">
        <f t="shared" si="5"/>
        <v>0</v>
      </c>
      <c r="AS10">
        <f t="shared" si="6"/>
        <v>0</v>
      </c>
      <c r="AT10">
        <f t="shared" si="7"/>
        <v>0</v>
      </c>
      <c r="AU10">
        <f t="shared" si="8"/>
        <v>0</v>
      </c>
      <c r="AV10">
        <f t="shared" si="9"/>
        <v>0</v>
      </c>
      <c r="AW10">
        <f t="shared" si="10"/>
        <v>0</v>
      </c>
      <c r="AX10">
        <f t="shared" si="11"/>
        <v>0</v>
      </c>
      <c r="AY10">
        <f t="shared" si="12"/>
        <v>0</v>
      </c>
      <c r="AZ10">
        <f t="shared" si="13"/>
        <v>0</v>
      </c>
      <c r="BA10">
        <f t="shared" si="14"/>
        <v>0</v>
      </c>
      <c r="BB10">
        <f t="shared" si="15"/>
        <v>0</v>
      </c>
      <c r="BC10">
        <f t="shared" si="16"/>
        <v>0</v>
      </c>
      <c r="BD10">
        <f t="shared" si="17"/>
        <v>0</v>
      </c>
      <c r="BE10">
        <f t="shared" si="18"/>
        <v>0</v>
      </c>
      <c r="BF10">
        <f t="shared" si="19"/>
        <v>0</v>
      </c>
      <c r="BG10">
        <f t="shared" si="20"/>
        <v>0</v>
      </c>
      <c r="BH10">
        <f t="shared" si="21"/>
        <v>0</v>
      </c>
      <c r="BI10">
        <f t="shared" si="22"/>
        <v>0</v>
      </c>
      <c r="BJ10">
        <f t="shared" si="23"/>
        <v>0</v>
      </c>
      <c r="BK10">
        <f t="shared" si="24"/>
        <v>0</v>
      </c>
      <c r="BL10">
        <f t="shared" si="25"/>
        <v>0</v>
      </c>
      <c r="BM10">
        <f t="shared" si="26"/>
        <v>0</v>
      </c>
      <c r="BN10">
        <f t="shared" si="27"/>
        <v>0</v>
      </c>
      <c r="BO10">
        <f t="shared" si="28"/>
        <v>0</v>
      </c>
      <c r="BP10">
        <f t="shared" si="29"/>
        <v>0</v>
      </c>
      <c r="BQ10">
        <f t="shared" si="30"/>
        <v>0</v>
      </c>
      <c r="BR10">
        <f t="shared" si="31"/>
        <v>0</v>
      </c>
      <c r="BS10">
        <f t="shared" si="32"/>
        <v>0</v>
      </c>
      <c r="BT10">
        <f t="shared" si="33"/>
        <v>0</v>
      </c>
      <c r="BU10">
        <f t="shared" si="34"/>
        <v>0</v>
      </c>
      <c r="BV10">
        <f t="shared" si="35"/>
        <v>0</v>
      </c>
      <c r="BW10">
        <f t="shared" si="36"/>
        <v>0</v>
      </c>
      <c r="BX10">
        <f t="shared" si="37"/>
        <v>0</v>
      </c>
      <c r="BY10">
        <f t="shared" si="38"/>
        <v>0</v>
      </c>
      <c r="BZ10">
        <f t="shared" si="39"/>
        <v>0</v>
      </c>
      <c r="CA10">
        <f t="shared" si="40"/>
        <v>0</v>
      </c>
      <c r="CB10">
        <f t="shared" si="41"/>
        <v>0</v>
      </c>
      <c r="CC10">
        <f t="shared" ca="1" si="42"/>
        <v>0</v>
      </c>
    </row>
    <row r="11" spans="1:81" ht="18.75" x14ac:dyDescent="0.2">
      <c r="A11">
        <f t="shared" si="0"/>
        <v>0</v>
      </c>
      <c r="B11">
        <f t="shared" si="1"/>
        <v>0</v>
      </c>
      <c r="C11">
        <f t="shared" si="1"/>
        <v>0</v>
      </c>
      <c r="D11">
        <f t="shared" si="1"/>
        <v>0</v>
      </c>
      <c r="E11">
        <f t="shared" si="1"/>
        <v>0</v>
      </c>
      <c r="F11">
        <f t="shared" si="1"/>
        <v>0</v>
      </c>
      <c r="G11">
        <f t="shared" si="1"/>
        <v>0</v>
      </c>
      <c r="H11" t="str">
        <f t="shared" si="1"/>
        <v/>
      </c>
      <c r="I11" t="str">
        <f t="shared" si="1"/>
        <v/>
      </c>
      <c r="J11" t="str">
        <f t="shared" si="1"/>
        <v/>
      </c>
      <c r="K11" t="str">
        <f t="shared" si="1"/>
        <v/>
      </c>
      <c r="L11" t="str">
        <f t="shared" si="2"/>
        <v/>
      </c>
      <c r="M11" t="str">
        <f t="shared" si="2"/>
        <v/>
      </c>
      <c r="N11" t="str">
        <f t="shared" si="2"/>
        <v/>
      </c>
      <c r="O11" t="str">
        <f t="shared" si="2"/>
        <v/>
      </c>
      <c r="P11" t="str">
        <f t="shared" si="2"/>
        <v/>
      </c>
      <c r="Q11" t="str">
        <f t="shared" si="2"/>
        <v/>
      </c>
      <c r="R11" t="str">
        <f t="shared" si="2"/>
        <v/>
      </c>
      <c r="S11" t="str">
        <f t="shared" si="2"/>
        <v/>
      </c>
      <c r="T11" t="str">
        <f t="shared" si="2"/>
        <v/>
      </c>
      <c r="U11" t="str">
        <f t="shared" si="2"/>
        <v/>
      </c>
      <c r="V11" t="str">
        <f t="shared" si="3"/>
        <v/>
      </c>
      <c r="W11" t="str">
        <f t="shared" si="3"/>
        <v/>
      </c>
      <c r="X11" t="str">
        <f t="shared" si="3"/>
        <v/>
      </c>
      <c r="Y11" t="str">
        <f t="shared" si="3"/>
        <v/>
      </c>
      <c r="Z11" t="str">
        <f t="shared" si="3"/>
        <v/>
      </c>
      <c r="AA11" t="str">
        <f t="shared" si="3"/>
        <v/>
      </c>
      <c r="AB11" t="str">
        <f t="shared" si="3"/>
        <v/>
      </c>
      <c r="AC11" t="str">
        <f t="shared" si="3"/>
        <v/>
      </c>
      <c r="AD11" t="str">
        <f t="shared" si="3"/>
        <v/>
      </c>
      <c r="AE11" t="str">
        <f t="shared" si="3"/>
        <v/>
      </c>
      <c r="AF11" t="str">
        <f t="shared" si="4"/>
        <v/>
      </c>
      <c r="AG11" t="str">
        <f t="shared" si="4"/>
        <v/>
      </c>
      <c r="AH11" t="str">
        <f t="shared" si="4"/>
        <v/>
      </c>
      <c r="AI11" t="str">
        <f t="shared" si="4"/>
        <v/>
      </c>
      <c r="AJ11" t="str">
        <f t="shared" si="4"/>
        <v/>
      </c>
      <c r="AK11" t="str">
        <f t="shared" si="4"/>
        <v/>
      </c>
      <c r="AM11" s="22">
        <f t="shared" si="43"/>
        <v>0</v>
      </c>
      <c r="AP11">
        <v>9</v>
      </c>
      <c r="AQ11" s="38" t="str">
        <f>IFERROR(LOOKUP(2,1/(COUNTIF($AQ$1:AQ10,CountDSDs)=0),CountDSDs),"")</f>
        <v/>
      </c>
      <c r="AR11">
        <f t="shared" si="5"/>
        <v>0</v>
      </c>
      <c r="AS11">
        <f t="shared" si="6"/>
        <v>0</v>
      </c>
      <c r="AT11">
        <f t="shared" si="7"/>
        <v>0</v>
      </c>
      <c r="AU11">
        <f t="shared" si="8"/>
        <v>0</v>
      </c>
      <c r="AV11">
        <f t="shared" si="9"/>
        <v>0</v>
      </c>
      <c r="AW11">
        <f t="shared" si="10"/>
        <v>0</v>
      </c>
      <c r="AX11">
        <f t="shared" si="11"/>
        <v>0</v>
      </c>
      <c r="AY11">
        <f t="shared" si="12"/>
        <v>0</v>
      </c>
      <c r="AZ11">
        <f t="shared" si="13"/>
        <v>0</v>
      </c>
      <c r="BA11">
        <f t="shared" si="14"/>
        <v>0</v>
      </c>
      <c r="BB11">
        <f t="shared" si="15"/>
        <v>0</v>
      </c>
      <c r="BC11">
        <f t="shared" si="16"/>
        <v>0</v>
      </c>
      <c r="BD11">
        <f t="shared" si="17"/>
        <v>0</v>
      </c>
      <c r="BE11">
        <f t="shared" si="18"/>
        <v>0</v>
      </c>
      <c r="BF11">
        <f t="shared" si="19"/>
        <v>0</v>
      </c>
      <c r="BG11">
        <f t="shared" si="20"/>
        <v>0</v>
      </c>
      <c r="BH11">
        <f t="shared" si="21"/>
        <v>0</v>
      </c>
      <c r="BI11">
        <f t="shared" si="22"/>
        <v>0</v>
      </c>
      <c r="BJ11">
        <f t="shared" si="23"/>
        <v>0</v>
      </c>
      <c r="BK11">
        <f t="shared" si="24"/>
        <v>0</v>
      </c>
      <c r="BL11">
        <f t="shared" si="25"/>
        <v>0</v>
      </c>
      <c r="BM11">
        <f t="shared" si="26"/>
        <v>0</v>
      </c>
      <c r="BN11">
        <f t="shared" si="27"/>
        <v>0</v>
      </c>
      <c r="BO11">
        <f t="shared" si="28"/>
        <v>0</v>
      </c>
      <c r="BP11">
        <f t="shared" si="29"/>
        <v>0</v>
      </c>
      <c r="BQ11">
        <f t="shared" si="30"/>
        <v>0</v>
      </c>
      <c r="BR11">
        <f t="shared" si="31"/>
        <v>0</v>
      </c>
      <c r="BS11">
        <f t="shared" si="32"/>
        <v>0</v>
      </c>
      <c r="BT11">
        <f t="shared" si="33"/>
        <v>0</v>
      </c>
      <c r="BU11">
        <f t="shared" si="34"/>
        <v>0</v>
      </c>
      <c r="BV11">
        <f t="shared" si="35"/>
        <v>0</v>
      </c>
      <c r="BW11">
        <f t="shared" si="36"/>
        <v>0</v>
      </c>
      <c r="BX11">
        <f t="shared" si="37"/>
        <v>0</v>
      </c>
      <c r="BY11">
        <f t="shared" si="38"/>
        <v>0</v>
      </c>
      <c r="BZ11">
        <f t="shared" si="39"/>
        <v>0</v>
      </c>
      <c r="CA11">
        <f t="shared" si="40"/>
        <v>0</v>
      </c>
      <c r="CB11">
        <f t="shared" si="41"/>
        <v>0</v>
      </c>
      <c r="CC11">
        <f t="shared" ca="1" si="42"/>
        <v>0</v>
      </c>
    </row>
    <row r="12" spans="1:81" ht="18.75" x14ac:dyDescent="0.2">
      <c r="A12">
        <f t="shared" si="0"/>
        <v>0</v>
      </c>
      <c r="B12">
        <f t="shared" ref="B12:K21" si="44">IFERROR(IF(INDEX(ConDimVals,ROW(A11),COLUMN(A11))="",0,1),"")</f>
        <v>0</v>
      </c>
      <c r="C12">
        <f t="shared" si="44"/>
        <v>0</v>
      </c>
      <c r="D12">
        <f t="shared" si="44"/>
        <v>0</v>
      </c>
      <c r="E12">
        <f t="shared" si="44"/>
        <v>0</v>
      </c>
      <c r="F12">
        <f t="shared" si="44"/>
        <v>0</v>
      </c>
      <c r="G12">
        <f t="shared" si="44"/>
        <v>0</v>
      </c>
      <c r="H12" t="str">
        <f t="shared" si="44"/>
        <v/>
      </c>
      <c r="I12" t="str">
        <f t="shared" si="44"/>
        <v/>
      </c>
      <c r="J12" t="str">
        <f t="shared" si="44"/>
        <v/>
      </c>
      <c r="K12" t="str">
        <f t="shared" si="44"/>
        <v/>
      </c>
      <c r="L12" t="str">
        <f t="shared" ref="L12:U21" si="45">IFERROR(IF(INDEX(ConDimVals,ROW(K11),COLUMN(K11))="",0,1),"")</f>
        <v/>
      </c>
      <c r="M12" t="str">
        <f t="shared" si="45"/>
        <v/>
      </c>
      <c r="N12" t="str">
        <f t="shared" si="45"/>
        <v/>
      </c>
      <c r="O12" t="str">
        <f t="shared" si="45"/>
        <v/>
      </c>
      <c r="P12" t="str">
        <f t="shared" si="45"/>
        <v/>
      </c>
      <c r="Q12" t="str">
        <f t="shared" si="45"/>
        <v/>
      </c>
      <c r="R12" t="str">
        <f t="shared" si="45"/>
        <v/>
      </c>
      <c r="S12" t="str">
        <f t="shared" si="45"/>
        <v/>
      </c>
      <c r="T12" t="str">
        <f t="shared" si="45"/>
        <v/>
      </c>
      <c r="U12" t="str">
        <f t="shared" si="45"/>
        <v/>
      </c>
      <c r="V12" t="str">
        <f t="shared" ref="V12:AE21" si="46">IFERROR(IF(INDEX(ConDimVals,ROW(U11),COLUMN(U11))="",0,1),"")</f>
        <v/>
      </c>
      <c r="W12" t="str">
        <f t="shared" si="46"/>
        <v/>
      </c>
      <c r="X12" t="str">
        <f t="shared" si="46"/>
        <v/>
      </c>
      <c r="Y12" t="str">
        <f t="shared" si="46"/>
        <v/>
      </c>
      <c r="Z12" t="str">
        <f t="shared" si="46"/>
        <v/>
      </c>
      <c r="AA12" t="str">
        <f t="shared" si="46"/>
        <v/>
      </c>
      <c r="AB12" t="str">
        <f t="shared" si="46"/>
        <v/>
      </c>
      <c r="AC12" t="str">
        <f t="shared" si="46"/>
        <v/>
      </c>
      <c r="AD12" t="str">
        <f t="shared" si="46"/>
        <v/>
      </c>
      <c r="AE12" t="str">
        <f t="shared" si="46"/>
        <v/>
      </c>
      <c r="AF12" t="str">
        <f t="shared" ref="AF12:AK21" si="47">IFERROR(IF(INDEX(ConDimVals,ROW(AE11),COLUMN(AE11))="",0,1),"")</f>
        <v/>
      </c>
      <c r="AG12" t="str">
        <f t="shared" si="47"/>
        <v/>
      </c>
      <c r="AH12" t="str">
        <f t="shared" si="47"/>
        <v/>
      </c>
      <c r="AI12" t="str">
        <f t="shared" si="47"/>
        <v/>
      </c>
      <c r="AJ12" t="str">
        <f t="shared" si="47"/>
        <v/>
      </c>
      <c r="AK12" t="str">
        <f t="shared" si="47"/>
        <v/>
      </c>
      <c r="AM12" s="22">
        <f t="shared" si="43"/>
        <v>0</v>
      </c>
      <c r="AP12">
        <v>10</v>
      </c>
      <c r="AQ12" s="38" t="str">
        <f>IFERROR(LOOKUP(2,1/(COUNTIF($AQ$1:AQ11,CountDSDs)=0),CountDSDs),"")</f>
        <v/>
      </c>
      <c r="AR12">
        <f t="shared" si="5"/>
        <v>0</v>
      </c>
      <c r="AS12">
        <f t="shared" si="6"/>
        <v>0</v>
      </c>
      <c r="AT12">
        <f t="shared" si="7"/>
        <v>0</v>
      </c>
      <c r="AU12">
        <f t="shared" si="8"/>
        <v>0</v>
      </c>
      <c r="AV12">
        <f t="shared" si="9"/>
        <v>0</v>
      </c>
      <c r="AW12">
        <f t="shared" si="10"/>
        <v>0</v>
      </c>
      <c r="AX12">
        <f t="shared" si="11"/>
        <v>0</v>
      </c>
      <c r="AY12">
        <f t="shared" si="12"/>
        <v>0</v>
      </c>
      <c r="AZ12">
        <f t="shared" si="13"/>
        <v>0</v>
      </c>
      <c r="BA12">
        <f t="shared" si="14"/>
        <v>0</v>
      </c>
      <c r="BB12">
        <f t="shared" si="15"/>
        <v>0</v>
      </c>
      <c r="BC12">
        <f t="shared" si="16"/>
        <v>0</v>
      </c>
      <c r="BD12">
        <f t="shared" si="17"/>
        <v>0</v>
      </c>
      <c r="BE12">
        <f t="shared" si="18"/>
        <v>0</v>
      </c>
      <c r="BF12">
        <f t="shared" si="19"/>
        <v>0</v>
      </c>
      <c r="BG12">
        <f t="shared" si="20"/>
        <v>0</v>
      </c>
      <c r="BH12">
        <f t="shared" si="21"/>
        <v>0</v>
      </c>
      <c r="BI12">
        <f t="shared" si="22"/>
        <v>0</v>
      </c>
      <c r="BJ12">
        <f t="shared" si="23"/>
        <v>0</v>
      </c>
      <c r="BK12">
        <f t="shared" si="24"/>
        <v>0</v>
      </c>
      <c r="BL12">
        <f t="shared" si="25"/>
        <v>0</v>
      </c>
      <c r="BM12">
        <f t="shared" si="26"/>
        <v>0</v>
      </c>
      <c r="BN12">
        <f t="shared" si="27"/>
        <v>0</v>
      </c>
      <c r="BO12">
        <f t="shared" si="28"/>
        <v>0</v>
      </c>
      <c r="BP12">
        <f t="shared" si="29"/>
        <v>0</v>
      </c>
      <c r="BQ12">
        <f t="shared" si="30"/>
        <v>0</v>
      </c>
      <c r="BR12">
        <f t="shared" si="31"/>
        <v>0</v>
      </c>
      <c r="BS12">
        <f t="shared" si="32"/>
        <v>0</v>
      </c>
      <c r="BT12">
        <f t="shared" si="33"/>
        <v>0</v>
      </c>
      <c r="BU12">
        <f t="shared" si="34"/>
        <v>0</v>
      </c>
      <c r="BV12">
        <f t="shared" si="35"/>
        <v>0</v>
      </c>
      <c r="BW12">
        <f t="shared" si="36"/>
        <v>0</v>
      </c>
      <c r="BX12">
        <f t="shared" si="37"/>
        <v>0</v>
      </c>
      <c r="BY12">
        <f t="shared" si="38"/>
        <v>0</v>
      </c>
      <c r="BZ12">
        <f t="shared" si="39"/>
        <v>0</v>
      </c>
      <c r="CA12">
        <f t="shared" si="40"/>
        <v>0</v>
      </c>
      <c r="CB12">
        <f t="shared" si="41"/>
        <v>0</v>
      </c>
      <c r="CC12">
        <f t="shared" ca="1" si="42"/>
        <v>0</v>
      </c>
    </row>
    <row r="13" spans="1:81" ht="18.75" x14ac:dyDescent="0.2">
      <c r="A13">
        <f t="shared" si="0"/>
        <v>0</v>
      </c>
      <c r="B13">
        <f t="shared" si="44"/>
        <v>0</v>
      </c>
      <c r="C13">
        <f t="shared" si="44"/>
        <v>0</v>
      </c>
      <c r="D13">
        <f t="shared" si="44"/>
        <v>0</v>
      </c>
      <c r="E13">
        <f t="shared" si="44"/>
        <v>0</v>
      </c>
      <c r="F13">
        <f t="shared" si="44"/>
        <v>0</v>
      </c>
      <c r="G13">
        <f t="shared" si="44"/>
        <v>0</v>
      </c>
      <c r="H13" t="str">
        <f t="shared" si="44"/>
        <v/>
      </c>
      <c r="I13" t="str">
        <f t="shared" si="44"/>
        <v/>
      </c>
      <c r="J13" t="str">
        <f t="shared" si="44"/>
        <v/>
      </c>
      <c r="K13" t="str">
        <f t="shared" si="44"/>
        <v/>
      </c>
      <c r="L13" t="str">
        <f t="shared" si="45"/>
        <v/>
      </c>
      <c r="M13" t="str">
        <f t="shared" si="45"/>
        <v/>
      </c>
      <c r="N13" t="str">
        <f t="shared" si="45"/>
        <v/>
      </c>
      <c r="O13" t="str">
        <f t="shared" si="45"/>
        <v/>
      </c>
      <c r="P13" t="str">
        <f t="shared" si="45"/>
        <v/>
      </c>
      <c r="Q13" t="str">
        <f t="shared" si="45"/>
        <v/>
      </c>
      <c r="R13" t="str">
        <f t="shared" si="45"/>
        <v/>
      </c>
      <c r="S13" t="str">
        <f t="shared" si="45"/>
        <v/>
      </c>
      <c r="T13" t="str">
        <f t="shared" si="45"/>
        <v/>
      </c>
      <c r="U13" t="str">
        <f t="shared" si="45"/>
        <v/>
      </c>
      <c r="V13" t="str">
        <f t="shared" si="46"/>
        <v/>
      </c>
      <c r="W13" t="str">
        <f t="shared" si="46"/>
        <v/>
      </c>
      <c r="X13" t="str">
        <f t="shared" si="46"/>
        <v/>
      </c>
      <c r="Y13" t="str">
        <f t="shared" si="46"/>
        <v/>
      </c>
      <c r="Z13" t="str">
        <f t="shared" si="46"/>
        <v/>
      </c>
      <c r="AA13" t="str">
        <f t="shared" si="46"/>
        <v/>
      </c>
      <c r="AB13" t="str">
        <f t="shared" si="46"/>
        <v/>
      </c>
      <c r="AC13" t="str">
        <f t="shared" si="46"/>
        <v/>
      </c>
      <c r="AD13" t="str">
        <f t="shared" si="46"/>
        <v/>
      </c>
      <c r="AE13" t="str">
        <f t="shared" si="46"/>
        <v/>
      </c>
      <c r="AF13" t="str">
        <f t="shared" si="47"/>
        <v/>
      </c>
      <c r="AG13" t="str">
        <f t="shared" si="47"/>
        <v/>
      </c>
      <c r="AH13" t="str">
        <f t="shared" si="47"/>
        <v/>
      </c>
      <c r="AI13" t="str">
        <f t="shared" si="47"/>
        <v/>
      </c>
      <c r="AJ13" t="str">
        <f t="shared" si="47"/>
        <v/>
      </c>
      <c r="AK13" t="str">
        <f t="shared" si="47"/>
        <v/>
      </c>
      <c r="AM13" s="22">
        <f t="shared" si="43"/>
        <v>0</v>
      </c>
      <c r="AP13">
        <v>11</v>
      </c>
      <c r="AQ13" s="38" t="str">
        <f>IFERROR(LOOKUP(2,1/(COUNTIF($AQ$1:AQ12,CountDSDs)=0),CountDSDs),"")</f>
        <v/>
      </c>
      <c r="AR13">
        <f t="shared" si="5"/>
        <v>0</v>
      </c>
      <c r="AS13">
        <f t="shared" si="6"/>
        <v>0</v>
      </c>
      <c r="AT13">
        <f t="shared" si="7"/>
        <v>0</v>
      </c>
      <c r="AU13">
        <f t="shared" si="8"/>
        <v>0</v>
      </c>
      <c r="AV13">
        <f t="shared" si="9"/>
        <v>0</v>
      </c>
      <c r="AW13">
        <f t="shared" si="10"/>
        <v>0</v>
      </c>
      <c r="AX13">
        <f t="shared" si="11"/>
        <v>0</v>
      </c>
      <c r="AY13">
        <f t="shared" si="12"/>
        <v>0</v>
      </c>
      <c r="AZ13">
        <f t="shared" si="13"/>
        <v>0</v>
      </c>
      <c r="BA13">
        <f t="shared" si="14"/>
        <v>0</v>
      </c>
      <c r="BB13">
        <f t="shared" si="15"/>
        <v>0</v>
      </c>
      <c r="BC13">
        <f t="shared" si="16"/>
        <v>0</v>
      </c>
      <c r="BD13">
        <f t="shared" si="17"/>
        <v>0</v>
      </c>
      <c r="BE13">
        <f t="shared" si="18"/>
        <v>0</v>
      </c>
      <c r="BF13">
        <f t="shared" si="19"/>
        <v>0</v>
      </c>
      <c r="BG13">
        <f t="shared" si="20"/>
        <v>0</v>
      </c>
      <c r="BH13">
        <f t="shared" si="21"/>
        <v>0</v>
      </c>
      <c r="BI13">
        <f t="shared" si="22"/>
        <v>0</v>
      </c>
      <c r="BJ13">
        <f t="shared" si="23"/>
        <v>0</v>
      </c>
      <c r="BK13">
        <f t="shared" si="24"/>
        <v>0</v>
      </c>
      <c r="BL13">
        <f t="shared" si="25"/>
        <v>0</v>
      </c>
      <c r="BM13">
        <f t="shared" si="26"/>
        <v>0</v>
      </c>
      <c r="BN13">
        <f t="shared" si="27"/>
        <v>0</v>
      </c>
      <c r="BO13">
        <f t="shared" si="28"/>
        <v>0</v>
      </c>
      <c r="BP13">
        <f t="shared" si="29"/>
        <v>0</v>
      </c>
      <c r="BQ13">
        <f t="shared" si="30"/>
        <v>0</v>
      </c>
      <c r="BR13">
        <f t="shared" si="31"/>
        <v>0</v>
      </c>
      <c r="BS13">
        <f t="shared" si="32"/>
        <v>0</v>
      </c>
      <c r="BT13">
        <f t="shared" si="33"/>
        <v>0</v>
      </c>
      <c r="BU13">
        <f t="shared" si="34"/>
        <v>0</v>
      </c>
      <c r="BV13">
        <f t="shared" si="35"/>
        <v>0</v>
      </c>
      <c r="BW13">
        <f t="shared" si="36"/>
        <v>0</v>
      </c>
      <c r="BX13">
        <f t="shared" si="37"/>
        <v>0</v>
      </c>
      <c r="BY13">
        <f t="shared" si="38"/>
        <v>0</v>
      </c>
      <c r="BZ13">
        <f t="shared" si="39"/>
        <v>0</v>
      </c>
      <c r="CA13">
        <f t="shared" si="40"/>
        <v>0</v>
      </c>
      <c r="CB13">
        <f t="shared" si="41"/>
        <v>0</v>
      </c>
      <c r="CC13">
        <f t="shared" ca="1" si="42"/>
        <v>0</v>
      </c>
    </row>
    <row r="14" spans="1:81" ht="18.75" x14ac:dyDescent="0.2">
      <c r="A14">
        <f t="shared" si="0"/>
        <v>0</v>
      </c>
      <c r="B14">
        <f t="shared" si="44"/>
        <v>0</v>
      </c>
      <c r="C14">
        <f t="shared" si="44"/>
        <v>0</v>
      </c>
      <c r="D14">
        <f t="shared" si="44"/>
        <v>0</v>
      </c>
      <c r="E14">
        <f t="shared" si="44"/>
        <v>0</v>
      </c>
      <c r="F14">
        <f t="shared" si="44"/>
        <v>0</v>
      </c>
      <c r="G14">
        <f t="shared" si="44"/>
        <v>0</v>
      </c>
      <c r="H14" t="str">
        <f t="shared" si="44"/>
        <v/>
      </c>
      <c r="I14" t="str">
        <f t="shared" si="44"/>
        <v/>
      </c>
      <c r="J14" t="str">
        <f t="shared" si="44"/>
        <v/>
      </c>
      <c r="K14" t="str">
        <f t="shared" si="44"/>
        <v/>
      </c>
      <c r="L14" t="str">
        <f t="shared" si="45"/>
        <v/>
      </c>
      <c r="M14" t="str">
        <f t="shared" si="45"/>
        <v/>
      </c>
      <c r="N14" t="str">
        <f t="shared" si="45"/>
        <v/>
      </c>
      <c r="O14" t="str">
        <f t="shared" si="45"/>
        <v/>
      </c>
      <c r="P14" t="str">
        <f t="shared" si="45"/>
        <v/>
      </c>
      <c r="Q14" t="str">
        <f t="shared" si="45"/>
        <v/>
      </c>
      <c r="R14" t="str">
        <f t="shared" si="45"/>
        <v/>
      </c>
      <c r="S14" t="str">
        <f t="shared" si="45"/>
        <v/>
      </c>
      <c r="T14" t="str">
        <f t="shared" si="45"/>
        <v/>
      </c>
      <c r="U14" t="str">
        <f t="shared" si="45"/>
        <v/>
      </c>
      <c r="V14" t="str">
        <f t="shared" si="46"/>
        <v/>
      </c>
      <c r="W14" t="str">
        <f t="shared" si="46"/>
        <v/>
      </c>
      <c r="X14" t="str">
        <f t="shared" si="46"/>
        <v/>
      </c>
      <c r="Y14" t="str">
        <f t="shared" si="46"/>
        <v/>
      </c>
      <c r="Z14" t="str">
        <f t="shared" si="46"/>
        <v/>
      </c>
      <c r="AA14" t="str">
        <f t="shared" si="46"/>
        <v/>
      </c>
      <c r="AB14" t="str">
        <f t="shared" si="46"/>
        <v/>
      </c>
      <c r="AC14" t="str">
        <f t="shared" si="46"/>
        <v/>
      </c>
      <c r="AD14" t="str">
        <f t="shared" si="46"/>
        <v/>
      </c>
      <c r="AE14" t="str">
        <f t="shared" si="46"/>
        <v/>
      </c>
      <c r="AF14" t="str">
        <f t="shared" si="47"/>
        <v/>
      </c>
      <c r="AG14" t="str">
        <f t="shared" si="47"/>
        <v/>
      </c>
      <c r="AH14" t="str">
        <f t="shared" si="47"/>
        <v/>
      </c>
      <c r="AI14" t="str">
        <f t="shared" si="47"/>
        <v/>
      </c>
      <c r="AJ14" t="str">
        <f t="shared" si="47"/>
        <v/>
      </c>
      <c r="AK14" t="str">
        <f t="shared" si="47"/>
        <v/>
      </c>
      <c r="AM14" s="22">
        <f t="shared" si="43"/>
        <v>0</v>
      </c>
      <c r="AP14">
        <v>12</v>
      </c>
      <c r="AQ14" s="38" t="str">
        <f>IFERROR(LOOKUP(2,1/(COUNTIF($AQ$1:AQ13,CountDSDs)=0),CountDSDs),"")</f>
        <v/>
      </c>
      <c r="AR14">
        <f t="shared" si="5"/>
        <v>0</v>
      </c>
      <c r="AS14">
        <f t="shared" si="6"/>
        <v>0</v>
      </c>
      <c r="AT14">
        <f t="shared" si="7"/>
        <v>0</v>
      </c>
      <c r="AU14">
        <f t="shared" si="8"/>
        <v>0</v>
      </c>
      <c r="AV14">
        <f t="shared" si="9"/>
        <v>0</v>
      </c>
      <c r="AW14">
        <f t="shared" si="10"/>
        <v>0</v>
      </c>
      <c r="AX14">
        <f t="shared" si="11"/>
        <v>0</v>
      </c>
      <c r="AY14">
        <f t="shared" si="12"/>
        <v>0</v>
      </c>
      <c r="AZ14">
        <f t="shared" si="13"/>
        <v>0</v>
      </c>
      <c r="BA14">
        <f t="shared" si="14"/>
        <v>0</v>
      </c>
      <c r="BB14">
        <f t="shared" si="15"/>
        <v>0</v>
      </c>
      <c r="BC14">
        <f t="shared" si="16"/>
        <v>0</v>
      </c>
      <c r="BD14">
        <f t="shared" si="17"/>
        <v>0</v>
      </c>
      <c r="BE14">
        <f t="shared" si="18"/>
        <v>0</v>
      </c>
      <c r="BF14">
        <f t="shared" si="19"/>
        <v>0</v>
      </c>
      <c r="BG14">
        <f t="shared" si="20"/>
        <v>0</v>
      </c>
      <c r="BH14">
        <f t="shared" si="21"/>
        <v>0</v>
      </c>
      <c r="BI14">
        <f t="shared" si="22"/>
        <v>0</v>
      </c>
      <c r="BJ14">
        <f t="shared" si="23"/>
        <v>0</v>
      </c>
      <c r="BK14">
        <f t="shared" si="24"/>
        <v>0</v>
      </c>
      <c r="BL14">
        <f t="shared" si="25"/>
        <v>0</v>
      </c>
      <c r="BM14">
        <f t="shared" si="26"/>
        <v>0</v>
      </c>
      <c r="BN14">
        <f t="shared" si="27"/>
        <v>0</v>
      </c>
      <c r="BO14">
        <f t="shared" si="28"/>
        <v>0</v>
      </c>
      <c r="BP14">
        <f t="shared" si="29"/>
        <v>0</v>
      </c>
      <c r="BQ14">
        <f t="shared" si="30"/>
        <v>0</v>
      </c>
      <c r="BR14">
        <f t="shared" si="31"/>
        <v>0</v>
      </c>
      <c r="BS14">
        <f t="shared" si="32"/>
        <v>0</v>
      </c>
      <c r="BT14">
        <f t="shared" si="33"/>
        <v>0</v>
      </c>
      <c r="BU14">
        <f t="shared" si="34"/>
        <v>0</v>
      </c>
      <c r="BV14">
        <f t="shared" si="35"/>
        <v>0</v>
      </c>
      <c r="BW14">
        <f t="shared" si="36"/>
        <v>0</v>
      </c>
      <c r="BX14">
        <f t="shared" si="37"/>
        <v>0</v>
      </c>
      <c r="BY14">
        <f t="shared" si="38"/>
        <v>0</v>
      </c>
      <c r="BZ14">
        <f t="shared" si="39"/>
        <v>0</v>
      </c>
      <c r="CA14">
        <f t="shared" si="40"/>
        <v>0</v>
      </c>
      <c r="CB14">
        <f t="shared" si="41"/>
        <v>0</v>
      </c>
      <c r="CC14">
        <f t="shared" ca="1" si="42"/>
        <v>0</v>
      </c>
    </row>
    <row r="15" spans="1:81" ht="18.75" x14ac:dyDescent="0.2">
      <c r="A15">
        <f t="shared" si="0"/>
        <v>0</v>
      </c>
      <c r="B15">
        <f t="shared" si="44"/>
        <v>0</v>
      </c>
      <c r="C15">
        <f t="shared" si="44"/>
        <v>0</v>
      </c>
      <c r="D15">
        <f t="shared" si="44"/>
        <v>0</v>
      </c>
      <c r="E15">
        <f t="shared" si="44"/>
        <v>0</v>
      </c>
      <c r="F15">
        <f t="shared" si="44"/>
        <v>0</v>
      </c>
      <c r="G15">
        <f t="shared" si="44"/>
        <v>0</v>
      </c>
      <c r="H15" t="str">
        <f t="shared" si="44"/>
        <v/>
      </c>
      <c r="I15" t="str">
        <f t="shared" si="44"/>
        <v/>
      </c>
      <c r="J15" t="str">
        <f t="shared" si="44"/>
        <v/>
      </c>
      <c r="K15" t="str">
        <f t="shared" si="44"/>
        <v/>
      </c>
      <c r="L15" t="str">
        <f t="shared" si="45"/>
        <v/>
      </c>
      <c r="M15" t="str">
        <f t="shared" si="45"/>
        <v/>
      </c>
      <c r="N15" t="str">
        <f t="shared" si="45"/>
        <v/>
      </c>
      <c r="O15" t="str">
        <f t="shared" si="45"/>
        <v/>
      </c>
      <c r="P15" t="str">
        <f t="shared" si="45"/>
        <v/>
      </c>
      <c r="Q15" t="str">
        <f t="shared" si="45"/>
        <v/>
      </c>
      <c r="R15" t="str">
        <f t="shared" si="45"/>
        <v/>
      </c>
      <c r="S15" t="str">
        <f t="shared" si="45"/>
        <v/>
      </c>
      <c r="T15" t="str">
        <f t="shared" si="45"/>
        <v/>
      </c>
      <c r="U15" t="str">
        <f t="shared" si="45"/>
        <v/>
      </c>
      <c r="V15" t="str">
        <f t="shared" si="46"/>
        <v/>
      </c>
      <c r="W15" t="str">
        <f t="shared" si="46"/>
        <v/>
      </c>
      <c r="X15" t="str">
        <f t="shared" si="46"/>
        <v/>
      </c>
      <c r="Y15" t="str">
        <f t="shared" si="46"/>
        <v/>
      </c>
      <c r="Z15" t="str">
        <f t="shared" si="46"/>
        <v/>
      </c>
      <c r="AA15" t="str">
        <f t="shared" si="46"/>
        <v/>
      </c>
      <c r="AB15" t="str">
        <f t="shared" si="46"/>
        <v/>
      </c>
      <c r="AC15" t="str">
        <f t="shared" si="46"/>
        <v/>
      </c>
      <c r="AD15" t="str">
        <f t="shared" si="46"/>
        <v/>
      </c>
      <c r="AE15" t="str">
        <f t="shared" si="46"/>
        <v/>
      </c>
      <c r="AF15" t="str">
        <f t="shared" si="47"/>
        <v/>
      </c>
      <c r="AG15" t="str">
        <f t="shared" si="47"/>
        <v/>
      </c>
      <c r="AH15" t="str">
        <f t="shared" si="47"/>
        <v/>
      </c>
      <c r="AI15" t="str">
        <f t="shared" si="47"/>
        <v/>
      </c>
      <c r="AJ15" t="str">
        <f t="shared" si="47"/>
        <v/>
      </c>
      <c r="AK15" t="str">
        <f t="shared" si="47"/>
        <v/>
      </c>
      <c r="AM15" s="22">
        <f t="shared" si="43"/>
        <v>0</v>
      </c>
      <c r="AP15">
        <v>13</v>
      </c>
      <c r="AQ15" s="38" t="str">
        <f>IFERROR(LOOKUP(2,1/(COUNTIF($AQ$1:AQ14,CountDSDs)=0),CountDSDs),"")</f>
        <v/>
      </c>
      <c r="AR15">
        <f t="shared" si="5"/>
        <v>0</v>
      </c>
      <c r="AS15">
        <f t="shared" si="6"/>
        <v>0</v>
      </c>
      <c r="AT15">
        <f t="shared" si="7"/>
        <v>0</v>
      </c>
      <c r="AU15">
        <f t="shared" si="8"/>
        <v>0</v>
      </c>
      <c r="AV15">
        <f t="shared" si="9"/>
        <v>0</v>
      </c>
      <c r="AW15">
        <f t="shared" si="10"/>
        <v>0</v>
      </c>
      <c r="AX15">
        <f t="shared" si="11"/>
        <v>0</v>
      </c>
      <c r="AY15">
        <f t="shared" si="12"/>
        <v>0</v>
      </c>
      <c r="AZ15">
        <f t="shared" si="13"/>
        <v>0</v>
      </c>
      <c r="BA15">
        <f t="shared" si="14"/>
        <v>0</v>
      </c>
      <c r="BB15">
        <f t="shared" si="15"/>
        <v>0</v>
      </c>
      <c r="BC15">
        <f t="shared" si="16"/>
        <v>0</v>
      </c>
      <c r="BD15">
        <f t="shared" si="17"/>
        <v>0</v>
      </c>
      <c r="BE15">
        <f t="shared" si="18"/>
        <v>0</v>
      </c>
      <c r="BF15">
        <f t="shared" si="19"/>
        <v>0</v>
      </c>
      <c r="BG15">
        <f t="shared" si="20"/>
        <v>0</v>
      </c>
      <c r="BH15">
        <f t="shared" si="21"/>
        <v>0</v>
      </c>
      <c r="BI15">
        <f t="shared" si="22"/>
        <v>0</v>
      </c>
      <c r="BJ15">
        <f t="shared" si="23"/>
        <v>0</v>
      </c>
      <c r="BK15">
        <f t="shared" si="24"/>
        <v>0</v>
      </c>
      <c r="BL15">
        <f t="shared" si="25"/>
        <v>0</v>
      </c>
      <c r="BM15">
        <f t="shared" si="26"/>
        <v>0</v>
      </c>
      <c r="BN15">
        <f t="shared" si="27"/>
        <v>0</v>
      </c>
      <c r="BO15">
        <f t="shared" si="28"/>
        <v>0</v>
      </c>
      <c r="BP15">
        <f t="shared" si="29"/>
        <v>0</v>
      </c>
      <c r="BQ15">
        <f t="shared" si="30"/>
        <v>0</v>
      </c>
      <c r="BR15">
        <f t="shared" si="31"/>
        <v>0</v>
      </c>
      <c r="BS15">
        <f t="shared" si="32"/>
        <v>0</v>
      </c>
      <c r="BT15">
        <f t="shared" si="33"/>
        <v>0</v>
      </c>
      <c r="BU15">
        <f t="shared" si="34"/>
        <v>0</v>
      </c>
      <c r="BV15">
        <f t="shared" si="35"/>
        <v>0</v>
      </c>
      <c r="BW15">
        <f t="shared" si="36"/>
        <v>0</v>
      </c>
      <c r="BX15">
        <f t="shared" si="37"/>
        <v>0</v>
      </c>
      <c r="BY15">
        <f t="shared" si="38"/>
        <v>0</v>
      </c>
      <c r="BZ15">
        <f t="shared" si="39"/>
        <v>0</v>
      </c>
      <c r="CA15">
        <f t="shared" si="40"/>
        <v>0</v>
      </c>
      <c r="CB15">
        <f t="shared" si="41"/>
        <v>0</v>
      </c>
      <c r="CC15">
        <f t="shared" ca="1" si="42"/>
        <v>0</v>
      </c>
    </row>
    <row r="16" spans="1:81" ht="18.75" x14ac:dyDescent="0.2">
      <c r="A16">
        <f t="shared" si="0"/>
        <v>0</v>
      </c>
      <c r="B16">
        <f t="shared" si="44"/>
        <v>0</v>
      </c>
      <c r="C16">
        <f t="shared" si="44"/>
        <v>0</v>
      </c>
      <c r="D16">
        <f t="shared" si="44"/>
        <v>0</v>
      </c>
      <c r="E16">
        <f t="shared" si="44"/>
        <v>0</v>
      </c>
      <c r="F16">
        <f t="shared" si="44"/>
        <v>0</v>
      </c>
      <c r="G16">
        <f t="shared" si="44"/>
        <v>0</v>
      </c>
      <c r="H16" t="str">
        <f t="shared" si="44"/>
        <v/>
      </c>
      <c r="I16" t="str">
        <f t="shared" si="44"/>
        <v/>
      </c>
      <c r="J16" t="str">
        <f t="shared" si="44"/>
        <v/>
      </c>
      <c r="K16" t="str">
        <f t="shared" si="44"/>
        <v/>
      </c>
      <c r="L16" t="str">
        <f t="shared" si="45"/>
        <v/>
      </c>
      <c r="M16" t="str">
        <f t="shared" si="45"/>
        <v/>
      </c>
      <c r="N16" t="str">
        <f t="shared" si="45"/>
        <v/>
      </c>
      <c r="O16" t="str">
        <f t="shared" si="45"/>
        <v/>
      </c>
      <c r="P16" t="str">
        <f t="shared" si="45"/>
        <v/>
      </c>
      <c r="Q16" t="str">
        <f t="shared" si="45"/>
        <v/>
      </c>
      <c r="R16" t="str">
        <f t="shared" si="45"/>
        <v/>
      </c>
      <c r="S16" t="str">
        <f t="shared" si="45"/>
        <v/>
      </c>
      <c r="T16" t="str">
        <f t="shared" si="45"/>
        <v/>
      </c>
      <c r="U16" t="str">
        <f t="shared" si="45"/>
        <v/>
      </c>
      <c r="V16" t="str">
        <f t="shared" si="46"/>
        <v/>
      </c>
      <c r="W16" t="str">
        <f t="shared" si="46"/>
        <v/>
      </c>
      <c r="X16" t="str">
        <f t="shared" si="46"/>
        <v/>
      </c>
      <c r="Y16" t="str">
        <f t="shared" si="46"/>
        <v/>
      </c>
      <c r="Z16" t="str">
        <f t="shared" si="46"/>
        <v/>
      </c>
      <c r="AA16" t="str">
        <f t="shared" si="46"/>
        <v/>
      </c>
      <c r="AB16" t="str">
        <f t="shared" si="46"/>
        <v/>
      </c>
      <c r="AC16" t="str">
        <f t="shared" si="46"/>
        <v/>
      </c>
      <c r="AD16" t="str">
        <f t="shared" si="46"/>
        <v/>
      </c>
      <c r="AE16" t="str">
        <f t="shared" si="46"/>
        <v/>
      </c>
      <c r="AF16" t="str">
        <f t="shared" si="47"/>
        <v/>
      </c>
      <c r="AG16" t="str">
        <f t="shared" si="47"/>
        <v/>
      </c>
      <c r="AH16" t="str">
        <f t="shared" si="47"/>
        <v/>
      </c>
      <c r="AI16" t="str">
        <f t="shared" si="47"/>
        <v/>
      </c>
      <c r="AJ16" t="str">
        <f t="shared" si="47"/>
        <v/>
      </c>
      <c r="AK16" t="str">
        <f t="shared" si="47"/>
        <v/>
      </c>
      <c r="AM16" s="22">
        <f t="shared" si="43"/>
        <v>0</v>
      </c>
      <c r="AP16">
        <v>14</v>
      </c>
      <c r="AQ16" s="38" t="str">
        <f>IFERROR(LOOKUP(2,1/(COUNTIF($AQ$1:AQ15,CountDSDs)=0),CountDSDs),"")</f>
        <v/>
      </c>
      <c r="AR16">
        <f t="shared" si="5"/>
        <v>0</v>
      </c>
      <c r="AS16">
        <f t="shared" si="6"/>
        <v>0</v>
      </c>
      <c r="AT16">
        <f t="shared" si="7"/>
        <v>0</v>
      </c>
      <c r="AU16">
        <f t="shared" si="8"/>
        <v>0</v>
      </c>
      <c r="AV16">
        <f t="shared" si="9"/>
        <v>0</v>
      </c>
      <c r="AW16">
        <f t="shared" si="10"/>
        <v>0</v>
      </c>
      <c r="AX16">
        <f t="shared" si="11"/>
        <v>0</v>
      </c>
      <c r="AY16">
        <f t="shared" si="12"/>
        <v>0</v>
      </c>
      <c r="AZ16">
        <f t="shared" si="13"/>
        <v>0</v>
      </c>
      <c r="BA16">
        <f t="shared" si="14"/>
        <v>0</v>
      </c>
      <c r="BB16">
        <f t="shared" si="15"/>
        <v>0</v>
      </c>
      <c r="BC16">
        <f t="shared" si="16"/>
        <v>0</v>
      </c>
      <c r="BD16">
        <f t="shared" si="17"/>
        <v>0</v>
      </c>
      <c r="BE16">
        <f t="shared" si="18"/>
        <v>0</v>
      </c>
      <c r="BF16">
        <f t="shared" si="19"/>
        <v>0</v>
      </c>
      <c r="BG16">
        <f t="shared" si="20"/>
        <v>0</v>
      </c>
      <c r="BH16">
        <f t="shared" si="21"/>
        <v>0</v>
      </c>
      <c r="BI16">
        <f t="shared" si="22"/>
        <v>0</v>
      </c>
      <c r="BJ16">
        <f t="shared" si="23"/>
        <v>0</v>
      </c>
      <c r="BK16">
        <f t="shared" si="24"/>
        <v>0</v>
      </c>
      <c r="BL16">
        <f t="shared" si="25"/>
        <v>0</v>
      </c>
      <c r="BM16">
        <f t="shared" si="26"/>
        <v>0</v>
      </c>
      <c r="BN16">
        <f t="shared" si="27"/>
        <v>0</v>
      </c>
      <c r="BO16">
        <f t="shared" si="28"/>
        <v>0</v>
      </c>
      <c r="BP16">
        <f t="shared" si="29"/>
        <v>0</v>
      </c>
      <c r="BQ16">
        <f t="shared" si="30"/>
        <v>0</v>
      </c>
      <c r="BR16">
        <f t="shared" si="31"/>
        <v>0</v>
      </c>
      <c r="BS16">
        <f t="shared" si="32"/>
        <v>0</v>
      </c>
      <c r="BT16">
        <f t="shared" si="33"/>
        <v>0</v>
      </c>
      <c r="BU16">
        <f t="shared" si="34"/>
        <v>0</v>
      </c>
      <c r="BV16">
        <f t="shared" si="35"/>
        <v>0</v>
      </c>
      <c r="BW16">
        <f t="shared" si="36"/>
        <v>0</v>
      </c>
      <c r="BX16">
        <f t="shared" si="37"/>
        <v>0</v>
      </c>
      <c r="BY16">
        <f t="shared" si="38"/>
        <v>0</v>
      </c>
      <c r="BZ16">
        <f t="shared" si="39"/>
        <v>0</v>
      </c>
      <c r="CA16">
        <f t="shared" si="40"/>
        <v>0</v>
      </c>
      <c r="CB16">
        <f t="shared" si="41"/>
        <v>0</v>
      </c>
      <c r="CC16">
        <f t="shared" ca="1" si="42"/>
        <v>0</v>
      </c>
    </row>
    <row r="17" spans="1:81" ht="18.75" x14ac:dyDescent="0.2">
      <c r="A17">
        <f t="shared" si="0"/>
        <v>0</v>
      </c>
      <c r="B17">
        <f t="shared" si="44"/>
        <v>0</v>
      </c>
      <c r="C17">
        <f t="shared" si="44"/>
        <v>0</v>
      </c>
      <c r="D17">
        <f t="shared" si="44"/>
        <v>0</v>
      </c>
      <c r="E17">
        <f t="shared" si="44"/>
        <v>0</v>
      </c>
      <c r="F17">
        <f t="shared" si="44"/>
        <v>0</v>
      </c>
      <c r="G17">
        <f t="shared" si="44"/>
        <v>0</v>
      </c>
      <c r="H17" t="str">
        <f t="shared" si="44"/>
        <v/>
      </c>
      <c r="I17" t="str">
        <f t="shared" si="44"/>
        <v/>
      </c>
      <c r="J17" t="str">
        <f t="shared" si="44"/>
        <v/>
      </c>
      <c r="K17" t="str">
        <f t="shared" si="44"/>
        <v/>
      </c>
      <c r="L17" t="str">
        <f t="shared" si="45"/>
        <v/>
      </c>
      <c r="M17" t="str">
        <f t="shared" si="45"/>
        <v/>
      </c>
      <c r="N17" t="str">
        <f t="shared" si="45"/>
        <v/>
      </c>
      <c r="O17" t="str">
        <f t="shared" si="45"/>
        <v/>
      </c>
      <c r="P17" t="str">
        <f t="shared" si="45"/>
        <v/>
      </c>
      <c r="Q17" t="str">
        <f t="shared" si="45"/>
        <v/>
      </c>
      <c r="R17" t="str">
        <f t="shared" si="45"/>
        <v/>
      </c>
      <c r="S17" t="str">
        <f t="shared" si="45"/>
        <v/>
      </c>
      <c r="T17" t="str">
        <f t="shared" si="45"/>
        <v/>
      </c>
      <c r="U17" t="str">
        <f t="shared" si="45"/>
        <v/>
      </c>
      <c r="V17" t="str">
        <f t="shared" si="46"/>
        <v/>
      </c>
      <c r="W17" t="str">
        <f t="shared" si="46"/>
        <v/>
      </c>
      <c r="X17" t="str">
        <f t="shared" si="46"/>
        <v/>
      </c>
      <c r="Y17" t="str">
        <f t="shared" si="46"/>
        <v/>
      </c>
      <c r="Z17" t="str">
        <f t="shared" si="46"/>
        <v/>
      </c>
      <c r="AA17" t="str">
        <f t="shared" si="46"/>
        <v/>
      </c>
      <c r="AB17" t="str">
        <f t="shared" si="46"/>
        <v/>
      </c>
      <c r="AC17" t="str">
        <f t="shared" si="46"/>
        <v/>
      </c>
      <c r="AD17" t="str">
        <f t="shared" si="46"/>
        <v/>
      </c>
      <c r="AE17" t="str">
        <f t="shared" si="46"/>
        <v/>
      </c>
      <c r="AF17" t="str">
        <f t="shared" si="47"/>
        <v/>
      </c>
      <c r="AG17" t="str">
        <f t="shared" si="47"/>
        <v/>
      </c>
      <c r="AH17" t="str">
        <f t="shared" si="47"/>
        <v/>
      </c>
      <c r="AI17" t="str">
        <f t="shared" si="47"/>
        <v/>
      </c>
      <c r="AJ17" t="str">
        <f t="shared" si="47"/>
        <v/>
      </c>
      <c r="AK17" t="str">
        <f t="shared" si="47"/>
        <v/>
      </c>
      <c r="AM17" s="22">
        <f t="shared" si="43"/>
        <v>0</v>
      </c>
      <c r="AP17">
        <v>15</v>
      </c>
      <c r="AQ17" s="38" t="str">
        <f>IFERROR(LOOKUP(2,1/(COUNTIF($AQ$1:AQ16,CountDSDs)=0),CountDSDs),"")</f>
        <v/>
      </c>
      <c r="AR17">
        <f t="shared" si="5"/>
        <v>0</v>
      </c>
      <c r="AS17">
        <f t="shared" si="6"/>
        <v>0</v>
      </c>
      <c r="AT17">
        <f t="shared" si="7"/>
        <v>0</v>
      </c>
      <c r="AU17">
        <f t="shared" si="8"/>
        <v>0</v>
      </c>
      <c r="AV17">
        <f t="shared" si="9"/>
        <v>0</v>
      </c>
      <c r="AW17">
        <f t="shared" si="10"/>
        <v>0</v>
      </c>
      <c r="AX17">
        <f t="shared" si="11"/>
        <v>0</v>
      </c>
      <c r="AY17">
        <f t="shared" si="12"/>
        <v>0</v>
      </c>
      <c r="AZ17">
        <f t="shared" si="13"/>
        <v>0</v>
      </c>
      <c r="BA17">
        <f t="shared" si="14"/>
        <v>0</v>
      </c>
      <c r="BB17">
        <f t="shared" si="15"/>
        <v>0</v>
      </c>
      <c r="BC17">
        <f t="shared" si="16"/>
        <v>0</v>
      </c>
      <c r="BD17">
        <f t="shared" si="17"/>
        <v>0</v>
      </c>
      <c r="BE17">
        <f t="shared" si="18"/>
        <v>0</v>
      </c>
      <c r="BF17">
        <f t="shared" si="19"/>
        <v>0</v>
      </c>
      <c r="BG17">
        <f t="shared" si="20"/>
        <v>0</v>
      </c>
      <c r="BH17">
        <f t="shared" si="21"/>
        <v>0</v>
      </c>
      <c r="BI17">
        <f t="shared" si="22"/>
        <v>0</v>
      </c>
      <c r="BJ17">
        <f t="shared" si="23"/>
        <v>0</v>
      </c>
      <c r="BK17">
        <f t="shared" si="24"/>
        <v>0</v>
      </c>
      <c r="BL17">
        <f t="shared" si="25"/>
        <v>0</v>
      </c>
      <c r="BM17">
        <f t="shared" si="26"/>
        <v>0</v>
      </c>
      <c r="BN17">
        <f t="shared" si="27"/>
        <v>0</v>
      </c>
      <c r="BO17">
        <f t="shared" si="28"/>
        <v>0</v>
      </c>
      <c r="BP17">
        <f t="shared" si="29"/>
        <v>0</v>
      </c>
      <c r="BQ17">
        <f t="shared" si="30"/>
        <v>0</v>
      </c>
      <c r="BR17">
        <f t="shared" si="31"/>
        <v>0</v>
      </c>
      <c r="BS17">
        <f t="shared" si="32"/>
        <v>0</v>
      </c>
      <c r="BT17">
        <f t="shared" si="33"/>
        <v>0</v>
      </c>
      <c r="BU17">
        <f t="shared" si="34"/>
        <v>0</v>
      </c>
      <c r="BV17">
        <f t="shared" si="35"/>
        <v>0</v>
      </c>
      <c r="BW17">
        <f t="shared" si="36"/>
        <v>0</v>
      </c>
      <c r="BX17">
        <f t="shared" si="37"/>
        <v>0</v>
      </c>
      <c r="BY17">
        <f t="shared" si="38"/>
        <v>0</v>
      </c>
      <c r="BZ17">
        <f t="shared" si="39"/>
        <v>0</v>
      </c>
      <c r="CA17">
        <f t="shared" si="40"/>
        <v>0</v>
      </c>
      <c r="CB17">
        <f t="shared" si="41"/>
        <v>0</v>
      </c>
      <c r="CC17">
        <f t="shared" ca="1" si="42"/>
        <v>0</v>
      </c>
    </row>
    <row r="18" spans="1:81" ht="18.75" x14ac:dyDescent="0.2">
      <c r="A18">
        <f t="shared" si="0"/>
        <v>0</v>
      </c>
      <c r="B18">
        <f t="shared" si="44"/>
        <v>0</v>
      </c>
      <c r="C18">
        <f t="shared" si="44"/>
        <v>0</v>
      </c>
      <c r="D18">
        <f t="shared" si="44"/>
        <v>0</v>
      </c>
      <c r="E18">
        <f t="shared" si="44"/>
        <v>0</v>
      </c>
      <c r="F18">
        <f t="shared" si="44"/>
        <v>0</v>
      </c>
      <c r="G18">
        <f t="shared" si="44"/>
        <v>0</v>
      </c>
      <c r="H18" t="str">
        <f t="shared" si="44"/>
        <v/>
      </c>
      <c r="I18" t="str">
        <f t="shared" si="44"/>
        <v/>
      </c>
      <c r="J18" t="str">
        <f t="shared" si="44"/>
        <v/>
      </c>
      <c r="K18" t="str">
        <f t="shared" si="44"/>
        <v/>
      </c>
      <c r="L18" t="str">
        <f t="shared" si="45"/>
        <v/>
      </c>
      <c r="M18" t="str">
        <f t="shared" si="45"/>
        <v/>
      </c>
      <c r="N18" t="str">
        <f t="shared" si="45"/>
        <v/>
      </c>
      <c r="O18" t="str">
        <f t="shared" si="45"/>
        <v/>
      </c>
      <c r="P18" t="str">
        <f t="shared" si="45"/>
        <v/>
      </c>
      <c r="Q18" t="str">
        <f t="shared" si="45"/>
        <v/>
      </c>
      <c r="R18" t="str">
        <f t="shared" si="45"/>
        <v/>
      </c>
      <c r="S18" t="str">
        <f t="shared" si="45"/>
        <v/>
      </c>
      <c r="T18" t="str">
        <f t="shared" si="45"/>
        <v/>
      </c>
      <c r="U18" t="str">
        <f t="shared" si="45"/>
        <v/>
      </c>
      <c r="V18" t="str">
        <f t="shared" si="46"/>
        <v/>
      </c>
      <c r="W18" t="str">
        <f t="shared" si="46"/>
        <v/>
      </c>
      <c r="X18" t="str">
        <f t="shared" si="46"/>
        <v/>
      </c>
      <c r="Y18" t="str">
        <f t="shared" si="46"/>
        <v/>
      </c>
      <c r="Z18" t="str">
        <f t="shared" si="46"/>
        <v/>
      </c>
      <c r="AA18" t="str">
        <f t="shared" si="46"/>
        <v/>
      </c>
      <c r="AB18" t="str">
        <f t="shared" si="46"/>
        <v/>
      </c>
      <c r="AC18" t="str">
        <f t="shared" si="46"/>
        <v/>
      </c>
      <c r="AD18" t="str">
        <f t="shared" si="46"/>
        <v/>
      </c>
      <c r="AE18" t="str">
        <f t="shared" si="46"/>
        <v/>
      </c>
      <c r="AF18" t="str">
        <f t="shared" si="47"/>
        <v/>
      </c>
      <c r="AG18" t="str">
        <f t="shared" si="47"/>
        <v/>
      </c>
      <c r="AH18" t="str">
        <f t="shared" si="47"/>
        <v/>
      </c>
      <c r="AI18" t="str">
        <f t="shared" si="47"/>
        <v/>
      </c>
      <c r="AJ18" t="str">
        <f t="shared" si="47"/>
        <v/>
      </c>
      <c r="AK18" t="str">
        <f t="shared" si="47"/>
        <v/>
      </c>
      <c r="AM18" s="22">
        <f t="shared" si="43"/>
        <v>0</v>
      </c>
      <c r="AP18">
        <v>16</v>
      </c>
      <c r="AQ18" s="38" t="str">
        <f>IFERROR(LOOKUP(2,1/(COUNTIF($AQ$1:AQ17,CountDSDs)=0),CountDSDs),"")</f>
        <v/>
      </c>
      <c r="AR18">
        <f t="shared" si="5"/>
        <v>0</v>
      </c>
      <c r="AS18">
        <f t="shared" si="6"/>
        <v>0</v>
      </c>
      <c r="AT18">
        <f t="shared" si="7"/>
        <v>0</v>
      </c>
      <c r="AU18">
        <f t="shared" si="8"/>
        <v>0</v>
      </c>
      <c r="AV18">
        <f t="shared" si="9"/>
        <v>0</v>
      </c>
      <c r="AW18">
        <f t="shared" si="10"/>
        <v>0</v>
      </c>
      <c r="AX18">
        <f t="shared" si="11"/>
        <v>0</v>
      </c>
      <c r="AY18">
        <f t="shared" si="12"/>
        <v>0</v>
      </c>
      <c r="AZ18">
        <f t="shared" si="13"/>
        <v>0</v>
      </c>
      <c r="BA18">
        <f t="shared" si="14"/>
        <v>0</v>
      </c>
      <c r="BB18">
        <f t="shared" si="15"/>
        <v>0</v>
      </c>
      <c r="BC18">
        <f t="shared" si="16"/>
        <v>0</v>
      </c>
      <c r="BD18">
        <f t="shared" si="17"/>
        <v>0</v>
      </c>
      <c r="BE18">
        <f t="shared" si="18"/>
        <v>0</v>
      </c>
      <c r="BF18">
        <f t="shared" si="19"/>
        <v>0</v>
      </c>
      <c r="BG18">
        <f t="shared" si="20"/>
        <v>0</v>
      </c>
      <c r="BH18">
        <f t="shared" si="21"/>
        <v>0</v>
      </c>
      <c r="BI18">
        <f t="shared" si="22"/>
        <v>0</v>
      </c>
      <c r="BJ18">
        <f t="shared" si="23"/>
        <v>0</v>
      </c>
      <c r="BK18">
        <f t="shared" si="24"/>
        <v>0</v>
      </c>
      <c r="BL18">
        <f t="shared" si="25"/>
        <v>0</v>
      </c>
      <c r="BM18">
        <f t="shared" si="26"/>
        <v>0</v>
      </c>
      <c r="BN18">
        <f t="shared" si="27"/>
        <v>0</v>
      </c>
      <c r="BO18">
        <f t="shared" si="28"/>
        <v>0</v>
      </c>
      <c r="BP18">
        <f t="shared" si="29"/>
        <v>0</v>
      </c>
      <c r="BQ18">
        <f t="shared" si="30"/>
        <v>0</v>
      </c>
      <c r="BR18">
        <f t="shared" si="31"/>
        <v>0</v>
      </c>
      <c r="BS18">
        <f t="shared" si="32"/>
        <v>0</v>
      </c>
      <c r="BT18">
        <f t="shared" si="33"/>
        <v>0</v>
      </c>
      <c r="BU18">
        <f t="shared" si="34"/>
        <v>0</v>
      </c>
      <c r="BV18">
        <f t="shared" si="35"/>
        <v>0</v>
      </c>
      <c r="BW18">
        <f t="shared" si="36"/>
        <v>0</v>
      </c>
      <c r="BX18">
        <f t="shared" si="37"/>
        <v>0</v>
      </c>
      <c r="BY18">
        <f t="shared" si="38"/>
        <v>0</v>
      </c>
      <c r="BZ18">
        <f t="shared" si="39"/>
        <v>0</v>
      </c>
      <c r="CA18">
        <f t="shared" si="40"/>
        <v>0</v>
      </c>
      <c r="CB18">
        <f t="shared" si="41"/>
        <v>0</v>
      </c>
      <c r="CC18">
        <f t="shared" ca="1" si="42"/>
        <v>0</v>
      </c>
    </row>
    <row r="19" spans="1:81" ht="18.75" x14ac:dyDescent="0.2">
      <c r="A19">
        <f t="shared" si="0"/>
        <v>0</v>
      </c>
      <c r="B19">
        <f t="shared" si="44"/>
        <v>0</v>
      </c>
      <c r="C19">
        <f t="shared" si="44"/>
        <v>0</v>
      </c>
      <c r="D19">
        <f t="shared" si="44"/>
        <v>0</v>
      </c>
      <c r="E19">
        <f t="shared" si="44"/>
        <v>0</v>
      </c>
      <c r="F19">
        <f t="shared" si="44"/>
        <v>0</v>
      </c>
      <c r="G19">
        <f t="shared" si="44"/>
        <v>0</v>
      </c>
      <c r="H19" t="str">
        <f t="shared" si="44"/>
        <v/>
      </c>
      <c r="I19" t="str">
        <f t="shared" si="44"/>
        <v/>
      </c>
      <c r="J19" t="str">
        <f t="shared" si="44"/>
        <v/>
      </c>
      <c r="K19" t="str">
        <f t="shared" si="44"/>
        <v/>
      </c>
      <c r="L19" t="str">
        <f t="shared" si="45"/>
        <v/>
      </c>
      <c r="M19" t="str">
        <f t="shared" si="45"/>
        <v/>
      </c>
      <c r="N19" t="str">
        <f t="shared" si="45"/>
        <v/>
      </c>
      <c r="O19" t="str">
        <f t="shared" si="45"/>
        <v/>
      </c>
      <c r="P19" t="str">
        <f t="shared" si="45"/>
        <v/>
      </c>
      <c r="Q19" t="str">
        <f t="shared" si="45"/>
        <v/>
      </c>
      <c r="R19" t="str">
        <f t="shared" si="45"/>
        <v/>
      </c>
      <c r="S19" t="str">
        <f t="shared" si="45"/>
        <v/>
      </c>
      <c r="T19" t="str">
        <f t="shared" si="45"/>
        <v/>
      </c>
      <c r="U19" t="str">
        <f t="shared" si="45"/>
        <v/>
      </c>
      <c r="V19" t="str">
        <f t="shared" si="46"/>
        <v/>
      </c>
      <c r="W19" t="str">
        <f t="shared" si="46"/>
        <v/>
      </c>
      <c r="X19" t="str">
        <f t="shared" si="46"/>
        <v/>
      </c>
      <c r="Y19" t="str">
        <f t="shared" si="46"/>
        <v/>
      </c>
      <c r="Z19" t="str">
        <f t="shared" si="46"/>
        <v/>
      </c>
      <c r="AA19" t="str">
        <f t="shared" si="46"/>
        <v/>
      </c>
      <c r="AB19" t="str">
        <f t="shared" si="46"/>
        <v/>
      </c>
      <c r="AC19" t="str">
        <f t="shared" si="46"/>
        <v/>
      </c>
      <c r="AD19" t="str">
        <f t="shared" si="46"/>
        <v/>
      </c>
      <c r="AE19" t="str">
        <f t="shared" si="46"/>
        <v/>
      </c>
      <c r="AF19" t="str">
        <f t="shared" si="47"/>
        <v/>
      </c>
      <c r="AG19" t="str">
        <f t="shared" si="47"/>
        <v/>
      </c>
      <c r="AH19" t="str">
        <f t="shared" si="47"/>
        <v/>
      </c>
      <c r="AI19" t="str">
        <f t="shared" si="47"/>
        <v/>
      </c>
      <c r="AJ19" t="str">
        <f t="shared" si="47"/>
        <v/>
      </c>
      <c r="AK19" t="str">
        <f t="shared" si="47"/>
        <v/>
      </c>
      <c r="AM19" s="22">
        <f t="shared" si="43"/>
        <v>0</v>
      </c>
      <c r="AP19">
        <v>17</v>
      </c>
      <c r="AQ19" s="38" t="str">
        <f>IFERROR(LOOKUP(2,1/(COUNTIF($AQ$1:AQ18,CountDSDs)=0),CountDSDs),"")</f>
        <v/>
      </c>
      <c r="AR19">
        <f t="shared" si="5"/>
        <v>0</v>
      </c>
      <c r="AS19">
        <f t="shared" si="6"/>
        <v>0</v>
      </c>
      <c r="AT19">
        <f t="shared" si="7"/>
        <v>0</v>
      </c>
      <c r="AU19">
        <f t="shared" si="8"/>
        <v>0</v>
      </c>
      <c r="AV19">
        <f t="shared" si="9"/>
        <v>0</v>
      </c>
      <c r="AW19">
        <f t="shared" si="10"/>
        <v>0</v>
      </c>
      <c r="AX19">
        <f t="shared" si="11"/>
        <v>0</v>
      </c>
      <c r="AY19">
        <f t="shared" si="12"/>
        <v>0</v>
      </c>
      <c r="AZ19">
        <f t="shared" si="13"/>
        <v>0</v>
      </c>
      <c r="BA19">
        <f t="shared" si="14"/>
        <v>0</v>
      </c>
      <c r="BB19">
        <f t="shared" si="15"/>
        <v>0</v>
      </c>
      <c r="BC19">
        <f t="shared" si="16"/>
        <v>0</v>
      </c>
      <c r="BD19">
        <f t="shared" si="17"/>
        <v>0</v>
      </c>
      <c r="BE19">
        <f t="shared" si="18"/>
        <v>0</v>
      </c>
      <c r="BF19">
        <f t="shared" si="19"/>
        <v>0</v>
      </c>
      <c r="BG19">
        <f t="shared" si="20"/>
        <v>0</v>
      </c>
      <c r="BH19">
        <f t="shared" si="21"/>
        <v>0</v>
      </c>
      <c r="BI19">
        <f t="shared" si="22"/>
        <v>0</v>
      </c>
      <c r="BJ19">
        <f t="shared" si="23"/>
        <v>0</v>
      </c>
      <c r="BK19">
        <f t="shared" si="24"/>
        <v>0</v>
      </c>
      <c r="BL19">
        <f t="shared" si="25"/>
        <v>0</v>
      </c>
      <c r="BM19">
        <f t="shared" si="26"/>
        <v>0</v>
      </c>
      <c r="BN19">
        <f t="shared" si="27"/>
        <v>0</v>
      </c>
      <c r="BO19">
        <f t="shared" si="28"/>
        <v>0</v>
      </c>
      <c r="BP19">
        <f t="shared" si="29"/>
        <v>0</v>
      </c>
      <c r="BQ19">
        <f t="shared" si="30"/>
        <v>0</v>
      </c>
      <c r="BR19">
        <f t="shared" si="31"/>
        <v>0</v>
      </c>
      <c r="BS19">
        <f t="shared" si="32"/>
        <v>0</v>
      </c>
      <c r="BT19">
        <f t="shared" si="33"/>
        <v>0</v>
      </c>
      <c r="BU19">
        <f t="shared" si="34"/>
        <v>0</v>
      </c>
      <c r="BV19">
        <f t="shared" si="35"/>
        <v>0</v>
      </c>
      <c r="BW19">
        <f t="shared" si="36"/>
        <v>0</v>
      </c>
      <c r="BX19">
        <f t="shared" si="37"/>
        <v>0</v>
      </c>
      <c r="BY19">
        <f t="shared" si="38"/>
        <v>0</v>
      </c>
      <c r="BZ19">
        <f t="shared" si="39"/>
        <v>0</v>
      </c>
      <c r="CA19">
        <f t="shared" si="40"/>
        <v>0</v>
      </c>
      <c r="CB19">
        <f t="shared" si="41"/>
        <v>0</v>
      </c>
      <c r="CC19">
        <f t="shared" ca="1" si="42"/>
        <v>0</v>
      </c>
    </row>
    <row r="20" spans="1:81" ht="18.75" x14ac:dyDescent="0.2">
      <c r="A20">
        <f t="shared" si="0"/>
        <v>0</v>
      </c>
      <c r="B20">
        <f t="shared" si="44"/>
        <v>0</v>
      </c>
      <c r="C20">
        <f t="shared" si="44"/>
        <v>0</v>
      </c>
      <c r="D20">
        <f t="shared" si="44"/>
        <v>0</v>
      </c>
      <c r="E20">
        <f t="shared" si="44"/>
        <v>0</v>
      </c>
      <c r="F20">
        <f t="shared" si="44"/>
        <v>0</v>
      </c>
      <c r="G20">
        <f t="shared" si="44"/>
        <v>0</v>
      </c>
      <c r="H20" t="str">
        <f t="shared" si="44"/>
        <v/>
      </c>
      <c r="I20" t="str">
        <f t="shared" si="44"/>
        <v/>
      </c>
      <c r="J20" t="str">
        <f t="shared" si="44"/>
        <v/>
      </c>
      <c r="K20" t="str">
        <f t="shared" si="44"/>
        <v/>
      </c>
      <c r="L20" t="str">
        <f t="shared" si="45"/>
        <v/>
      </c>
      <c r="M20" t="str">
        <f t="shared" si="45"/>
        <v/>
      </c>
      <c r="N20" t="str">
        <f t="shared" si="45"/>
        <v/>
      </c>
      <c r="O20" t="str">
        <f t="shared" si="45"/>
        <v/>
      </c>
      <c r="P20" t="str">
        <f t="shared" si="45"/>
        <v/>
      </c>
      <c r="Q20" t="str">
        <f t="shared" si="45"/>
        <v/>
      </c>
      <c r="R20" t="str">
        <f t="shared" si="45"/>
        <v/>
      </c>
      <c r="S20" t="str">
        <f t="shared" si="45"/>
        <v/>
      </c>
      <c r="T20" t="str">
        <f t="shared" si="45"/>
        <v/>
      </c>
      <c r="U20" t="str">
        <f t="shared" si="45"/>
        <v/>
      </c>
      <c r="V20" t="str">
        <f t="shared" si="46"/>
        <v/>
      </c>
      <c r="W20" t="str">
        <f t="shared" si="46"/>
        <v/>
      </c>
      <c r="X20" t="str">
        <f t="shared" si="46"/>
        <v/>
      </c>
      <c r="Y20" t="str">
        <f t="shared" si="46"/>
        <v/>
      </c>
      <c r="Z20" t="str">
        <f t="shared" si="46"/>
        <v/>
      </c>
      <c r="AA20" t="str">
        <f t="shared" si="46"/>
        <v/>
      </c>
      <c r="AB20" t="str">
        <f t="shared" si="46"/>
        <v/>
      </c>
      <c r="AC20" t="str">
        <f t="shared" si="46"/>
        <v/>
      </c>
      <c r="AD20" t="str">
        <f t="shared" si="46"/>
        <v/>
      </c>
      <c r="AE20" t="str">
        <f t="shared" si="46"/>
        <v/>
      </c>
      <c r="AF20" t="str">
        <f t="shared" si="47"/>
        <v/>
      </c>
      <c r="AG20" t="str">
        <f t="shared" si="47"/>
        <v/>
      </c>
      <c r="AH20" t="str">
        <f t="shared" si="47"/>
        <v/>
      </c>
      <c r="AI20" t="str">
        <f t="shared" si="47"/>
        <v/>
      </c>
      <c r="AJ20" t="str">
        <f t="shared" si="47"/>
        <v/>
      </c>
      <c r="AK20" t="str">
        <f t="shared" si="47"/>
        <v/>
      </c>
      <c r="AM20" s="22">
        <f t="shared" si="43"/>
        <v>0</v>
      </c>
      <c r="AP20">
        <v>18</v>
      </c>
      <c r="AQ20" s="38" t="str">
        <f>IFERROR(LOOKUP(2,1/(COUNTIF($AQ$1:AQ19,CountDSDs)=0),CountDSDs),"")</f>
        <v/>
      </c>
      <c r="AR20">
        <f t="shared" si="5"/>
        <v>0</v>
      </c>
      <c r="AS20">
        <f t="shared" si="6"/>
        <v>0</v>
      </c>
      <c r="AT20">
        <f t="shared" si="7"/>
        <v>0</v>
      </c>
      <c r="AU20">
        <f t="shared" si="8"/>
        <v>0</v>
      </c>
      <c r="AV20">
        <f t="shared" si="9"/>
        <v>0</v>
      </c>
      <c r="AW20">
        <f t="shared" si="10"/>
        <v>0</v>
      </c>
      <c r="AX20">
        <f t="shared" si="11"/>
        <v>0</v>
      </c>
      <c r="AY20">
        <f t="shared" si="12"/>
        <v>0</v>
      </c>
      <c r="AZ20">
        <f t="shared" si="13"/>
        <v>0</v>
      </c>
      <c r="BA20">
        <f t="shared" si="14"/>
        <v>0</v>
      </c>
      <c r="BB20">
        <f t="shared" si="15"/>
        <v>0</v>
      </c>
      <c r="BC20">
        <f t="shared" si="16"/>
        <v>0</v>
      </c>
      <c r="BD20">
        <f t="shared" si="17"/>
        <v>0</v>
      </c>
      <c r="BE20">
        <f t="shared" si="18"/>
        <v>0</v>
      </c>
      <c r="BF20">
        <f t="shared" si="19"/>
        <v>0</v>
      </c>
      <c r="BG20">
        <f t="shared" si="20"/>
        <v>0</v>
      </c>
      <c r="BH20">
        <f t="shared" si="21"/>
        <v>0</v>
      </c>
      <c r="BI20">
        <f t="shared" si="22"/>
        <v>0</v>
      </c>
      <c r="BJ20">
        <f t="shared" si="23"/>
        <v>0</v>
      </c>
      <c r="BK20">
        <f t="shared" si="24"/>
        <v>0</v>
      </c>
      <c r="BL20">
        <f t="shared" si="25"/>
        <v>0</v>
      </c>
      <c r="BM20">
        <f t="shared" si="26"/>
        <v>0</v>
      </c>
      <c r="BN20">
        <f t="shared" si="27"/>
        <v>0</v>
      </c>
      <c r="BO20">
        <f t="shared" si="28"/>
        <v>0</v>
      </c>
      <c r="BP20">
        <f t="shared" si="29"/>
        <v>0</v>
      </c>
      <c r="BQ20">
        <f t="shared" si="30"/>
        <v>0</v>
      </c>
      <c r="BR20">
        <f t="shared" si="31"/>
        <v>0</v>
      </c>
      <c r="BS20">
        <f t="shared" si="32"/>
        <v>0</v>
      </c>
      <c r="BT20">
        <f t="shared" si="33"/>
        <v>0</v>
      </c>
      <c r="BU20">
        <f t="shared" si="34"/>
        <v>0</v>
      </c>
      <c r="BV20">
        <f t="shared" si="35"/>
        <v>0</v>
      </c>
      <c r="BW20">
        <f t="shared" si="36"/>
        <v>0</v>
      </c>
      <c r="BX20">
        <f t="shared" si="37"/>
        <v>0</v>
      </c>
      <c r="BY20">
        <f t="shared" si="38"/>
        <v>0</v>
      </c>
      <c r="BZ20">
        <f t="shared" si="39"/>
        <v>0</v>
      </c>
      <c r="CA20">
        <f t="shared" si="40"/>
        <v>0</v>
      </c>
      <c r="CB20">
        <f t="shared" si="41"/>
        <v>0</v>
      </c>
      <c r="CC20">
        <f t="shared" ca="1" si="42"/>
        <v>0</v>
      </c>
    </row>
    <row r="21" spans="1:81" ht="18.75" x14ac:dyDescent="0.2">
      <c r="A21">
        <f t="shared" si="0"/>
        <v>0</v>
      </c>
      <c r="B21">
        <f t="shared" si="44"/>
        <v>0</v>
      </c>
      <c r="C21">
        <f t="shared" si="44"/>
        <v>0</v>
      </c>
      <c r="D21">
        <f t="shared" si="44"/>
        <v>0</v>
      </c>
      <c r="E21">
        <f t="shared" si="44"/>
        <v>0</v>
      </c>
      <c r="F21">
        <f t="shared" si="44"/>
        <v>0</v>
      </c>
      <c r="G21">
        <f t="shared" si="44"/>
        <v>0</v>
      </c>
      <c r="H21" t="str">
        <f t="shared" si="44"/>
        <v/>
      </c>
      <c r="I21" t="str">
        <f t="shared" si="44"/>
        <v/>
      </c>
      <c r="J21" t="str">
        <f t="shared" si="44"/>
        <v/>
      </c>
      <c r="K21" t="str">
        <f t="shared" si="44"/>
        <v/>
      </c>
      <c r="L21" t="str">
        <f t="shared" si="45"/>
        <v/>
      </c>
      <c r="M21" t="str">
        <f t="shared" si="45"/>
        <v/>
      </c>
      <c r="N21" t="str">
        <f t="shared" si="45"/>
        <v/>
      </c>
      <c r="O21" t="str">
        <f t="shared" si="45"/>
        <v/>
      </c>
      <c r="P21" t="str">
        <f t="shared" si="45"/>
        <v/>
      </c>
      <c r="Q21" t="str">
        <f t="shared" si="45"/>
        <v/>
      </c>
      <c r="R21" t="str">
        <f t="shared" si="45"/>
        <v/>
      </c>
      <c r="S21" t="str">
        <f t="shared" si="45"/>
        <v/>
      </c>
      <c r="T21" t="str">
        <f t="shared" si="45"/>
        <v/>
      </c>
      <c r="U21" t="str">
        <f t="shared" si="45"/>
        <v/>
      </c>
      <c r="V21" t="str">
        <f t="shared" si="46"/>
        <v/>
      </c>
      <c r="W21" t="str">
        <f t="shared" si="46"/>
        <v/>
      </c>
      <c r="X21" t="str">
        <f t="shared" si="46"/>
        <v/>
      </c>
      <c r="Y21" t="str">
        <f t="shared" si="46"/>
        <v/>
      </c>
      <c r="Z21" t="str">
        <f t="shared" si="46"/>
        <v/>
      </c>
      <c r="AA21" t="str">
        <f t="shared" si="46"/>
        <v/>
      </c>
      <c r="AB21" t="str">
        <f t="shared" si="46"/>
        <v/>
      </c>
      <c r="AC21" t="str">
        <f t="shared" si="46"/>
        <v/>
      </c>
      <c r="AD21" t="str">
        <f t="shared" si="46"/>
        <v/>
      </c>
      <c r="AE21" t="str">
        <f t="shared" si="46"/>
        <v/>
      </c>
      <c r="AF21" t="str">
        <f t="shared" si="47"/>
        <v/>
      </c>
      <c r="AG21" t="str">
        <f t="shared" si="47"/>
        <v/>
      </c>
      <c r="AH21" t="str">
        <f t="shared" si="47"/>
        <v/>
      </c>
      <c r="AI21" t="str">
        <f t="shared" si="47"/>
        <v/>
      </c>
      <c r="AJ21" t="str">
        <f t="shared" si="47"/>
        <v/>
      </c>
      <c r="AK21" t="str">
        <f t="shared" si="47"/>
        <v/>
      </c>
      <c r="AM21" s="22">
        <f t="shared" si="43"/>
        <v>0</v>
      </c>
      <c r="AP21">
        <v>19</v>
      </c>
      <c r="AQ21" s="38" t="str">
        <f>IFERROR(LOOKUP(2,1/(COUNTIF($AQ$1:AQ20,CountDSDs)=0),CountDSDs),"")</f>
        <v/>
      </c>
      <c r="AR21">
        <f t="shared" si="5"/>
        <v>0</v>
      </c>
      <c r="AS21">
        <f t="shared" si="6"/>
        <v>0</v>
      </c>
      <c r="AT21">
        <f t="shared" si="7"/>
        <v>0</v>
      </c>
      <c r="AU21">
        <f t="shared" si="8"/>
        <v>0</v>
      </c>
      <c r="AV21">
        <f t="shared" si="9"/>
        <v>0</v>
      </c>
      <c r="AW21">
        <f t="shared" si="10"/>
        <v>0</v>
      </c>
      <c r="AX21">
        <f t="shared" si="11"/>
        <v>0</v>
      </c>
      <c r="AY21">
        <f t="shared" si="12"/>
        <v>0</v>
      </c>
      <c r="AZ21">
        <f t="shared" si="13"/>
        <v>0</v>
      </c>
      <c r="BA21">
        <f t="shared" si="14"/>
        <v>0</v>
      </c>
      <c r="BB21">
        <f t="shared" si="15"/>
        <v>0</v>
      </c>
      <c r="BC21">
        <f t="shared" si="16"/>
        <v>0</v>
      </c>
      <c r="BD21">
        <f t="shared" si="17"/>
        <v>0</v>
      </c>
      <c r="BE21">
        <f t="shared" si="18"/>
        <v>0</v>
      </c>
      <c r="BF21">
        <f t="shared" si="19"/>
        <v>0</v>
      </c>
      <c r="BG21">
        <f t="shared" si="20"/>
        <v>0</v>
      </c>
      <c r="BH21">
        <f t="shared" si="21"/>
        <v>0</v>
      </c>
      <c r="BI21">
        <f t="shared" si="22"/>
        <v>0</v>
      </c>
      <c r="BJ21">
        <f t="shared" si="23"/>
        <v>0</v>
      </c>
      <c r="BK21">
        <f t="shared" si="24"/>
        <v>0</v>
      </c>
      <c r="BL21">
        <f t="shared" si="25"/>
        <v>0</v>
      </c>
      <c r="BM21">
        <f t="shared" si="26"/>
        <v>0</v>
      </c>
      <c r="BN21">
        <f t="shared" si="27"/>
        <v>0</v>
      </c>
      <c r="BO21">
        <f t="shared" si="28"/>
        <v>0</v>
      </c>
      <c r="BP21">
        <f t="shared" si="29"/>
        <v>0</v>
      </c>
      <c r="BQ21">
        <f t="shared" si="30"/>
        <v>0</v>
      </c>
      <c r="BR21">
        <f t="shared" si="31"/>
        <v>0</v>
      </c>
      <c r="BS21">
        <f t="shared" si="32"/>
        <v>0</v>
      </c>
      <c r="BT21">
        <f t="shared" si="33"/>
        <v>0</v>
      </c>
      <c r="BU21">
        <f t="shared" si="34"/>
        <v>0</v>
      </c>
      <c r="BV21">
        <f t="shared" si="35"/>
        <v>0</v>
      </c>
      <c r="BW21">
        <f t="shared" si="36"/>
        <v>0</v>
      </c>
      <c r="BX21">
        <f t="shared" si="37"/>
        <v>0</v>
      </c>
      <c r="BY21">
        <f t="shared" si="38"/>
        <v>0</v>
      </c>
      <c r="BZ21">
        <f t="shared" si="39"/>
        <v>0</v>
      </c>
      <c r="CA21">
        <f t="shared" si="40"/>
        <v>0</v>
      </c>
      <c r="CB21">
        <f t="shared" si="41"/>
        <v>0</v>
      </c>
      <c r="CC21">
        <f t="shared" ca="1" si="42"/>
        <v>0</v>
      </c>
    </row>
    <row r="22" spans="1:81" ht="18.75" x14ac:dyDescent="0.2">
      <c r="A22">
        <f t="shared" si="0"/>
        <v>0</v>
      </c>
      <c r="B22">
        <f t="shared" ref="B22:K31" si="48">IFERROR(IF(INDEX(ConDimVals,ROW(A21),COLUMN(A21))="",0,1),"")</f>
        <v>0</v>
      </c>
      <c r="C22">
        <f t="shared" si="48"/>
        <v>0</v>
      </c>
      <c r="D22">
        <f t="shared" si="48"/>
        <v>0</v>
      </c>
      <c r="E22">
        <f t="shared" si="48"/>
        <v>0</v>
      </c>
      <c r="F22">
        <f t="shared" si="48"/>
        <v>0</v>
      </c>
      <c r="G22">
        <f t="shared" si="48"/>
        <v>0</v>
      </c>
      <c r="H22" t="str">
        <f t="shared" si="48"/>
        <v/>
      </c>
      <c r="I22" t="str">
        <f t="shared" si="48"/>
        <v/>
      </c>
      <c r="J22" t="str">
        <f t="shared" si="48"/>
        <v/>
      </c>
      <c r="K22" t="str">
        <f t="shared" si="48"/>
        <v/>
      </c>
      <c r="L22" t="str">
        <f t="shared" ref="L22:U31" si="49">IFERROR(IF(INDEX(ConDimVals,ROW(K21),COLUMN(K21))="",0,1),"")</f>
        <v/>
      </c>
      <c r="M22" t="str">
        <f t="shared" si="49"/>
        <v/>
      </c>
      <c r="N22" t="str">
        <f t="shared" si="49"/>
        <v/>
      </c>
      <c r="O22" t="str">
        <f t="shared" si="49"/>
        <v/>
      </c>
      <c r="P22" t="str">
        <f t="shared" si="49"/>
        <v/>
      </c>
      <c r="Q22" t="str">
        <f t="shared" si="49"/>
        <v/>
      </c>
      <c r="R22" t="str">
        <f t="shared" si="49"/>
        <v/>
      </c>
      <c r="S22" t="str">
        <f t="shared" si="49"/>
        <v/>
      </c>
      <c r="T22" t="str">
        <f t="shared" si="49"/>
        <v/>
      </c>
      <c r="U22" t="str">
        <f t="shared" si="49"/>
        <v/>
      </c>
      <c r="V22" t="str">
        <f t="shared" ref="V22:AE31" si="50">IFERROR(IF(INDEX(ConDimVals,ROW(U21),COLUMN(U21))="",0,1),"")</f>
        <v/>
      </c>
      <c r="W22" t="str">
        <f t="shared" si="50"/>
        <v/>
      </c>
      <c r="X22" t="str">
        <f t="shared" si="50"/>
        <v/>
      </c>
      <c r="Y22" t="str">
        <f t="shared" si="50"/>
        <v/>
      </c>
      <c r="Z22" t="str">
        <f t="shared" si="50"/>
        <v/>
      </c>
      <c r="AA22" t="str">
        <f t="shared" si="50"/>
        <v/>
      </c>
      <c r="AB22" t="str">
        <f t="shared" si="50"/>
        <v/>
      </c>
      <c r="AC22" t="str">
        <f t="shared" si="50"/>
        <v/>
      </c>
      <c r="AD22" t="str">
        <f t="shared" si="50"/>
        <v/>
      </c>
      <c r="AE22" t="str">
        <f t="shared" si="50"/>
        <v/>
      </c>
      <c r="AF22" t="str">
        <f t="shared" ref="AF22:AK31" si="51">IFERROR(IF(INDEX(ConDimVals,ROW(AE21),COLUMN(AE21))="",0,1),"")</f>
        <v/>
      </c>
      <c r="AG22" t="str">
        <f t="shared" si="51"/>
        <v/>
      </c>
      <c r="AH22" t="str">
        <f t="shared" si="51"/>
        <v/>
      </c>
      <c r="AI22" t="str">
        <f t="shared" si="51"/>
        <v/>
      </c>
      <c r="AJ22" t="str">
        <f t="shared" si="51"/>
        <v/>
      </c>
      <c r="AK22" t="str">
        <f t="shared" si="51"/>
        <v/>
      </c>
      <c r="AM22" s="22">
        <f t="shared" si="43"/>
        <v>0</v>
      </c>
      <c r="AP22">
        <v>20</v>
      </c>
      <c r="AQ22" s="38" t="str">
        <f>IFERROR(LOOKUP(2,1/(COUNTIF($AQ$1:AQ21,CountDSDs)=0),CountDSDs),"")</f>
        <v/>
      </c>
      <c r="AR22">
        <f t="shared" si="5"/>
        <v>0</v>
      </c>
      <c r="AS22">
        <f t="shared" si="6"/>
        <v>0</v>
      </c>
      <c r="AT22">
        <f t="shared" si="7"/>
        <v>0</v>
      </c>
      <c r="AU22">
        <f t="shared" si="8"/>
        <v>0</v>
      </c>
      <c r="AV22">
        <f t="shared" si="9"/>
        <v>0</v>
      </c>
      <c r="AW22">
        <f t="shared" si="10"/>
        <v>0</v>
      </c>
      <c r="AX22">
        <f t="shared" si="11"/>
        <v>0</v>
      </c>
      <c r="AY22">
        <f t="shared" si="12"/>
        <v>0</v>
      </c>
      <c r="AZ22">
        <f t="shared" si="13"/>
        <v>0</v>
      </c>
      <c r="BA22">
        <f t="shared" si="14"/>
        <v>0</v>
      </c>
      <c r="BB22">
        <f t="shared" si="15"/>
        <v>0</v>
      </c>
      <c r="BC22">
        <f t="shared" si="16"/>
        <v>0</v>
      </c>
      <c r="BD22">
        <f t="shared" si="17"/>
        <v>0</v>
      </c>
      <c r="BE22">
        <f t="shared" si="18"/>
        <v>0</v>
      </c>
      <c r="BF22">
        <f t="shared" si="19"/>
        <v>0</v>
      </c>
      <c r="BG22">
        <f t="shared" si="20"/>
        <v>0</v>
      </c>
      <c r="BH22">
        <f t="shared" si="21"/>
        <v>0</v>
      </c>
      <c r="BI22">
        <f t="shared" si="22"/>
        <v>0</v>
      </c>
      <c r="BJ22">
        <f t="shared" si="23"/>
        <v>0</v>
      </c>
      <c r="BK22">
        <f t="shared" si="24"/>
        <v>0</v>
      </c>
      <c r="BL22">
        <f t="shared" si="25"/>
        <v>0</v>
      </c>
      <c r="BM22">
        <f t="shared" si="26"/>
        <v>0</v>
      </c>
      <c r="BN22">
        <f t="shared" si="27"/>
        <v>0</v>
      </c>
      <c r="BO22">
        <f t="shared" si="28"/>
        <v>0</v>
      </c>
      <c r="BP22">
        <f t="shared" si="29"/>
        <v>0</v>
      </c>
      <c r="BQ22">
        <f t="shared" si="30"/>
        <v>0</v>
      </c>
      <c r="BR22">
        <f t="shared" si="31"/>
        <v>0</v>
      </c>
      <c r="BS22">
        <f t="shared" si="32"/>
        <v>0</v>
      </c>
      <c r="BT22">
        <f t="shared" si="33"/>
        <v>0</v>
      </c>
      <c r="BU22">
        <f t="shared" si="34"/>
        <v>0</v>
      </c>
      <c r="BV22">
        <f t="shared" si="35"/>
        <v>0</v>
      </c>
      <c r="BW22">
        <f t="shared" si="36"/>
        <v>0</v>
      </c>
      <c r="BX22">
        <f t="shared" si="37"/>
        <v>0</v>
      </c>
      <c r="BY22">
        <f t="shared" si="38"/>
        <v>0</v>
      </c>
      <c r="BZ22">
        <f t="shared" si="39"/>
        <v>0</v>
      </c>
      <c r="CA22">
        <f t="shared" si="40"/>
        <v>0</v>
      </c>
      <c r="CB22">
        <f t="shared" si="41"/>
        <v>0</v>
      </c>
      <c r="CC22">
        <f t="shared" ca="1" si="42"/>
        <v>0</v>
      </c>
    </row>
    <row r="23" spans="1:81" ht="18.75" x14ac:dyDescent="0.2">
      <c r="A23">
        <f t="shared" si="0"/>
        <v>0</v>
      </c>
      <c r="B23">
        <f t="shared" si="48"/>
        <v>0</v>
      </c>
      <c r="C23">
        <f t="shared" si="48"/>
        <v>0</v>
      </c>
      <c r="D23">
        <f t="shared" si="48"/>
        <v>0</v>
      </c>
      <c r="E23">
        <f t="shared" si="48"/>
        <v>0</v>
      </c>
      <c r="F23">
        <f t="shared" si="48"/>
        <v>0</v>
      </c>
      <c r="G23">
        <f t="shared" si="48"/>
        <v>0</v>
      </c>
      <c r="H23" t="str">
        <f t="shared" si="48"/>
        <v/>
      </c>
      <c r="I23" t="str">
        <f t="shared" si="48"/>
        <v/>
      </c>
      <c r="J23" t="str">
        <f t="shared" si="48"/>
        <v/>
      </c>
      <c r="K23" t="str">
        <f t="shared" si="48"/>
        <v/>
      </c>
      <c r="L23" t="str">
        <f t="shared" si="49"/>
        <v/>
      </c>
      <c r="M23" t="str">
        <f t="shared" si="49"/>
        <v/>
      </c>
      <c r="N23" t="str">
        <f t="shared" si="49"/>
        <v/>
      </c>
      <c r="O23" t="str">
        <f t="shared" si="49"/>
        <v/>
      </c>
      <c r="P23" t="str">
        <f t="shared" si="49"/>
        <v/>
      </c>
      <c r="Q23" t="str">
        <f t="shared" si="49"/>
        <v/>
      </c>
      <c r="R23" t="str">
        <f t="shared" si="49"/>
        <v/>
      </c>
      <c r="S23" t="str">
        <f t="shared" si="49"/>
        <v/>
      </c>
      <c r="T23" t="str">
        <f t="shared" si="49"/>
        <v/>
      </c>
      <c r="U23" t="str">
        <f t="shared" si="49"/>
        <v/>
      </c>
      <c r="V23" t="str">
        <f t="shared" si="50"/>
        <v/>
      </c>
      <c r="W23" t="str">
        <f t="shared" si="50"/>
        <v/>
      </c>
      <c r="X23" t="str">
        <f t="shared" si="50"/>
        <v/>
      </c>
      <c r="Y23" t="str">
        <f t="shared" si="50"/>
        <v/>
      </c>
      <c r="Z23" t="str">
        <f t="shared" si="50"/>
        <v/>
      </c>
      <c r="AA23" t="str">
        <f t="shared" si="50"/>
        <v/>
      </c>
      <c r="AB23" t="str">
        <f t="shared" si="50"/>
        <v/>
      </c>
      <c r="AC23" t="str">
        <f t="shared" si="50"/>
        <v/>
      </c>
      <c r="AD23" t="str">
        <f t="shared" si="50"/>
        <v/>
      </c>
      <c r="AE23" t="str">
        <f t="shared" si="50"/>
        <v/>
      </c>
      <c r="AF23" t="str">
        <f t="shared" si="51"/>
        <v/>
      </c>
      <c r="AG23" t="str">
        <f t="shared" si="51"/>
        <v/>
      </c>
      <c r="AH23" t="str">
        <f t="shared" si="51"/>
        <v/>
      </c>
      <c r="AI23" t="str">
        <f t="shared" si="51"/>
        <v/>
      </c>
      <c r="AJ23" t="str">
        <f t="shared" si="51"/>
        <v/>
      </c>
      <c r="AK23" t="str">
        <f t="shared" si="51"/>
        <v/>
      </c>
      <c r="AM23" s="22">
        <f t="shared" si="43"/>
        <v>0</v>
      </c>
      <c r="AP23">
        <v>21</v>
      </c>
      <c r="AQ23" s="38" t="str">
        <f>IFERROR(LOOKUP(2,1/(COUNTIF($AQ$1:AQ22,CountDSDs)=0),CountDSDs),"")</f>
        <v/>
      </c>
      <c r="AR23">
        <f t="shared" si="5"/>
        <v>0</v>
      </c>
      <c r="AS23">
        <f t="shared" si="6"/>
        <v>0</v>
      </c>
      <c r="AT23">
        <f t="shared" si="7"/>
        <v>0</v>
      </c>
      <c r="AU23">
        <f t="shared" si="8"/>
        <v>0</v>
      </c>
      <c r="AV23">
        <f t="shared" si="9"/>
        <v>0</v>
      </c>
      <c r="AW23">
        <f t="shared" si="10"/>
        <v>0</v>
      </c>
      <c r="AX23">
        <f t="shared" si="11"/>
        <v>0</v>
      </c>
      <c r="AY23">
        <f t="shared" si="12"/>
        <v>0</v>
      </c>
      <c r="AZ23">
        <f t="shared" si="13"/>
        <v>0</v>
      </c>
      <c r="BA23">
        <f t="shared" si="14"/>
        <v>0</v>
      </c>
      <c r="BB23">
        <f t="shared" si="15"/>
        <v>0</v>
      </c>
      <c r="BC23">
        <f t="shared" si="16"/>
        <v>0</v>
      </c>
      <c r="BD23">
        <f t="shared" si="17"/>
        <v>0</v>
      </c>
      <c r="BE23">
        <f t="shared" si="18"/>
        <v>0</v>
      </c>
      <c r="BF23">
        <f t="shared" si="19"/>
        <v>0</v>
      </c>
      <c r="BG23">
        <f t="shared" si="20"/>
        <v>0</v>
      </c>
      <c r="BH23">
        <f t="shared" si="21"/>
        <v>0</v>
      </c>
      <c r="BI23">
        <f t="shared" si="22"/>
        <v>0</v>
      </c>
      <c r="BJ23">
        <f t="shared" si="23"/>
        <v>0</v>
      </c>
      <c r="BK23">
        <f t="shared" si="24"/>
        <v>0</v>
      </c>
      <c r="BL23">
        <f t="shared" si="25"/>
        <v>0</v>
      </c>
      <c r="BM23">
        <f t="shared" si="26"/>
        <v>0</v>
      </c>
      <c r="BN23">
        <f t="shared" si="27"/>
        <v>0</v>
      </c>
      <c r="BO23">
        <f t="shared" si="28"/>
        <v>0</v>
      </c>
      <c r="BP23">
        <f t="shared" si="29"/>
        <v>0</v>
      </c>
      <c r="BQ23">
        <f t="shared" si="30"/>
        <v>0</v>
      </c>
      <c r="BR23">
        <f t="shared" si="31"/>
        <v>0</v>
      </c>
      <c r="BS23">
        <f t="shared" si="32"/>
        <v>0</v>
      </c>
      <c r="BT23">
        <f t="shared" si="33"/>
        <v>0</v>
      </c>
      <c r="BU23">
        <f t="shared" si="34"/>
        <v>0</v>
      </c>
      <c r="BV23">
        <f t="shared" si="35"/>
        <v>0</v>
      </c>
      <c r="BW23">
        <f t="shared" si="36"/>
        <v>0</v>
      </c>
      <c r="BX23">
        <f t="shared" si="37"/>
        <v>0</v>
      </c>
      <c r="BY23">
        <f t="shared" si="38"/>
        <v>0</v>
      </c>
      <c r="BZ23">
        <f t="shared" si="39"/>
        <v>0</v>
      </c>
      <c r="CA23">
        <f t="shared" si="40"/>
        <v>0</v>
      </c>
      <c r="CB23">
        <f t="shared" si="41"/>
        <v>0</v>
      </c>
      <c r="CC23">
        <f t="shared" ca="1" si="42"/>
        <v>0</v>
      </c>
    </row>
    <row r="24" spans="1:81" ht="18.75" x14ac:dyDescent="0.2">
      <c r="A24">
        <f t="shared" si="0"/>
        <v>0</v>
      </c>
      <c r="B24">
        <f t="shared" si="48"/>
        <v>0</v>
      </c>
      <c r="C24">
        <f t="shared" si="48"/>
        <v>0</v>
      </c>
      <c r="D24">
        <f t="shared" si="48"/>
        <v>0</v>
      </c>
      <c r="E24">
        <f t="shared" si="48"/>
        <v>0</v>
      </c>
      <c r="F24">
        <f t="shared" si="48"/>
        <v>0</v>
      </c>
      <c r="G24">
        <f t="shared" si="48"/>
        <v>0</v>
      </c>
      <c r="H24" t="str">
        <f t="shared" si="48"/>
        <v/>
      </c>
      <c r="I24" t="str">
        <f t="shared" si="48"/>
        <v/>
      </c>
      <c r="J24" t="str">
        <f t="shared" si="48"/>
        <v/>
      </c>
      <c r="K24" t="str">
        <f t="shared" si="48"/>
        <v/>
      </c>
      <c r="L24" t="str">
        <f t="shared" si="49"/>
        <v/>
      </c>
      <c r="M24" t="str">
        <f t="shared" si="49"/>
        <v/>
      </c>
      <c r="N24" t="str">
        <f t="shared" si="49"/>
        <v/>
      </c>
      <c r="O24" t="str">
        <f t="shared" si="49"/>
        <v/>
      </c>
      <c r="P24" t="str">
        <f t="shared" si="49"/>
        <v/>
      </c>
      <c r="Q24" t="str">
        <f t="shared" si="49"/>
        <v/>
      </c>
      <c r="R24" t="str">
        <f t="shared" si="49"/>
        <v/>
      </c>
      <c r="S24" t="str">
        <f t="shared" si="49"/>
        <v/>
      </c>
      <c r="T24" t="str">
        <f t="shared" si="49"/>
        <v/>
      </c>
      <c r="U24" t="str">
        <f t="shared" si="49"/>
        <v/>
      </c>
      <c r="V24" t="str">
        <f t="shared" si="50"/>
        <v/>
      </c>
      <c r="W24" t="str">
        <f t="shared" si="50"/>
        <v/>
      </c>
      <c r="X24" t="str">
        <f t="shared" si="50"/>
        <v/>
      </c>
      <c r="Y24" t="str">
        <f t="shared" si="50"/>
        <v/>
      </c>
      <c r="Z24" t="str">
        <f t="shared" si="50"/>
        <v/>
      </c>
      <c r="AA24" t="str">
        <f t="shared" si="50"/>
        <v/>
      </c>
      <c r="AB24" t="str">
        <f t="shared" si="50"/>
        <v/>
      </c>
      <c r="AC24" t="str">
        <f t="shared" si="50"/>
        <v/>
      </c>
      <c r="AD24" t="str">
        <f t="shared" si="50"/>
        <v/>
      </c>
      <c r="AE24" t="str">
        <f t="shared" si="50"/>
        <v/>
      </c>
      <c r="AF24" t="str">
        <f t="shared" si="51"/>
        <v/>
      </c>
      <c r="AG24" t="str">
        <f t="shared" si="51"/>
        <v/>
      </c>
      <c r="AH24" t="str">
        <f t="shared" si="51"/>
        <v/>
      </c>
      <c r="AI24" t="str">
        <f t="shared" si="51"/>
        <v/>
      </c>
      <c r="AJ24" t="str">
        <f t="shared" si="51"/>
        <v/>
      </c>
      <c r="AK24" t="str">
        <f t="shared" si="51"/>
        <v/>
      </c>
      <c r="AM24" s="22">
        <f t="shared" si="43"/>
        <v>0</v>
      </c>
      <c r="AP24">
        <v>22</v>
      </c>
      <c r="AQ24" s="38" t="str">
        <f>IFERROR(LOOKUP(2,1/(COUNTIF($AQ$1:AQ23,CountDSDs)=0),CountDSDs),"")</f>
        <v/>
      </c>
      <c r="AR24">
        <f t="shared" si="5"/>
        <v>0</v>
      </c>
      <c r="AS24">
        <f t="shared" si="6"/>
        <v>0</v>
      </c>
      <c r="AT24">
        <f t="shared" si="7"/>
        <v>0</v>
      </c>
      <c r="AU24">
        <f t="shared" si="8"/>
        <v>0</v>
      </c>
      <c r="AV24">
        <f t="shared" si="9"/>
        <v>0</v>
      </c>
      <c r="AW24">
        <f t="shared" si="10"/>
        <v>0</v>
      </c>
      <c r="AX24">
        <f t="shared" si="11"/>
        <v>0</v>
      </c>
      <c r="AY24">
        <f t="shared" si="12"/>
        <v>0</v>
      </c>
      <c r="AZ24">
        <f t="shared" si="13"/>
        <v>0</v>
      </c>
      <c r="BA24">
        <f t="shared" si="14"/>
        <v>0</v>
      </c>
      <c r="BB24">
        <f t="shared" si="15"/>
        <v>0</v>
      </c>
      <c r="BC24">
        <f t="shared" si="16"/>
        <v>0</v>
      </c>
      <c r="BD24">
        <f t="shared" si="17"/>
        <v>0</v>
      </c>
      <c r="BE24">
        <f t="shared" si="18"/>
        <v>0</v>
      </c>
      <c r="BF24">
        <f t="shared" si="19"/>
        <v>0</v>
      </c>
      <c r="BG24">
        <f t="shared" si="20"/>
        <v>0</v>
      </c>
      <c r="BH24">
        <f t="shared" si="21"/>
        <v>0</v>
      </c>
      <c r="BI24">
        <f t="shared" si="22"/>
        <v>0</v>
      </c>
      <c r="BJ24">
        <f t="shared" si="23"/>
        <v>0</v>
      </c>
      <c r="BK24">
        <f t="shared" si="24"/>
        <v>0</v>
      </c>
      <c r="BL24">
        <f t="shared" si="25"/>
        <v>0</v>
      </c>
      <c r="BM24">
        <f t="shared" si="26"/>
        <v>0</v>
      </c>
      <c r="BN24">
        <f t="shared" si="27"/>
        <v>0</v>
      </c>
      <c r="BO24">
        <f t="shared" si="28"/>
        <v>0</v>
      </c>
      <c r="BP24">
        <f t="shared" si="29"/>
        <v>0</v>
      </c>
      <c r="BQ24">
        <f t="shared" si="30"/>
        <v>0</v>
      </c>
      <c r="BR24">
        <f t="shared" si="31"/>
        <v>0</v>
      </c>
      <c r="BS24">
        <f t="shared" si="32"/>
        <v>0</v>
      </c>
      <c r="BT24">
        <f t="shared" si="33"/>
        <v>0</v>
      </c>
      <c r="BU24">
        <f t="shared" si="34"/>
        <v>0</v>
      </c>
      <c r="BV24">
        <f t="shared" si="35"/>
        <v>0</v>
      </c>
      <c r="BW24">
        <f t="shared" si="36"/>
        <v>0</v>
      </c>
      <c r="BX24">
        <f t="shared" si="37"/>
        <v>0</v>
      </c>
      <c r="BY24">
        <f t="shared" si="38"/>
        <v>0</v>
      </c>
      <c r="BZ24">
        <f t="shared" si="39"/>
        <v>0</v>
      </c>
      <c r="CA24">
        <f t="shared" si="40"/>
        <v>0</v>
      </c>
      <c r="CB24">
        <f t="shared" si="41"/>
        <v>0</v>
      </c>
      <c r="CC24">
        <f t="shared" ca="1" si="42"/>
        <v>0</v>
      </c>
    </row>
    <row r="25" spans="1:81" ht="18.75" x14ac:dyDescent="0.2">
      <c r="A25">
        <f t="shared" si="0"/>
        <v>0</v>
      </c>
      <c r="B25">
        <f t="shared" si="48"/>
        <v>0</v>
      </c>
      <c r="C25">
        <f t="shared" si="48"/>
        <v>0</v>
      </c>
      <c r="D25">
        <f t="shared" si="48"/>
        <v>0</v>
      </c>
      <c r="E25">
        <f t="shared" si="48"/>
        <v>0</v>
      </c>
      <c r="F25">
        <f t="shared" si="48"/>
        <v>0</v>
      </c>
      <c r="G25">
        <f t="shared" si="48"/>
        <v>0</v>
      </c>
      <c r="H25" t="str">
        <f t="shared" si="48"/>
        <v/>
      </c>
      <c r="I25" t="str">
        <f t="shared" si="48"/>
        <v/>
      </c>
      <c r="J25" t="str">
        <f t="shared" si="48"/>
        <v/>
      </c>
      <c r="K25" t="str">
        <f t="shared" si="48"/>
        <v/>
      </c>
      <c r="L25" t="str">
        <f t="shared" si="49"/>
        <v/>
      </c>
      <c r="M25" t="str">
        <f t="shared" si="49"/>
        <v/>
      </c>
      <c r="N25" t="str">
        <f t="shared" si="49"/>
        <v/>
      </c>
      <c r="O25" t="str">
        <f t="shared" si="49"/>
        <v/>
      </c>
      <c r="P25" t="str">
        <f t="shared" si="49"/>
        <v/>
      </c>
      <c r="Q25" t="str">
        <f t="shared" si="49"/>
        <v/>
      </c>
      <c r="R25" t="str">
        <f t="shared" si="49"/>
        <v/>
      </c>
      <c r="S25" t="str">
        <f t="shared" si="49"/>
        <v/>
      </c>
      <c r="T25" t="str">
        <f t="shared" si="49"/>
        <v/>
      </c>
      <c r="U25" t="str">
        <f t="shared" si="49"/>
        <v/>
      </c>
      <c r="V25" t="str">
        <f t="shared" si="50"/>
        <v/>
      </c>
      <c r="W25" t="str">
        <f t="shared" si="50"/>
        <v/>
      </c>
      <c r="X25" t="str">
        <f t="shared" si="50"/>
        <v/>
      </c>
      <c r="Y25" t="str">
        <f t="shared" si="50"/>
        <v/>
      </c>
      <c r="Z25" t="str">
        <f t="shared" si="50"/>
        <v/>
      </c>
      <c r="AA25" t="str">
        <f t="shared" si="50"/>
        <v/>
      </c>
      <c r="AB25" t="str">
        <f t="shared" si="50"/>
        <v/>
      </c>
      <c r="AC25" t="str">
        <f t="shared" si="50"/>
        <v/>
      </c>
      <c r="AD25" t="str">
        <f t="shared" si="50"/>
        <v/>
      </c>
      <c r="AE25" t="str">
        <f t="shared" si="50"/>
        <v/>
      </c>
      <c r="AF25" t="str">
        <f t="shared" si="51"/>
        <v/>
      </c>
      <c r="AG25" t="str">
        <f t="shared" si="51"/>
        <v/>
      </c>
      <c r="AH25" t="str">
        <f t="shared" si="51"/>
        <v/>
      </c>
      <c r="AI25" t="str">
        <f t="shared" si="51"/>
        <v/>
      </c>
      <c r="AJ25" t="str">
        <f t="shared" si="51"/>
        <v/>
      </c>
      <c r="AK25" t="str">
        <f t="shared" si="51"/>
        <v/>
      </c>
      <c r="AM25" s="22">
        <f t="shared" si="43"/>
        <v>0</v>
      </c>
      <c r="AP25">
        <v>23</v>
      </c>
      <c r="AQ25" s="38" t="str">
        <f>IFERROR(LOOKUP(2,1/(COUNTIF($AQ$1:AQ24,CountDSDs)=0),CountDSDs),"")</f>
        <v/>
      </c>
      <c r="AR25">
        <f t="shared" si="5"/>
        <v>0</v>
      </c>
      <c r="AS25">
        <f t="shared" si="6"/>
        <v>0</v>
      </c>
      <c r="AT25">
        <f t="shared" si="7"/>
        <v>0</v>
      </c>
      <c r="AU25">
        <f t="shared" si="8"/>
        <v>0</v>
      </c>
      <c r="AV25">
        <f t="shared" si="9"/>
        <v>0</v>
      </c>
      <c r="AW25">
        <f t="shared" si="10"/>
        <v>0</v>
      </c>
      <c r="AX25">
        <f t="shared" si="11"/>
        <v>0</v>
      </c>
      <c r="AY25">
        <f t="shared" si="12"/>
        <v>0</v>
      </c>
      <c r="AZ25">
        <f t="shared" si="13"/>
        <v>0</v>
      </c>
      <c r="BA25">
        <f t="shared" si="14"/>
        <v>0</v>
      </c>
      <c r="BB25">
        <f t="shared" si="15"/>
        <v>0</v>
      </c>
      <c r="BC25">
        <f t="shared" si="16"/>
        <v>0</v>
      </c>
      <c r="BD25">
        <f t="shared" si="17"/>
        <v>0</v>
      </c>
      <c r="BE25">
        <f t="shared" si="18"/>
        <v>0</v>
      </c>
      <c r="BF25">
        <f t="shared" si="19"/>
        <v>0</v>
      </c>
      <c r="BG25">
        <f t="shared" si="20"/>
        <v>0</v>
      </c>
      <c r="BH25">
        <f t="shared" si="21"/>
        <v>0</v>
      </c>
      <c r="BI25">
        <f t="shared" si="22"/>
        <v>0</v>
      </c>
      <c r="BJ25">
        <f t="shared" si="23"/>
        <v>0</v>
      </c>
      <c r="BK25">
        <f t="shared" si="24"/>
        <v>0</v>
      </c>
      <c r="BL25">
        <f t="shared" si="25"/>
        <v>0</v>
      </c>
      <c r="BM25">
        <f t="shared" si="26"/>
        <v>0</v>
      </c>
      <c r="BN25">
        <f t="shared" si="27"/>
        <v>0</v>
      </c>
      <c r="BO25">
        <f t="shared" si="28"/>
        <v>0</v>
      </c>
      <c r="BP25">
        <f t="shared" si="29"/>
        <v>0</v>
      </c>
      <c r="BQ25">
        <f t="shared" si="30"/>
        <v>0</v>
      </c>
      <c r="BR25">
        <f t="shared" si="31"/>
        <v>0</v>
      </c>
      <c r="BS25">
        <f t="shared" si="32"/>
        <v>0</v>
      </c>
      <c r="BT25">
        <f t="shared" si="33"/>
        <v>0</v>
      </c>
      <c r="BU25">
        <f t="shared" si="34"/>
        <v>0</v>
      </c>
      <c r="BV25">
        <f t="shared" si="35"/>
        <v>0</v>
      </c>
      <c r="BW25">
        <f t="shared" si="36"/>
        <v>0</v>
      </c>
      <c r="BX25">
        <f t="shared" si="37"/>
        <v>0</v>
      </c>
      <c r="BY25">
        <f t="shared" si="38"/>
        <v>0</v>
      </c>
      <c r="BZ25">
        <f t="shared" si="39"/>
        <v>0</v>
      </c>
      <c r="CA25">
        <f t="shared" si="40"/>
        <v>0</v>
      </c>
      <c r="CB25">
        <f t="shared" si="41"/>
        <v>0</v>
      </c>
      <c r="CC25">
        <f t="shared" ca="1" si="42"/>
        <v>0</v>
      </c>
    </row>
    <row r="26" spans="1:81" ht="18.75" x14ac:dyDescent="0.2">
      <c r="A26">
        <f t="shared" si="0"/>
        <v>0</v>
      </c>
      <c r="B26">
        <f t="shared" si="48"/>
        <v>0</v>
      </c>
      <c r="C26">
        <f t="shared" si="48"/>
        <v>0</v>
      </c>
      <c r="D26">
        <f t="shared" si="48"/>
        <v>0</v>
      </c>
      <c r="E26">
        <f t="shared" si="48"/>
        <v>0</v>
      </c>
      <c r="F26">
        <f t="shared" si="48"/>
        <v>0</v>
      </c>
      <c r="G26">
        <f t="shared" si="48"/>
        <v>0</v>
      </c>
      <c r="H26" t="str">
        <f t="shared" si="48"/>
        <v/>
      </c>
      <c r="I26" t="str">
        <f t="shared" si="48"/>
        <v/>
      </c>
      <c r="J26" t="str">
        <f t="shared" si="48"/>
        <v/>
      </c>
      <c r="K26" t="str">
        <f t="shared" si="48"/>
        <v/>
      </c>
      <c r="L26" t="str">
        <f t="shared" si="49"/>
        <v/>
      </c>
      <c r="M26" t="str">
        <f t="shared" si="49"/>
        <v/>
      </c>
      <c r="N26" t="str">
        <f t="shared" si="49"/>
        <v/>
      </c>
      <c r="O26" t="str">
        <f t="shared" si="49"/>
        <v/>
      </c>
      <c r="P26" t="str">
        <f t="shared" si="49"/>
        <v/>
      </c>
      <c r="Q26" t="str">
        <f t="shared" si="49"/>
        <v/>
      </c>
      <c r="R26" t="str">
        <f t="shared" si="49"/>
        <v/>
      </c>
      <c r="S26" t="str">
        <f t="shared" si="49"/>
        <v/>
      </c>
      <c r="T26" t="str">
        <f t="shared" si="49"/>
        <v/>
      </c>
      <c r="U26" t="str">
        <f t="shared" si="49"/>
        <v/>
      </c>
      <c r="V26" t="str">
        <f t="shared" si="50"/>
        <v/>
      </c>
      <c r="W26" t="str">
        <f t="shared" si="50"/>
        <v/>
      </c>
      <c r="X26" t="str">
        <f t="shared" si="50"/>
        <v/>
      </c>
      <c r="Y26" t="str">
        <f t="shared" si="50"/>
        <v/>
      </c>
      <c r="Z26" t="str">
        <f t="shared" si="50"/>
        <v/>
      </c>
      <c r="AA26" t="str">
        <f t="shared" si="50"/>
        <v/>
      </c>
      <c r="AB26" t="str">
        <f t="shared" si="50"/>
        <v/>
      </c>
      <c r="AC26" t="str">
        <f t="shared" si="50"/>
        <v/>
      </c>
      <c r="AD26" t="str">
        <f t="shared" si="50"/>
        <v/>
      </c>
      <c r="AE26" t="str">
        <f t="shared" si="50"/>
        <v/>
      </c>
      <c r="AF26" t="str">
        <f t="shared" si="51"/>
        <v/>
      </c>
      <c r="AG26" t="str">
        <f t="shared" si="51"/>
        <v/>
      </c>
      <c r="AH26" t="str">
        <f t="shared" si="51"/>
        <v/>
      </c>
      <c r="AI26" t="str">
        <f t="shared" si="51"/>
        <v/>
      </c>
      <c r="AJ26" t="str">
        <f t="shared" si="51"/>
        <v/>
      </c>
      <c r="AK26" t="str">
        <f t="shared" si="51"/>
        <v/>
      </c>
      <c r="AM26" s="22">
        <f t="shared" si="43"/>
        <v>0</v>
      </c>
      <c r="AP26">
        <v>24</v>
      </c>
      <c r="AQ26" s="38" t="str">
        <f>IFERROR(LOOKUP(2,1/(COUNTIF($AQ$1:AQ25,CountDSDs)=0),CountDSDs),"")</f>
        <v/>
      </c>
      <c r="AR26">
        <f t="shared" si="5"/>
        <v>0</v>
      </c>
      <c r="AS26">
        <f t="shared" si="6"/>
        <v>0</v>
      </c>
      <c r="AT26">
        <f t="shared" si="7"/>
        <v>0</v>
      </c>
      <c r="AU26">
        <f t="shared" si="8"/>
        <v>0</v>
      </c>
      <c r="AV26">
        <f t="shared" si="9"/>
        <v>0</v>
      </c>
      <c r="AW26">
        <f t="shared" si="10"/>
        <v>0</v>
      </c>
      <c r="AX26">
        <f t="shared" si="11"/>
        <v>0</v>
      </c>
      <c r="AY26">
        <f t="shared" si="12"/>
        <v>0</v>
      </c>
      <c r="AZ26">
        <f t="shared" si="13"/>
        <v>0</v>
      </c>
      <c r="BA26">
        <f t="shared" si="14"/>
        <v>0</v>
      </c>
      <c r="BB26">
        <f t="shared" si="15"/>
        <v>0</v>
      </c>
      <c r="BC26">
        <f t="shared" si="16"/>
        <v>0</v>
      </c>
      <c r="BD26">
        <f t="shared" si="17"/>
        <v>0</v>
      </c>
      <c r="BE26">
        <f t="shared" si="18"/>
        <v>0</v>
      </c>
      <c r="BF26">
        <f t="shared" si="19"/>
        <v>0</v>
      </c>
      <c r="BG26">
        <f t="shared" si="20"/>
        <v>0</v>
      </c>
      <c r="BH26">
        <f t="shared" si="21"/>
        <v>0</v>
      </c>
      <c r="BI26">
        <f t="shared" si="22"/>
        <v>0</v>
      </c>
      <c r="BJ26">
        <f t="shared" si="23"/>
        <v>0</v>
      </c>
      <c r="BK26">
        <f t="shared" si="24"/>
        <v>0</v>
      </c>
      <c r="BL26">
        <f t="shared" si="25"/>
        <v>0</v>
      </c>
      <c r="BM26">
        <f t="shared" si="26"/>
        <v>0</v>
      </c>
      <c r="BN26">
        <f t="shared" si="27"/>
        <v>0</v>
      </c>
      <c r="BO26">
        <f t="shared" si="28"/>
        <v>0</v>
      </c>
      <c r="BP26">
        <f t="shared" si="29"/>
        <v>0</v>
      </c>
      <c r="BQ26">
        <f t="shared" si="30"/>
        <v>0</v>
      </c>
      <c r="BR26">
        <f t="shared" si="31"/>
        <v>0</v>
      </c>
      <c r="BS26">
        <f t="shared" si="32"/>
        <v>0</v>
      </c>
      <c r="BT26">
        <f t="shared" si="33"/>
        <v>0</v>
      </c>
      <c r="BU26">
        <f t="shared" si="34"/>
        <v>0</v>
      </c>
      <c r="BV26">
        <f t="shared" si="35"/>
        <v>0</v>
      </c>
      <c r="BW26">
        <f t="shared" si="36"/>
        <v>0</v>
      </c>
      <c r="BX26">
        <f t="shared" si="37"/>
        <v>0</v>
      </c>
      <c r="BY26">
        <f t="shared" si="38"/>
        <v>0</v>
      </c>
      <c r="BZ26">
        <f t="shared" si="39"/>
        <v>0</v>
      </c>
      <c r="CA26">
        <f t="shared" si="40"/>
        <v>0</v>
      </c>
      <c r="CB26">
        <f t="shared" si="41"/>
        <v>0</v>
      </c>
      <c r="CC26">
        <f t="shared" ca="1" si="42"/>
        <v>0</v>
      </c>
    </row>
    <row r="27" spans="1:81" ht="18.75" x14ac:dyDescent="0.2">
      <c r="A27">
        <f t="shared" si="0"/>
        <v>0</v>
      </c>
      <c r="B27">
        <f t="shared" si="48"/>
        <v>0</v>
      </c>
      <c r="C27">
        <f t="shared" si="48"/>
        <v>0</v>
      </c>
      <c r="D27">
        <f t="shared" si="48"/>
        <v>0</v>
      </c>
      <c r="E27">
        <f t="shared" si="48"/>
        <v>0</v>
      </c>
      <c r="F27">
        <f t="shared" si="48"/>
        <v>0</v>
      </c>
      <c r="G27">
        <f t="shared" si="48"/>
        <v>0</v>
      </c>
      <c r="H27" t="str">
        <f t="shared" si="48"/>
        <v/>
      </c>
      <c r="I27" t="str">
        <f t="shared" si="48"/>
        <v/>
      </c>
      <c r="J27" t="str">
        <f t="shared" si="48"/>
        <v/>
      </c>
      <c r="K27" t="str">
        <f t="shared" si="48"/>
        <v/>
      </c>
      <c r="L27" t="str">
        <f t="shared" si="49"/>
        <v/>
      </c>
      <c r="M27" t="str">
        <f t="shared" si="49"/>
        <v/>
      </c>
      <c r="N27" t="str">
        <f t="shared" si="49"/>
        <v/>
      </c>
      <c r="O27" t="str">
        <f t="shared" si="49"/>
        <v/>
      </c>
      <c r="P27" t="str">
        <f t="shared" si="49"/>
        <v/>
      </c>
      <c r="Q27" t="str">
        <f t="shared" si="49"/>
        <v/>
      </c>
      <c r="R27" t="str">
        <f t="shared" si="49"/>
        <v/>
      </c>
      <c r="S27" t="str">
        <f t="shared" si="49"/>
        <v/>
      </c>
      <c r="T27" t="str">
        <f t="shared" si="49"/>
        <v/>
      </c>
      <c r="U27" t="str">
        <f t="shared" si="49"/>
        <v/>
      </c>
      <c r="V27" t="str">
        <f t="shared" si="50"/>
        <v/>
      </c>
      <c r="W27" t="str">
        <f t="shared" si="50"/>
        <v/>
      </c>
      <c r="X27" t="str">
        <f t="shared" si="50"/>
        <v/>
      </c>
      <c r="Y27" t="str">
        <f t="shared" si="50"/>
        <v/>
      </c>
      <c r="Z27" t="str">
        <f t="shared" si="50"/>
        <v/>
      </c>
      <c r="AA27" t="str">
        <f t="shared" si="50"/>
        <v/>
      </c>
      <c r="AB27" t="str">
        <f t="shared" si="50"/>
        <v/>
      </c>
      <c r="AC27" t="str">
        <f t="shared" si="50"/>
        <v/>
      </c>
      <c r="AD27" t="str">
        <f t="shared" si="50"/>
        <v/>
      </c>
      <c r="AE27" t="str">
        <f t="shared" si="50"/>
        <v/>
      </c>
      <c r="AF27" t="str">
        <f t="shared" si="51"/>
        <v/>
      </c>
      <c r="AG27" t="str">
        <f t="shared" si="51"/>
        <v/>
      </c>
      <c r="AH27" t="str">
        <f t="shared" si="51"/>
        <v/>
      </c>
      <c r="AI27" t="str">
        <f t="shared" si="51"/>
        <v/>
      </c>
      <c r="AJ27" t="str">
        <f t="shared" si="51"/>
        <v/>
      </c>
      <c r="AK27" t="str">
        <f t="shared" si="51"/>
        <v/>
      </c>
      <c r="AM27" s="22">
        <f t="shared" si="43"/>
        <v>0</v>
      </c>
      <c r="AP27">
        <v>25</v>
      </c>
      <c r="AQ27" s="38" t="str">
        <f>IFERROR(LOOKUP(2,1/(COUNTIF($AQ$1:AQ26,CountDSDs)=0),CountDSDs),"")</f>
        <v/>
      </c>
      <c r="AR27">
        <f t="shared" si="5"/>
        <v>0</v>
      </c>
      <c r="AS27">
        <f t="shared" si="6"/>
        <v>0</v>
      </c>
      <c r="AT27">
        <f t="shared" si="7"/>
        <v>0</v>
      </c>
      <c r="AU27">
        <f t="shared" si="8"/>
        <v>0</v>
      </c>
      <c r="AV27">
        <f t="shared" si="9"/>
        <v>0</v>
      </c>
      <c r="AW27">
        <f t="shared" si="10"/>
        <v>0</v>
      </c>
      <c r="AX27">
        <f t="shared" si="11"/>
        <v>0</v>
      </c>
      <c r="AY27">
        <f t="shared" si="12"/>
        <v>0</v>
      </c>
      <c r="AZ27">
        <f t="shared" si="13"/>
        <v>0</v>
      </c>
      <c r="BA27">
        <f t="shared" si="14"/>
        <v>0</v>
      </c>
      <c r="BB27">
        <f t="shared" si="15"/>
        <v>0</v>
      </c>
      <c r="BC27">
        <f t="shared" si="16"/>
        <v>0</v>
      </c>
      <c r="BD27">
        <f t="shared" si="17"/>
        <v>0</v>
      </c>
      <c r="BE27">
        <f t="shared" si="18"/>
        <v>0</v>
      </c>
      <c r="BF27">
        <f t="shared" si="19"/>
        <v>0</v>
      </c>
      <c r="BG27">
        <f t="shared" si="20"/>
        <v>0</v>
      </c>
      <c r="BH27">
        <f t="shared" si="21"/>
        <v>0</v>
      </c>
      <c r="BI27">
        <f t="shared" si="22"/>
        <v>0</v>
      </c>
      <c r="BJ27">
        <f t="shared" si="23"/>
        <v>0</v>
      </c>
      <c r="BK27">
        <f t="shared" si="24"/>
        <v>0</v>
      </c>
      <c r="BL27">
        <f t="shared" si="25"/>
        <v>0</v>
      </c>
      <c r="BM27">
        <f t="shared" si="26"/>
        <v>0</v>
      </c>
      <c r="BN27">
        <f t="shared" si="27"/>
        <v>0</v>
      </c>
      <c r="BO27">
        <f t="shared" si="28"/>
        <v>0</v>
      </c>
      <c r="BP27">
        <f t="shared" si="29"/>
        <v>0</v>
      </c>
      <c r="BQ27">
        <f t="shared" si="30"/>
        <v>0</v>
      </c>
      <c r="BR27">
        <f t="shared" si="31"/>
        <v>0</v>
      </c>
      <c r="BS27">
        <f t="shared" si="32"/>
        <v>0</v>
      </c>
      <c r="BT27">
        <f t="shared" si="33"/>
        <v>0</v>
      </c>
      <c r="BU27">
        <f t="shared" si="34"/>
        <v>0</v>
      </c>
      <c r="BV27">
        <f t="shared" si="35"/>
        <v>0</v>
      </c>
      <c r="BW27">
        <f t="shared" si="36"/>
        <v>0</v>
      </c>
      <c r="BX27">
        <f t="shared" si="37"/>
        <v>0</v>
      </c>
      <c r="BY27">
        <f t="shared" si="38"/>
        <v>0</v>
      </c>
      <c r="BZ27">
        <f t="shared" si="39"/>
        <v>0</v>
      </c>
      <c r="CA27">
        <f t="shared" si="40"/>
        <v>0</v>
      </c>
      <c r="CB27">
        <f t="shared" si="41"/>
        <v>0</v>
      </c>
      <c r="CC27">
        <f t="shared" ca="1" si="42"/>
        <v>0</v>
      </c>
    </row>
    <row r="28" spans="1:81" ht="18.75" x14ac:dyDescent="0.2">
      <c r="A28">
        <f t="shared" si="0"/>
        <v>0</v>
      </c>
      <c r="B28">
        <f t="shared" si="48"/>
        <v>0</v>
      </c>
      <c r="C28">
        <f t="shared" si="48"/>
        <v>0</v>
      </c>
      <c r="D28">
        <f t="shared" si="48"/>
        <v>0</v>
      </c>
      <c r="E28">
        <f t="shared" si="48"/>
        <v>0</v>
      </c>
      <c r="F28">
        <f t="shared" si="48"/>
        <v>0</v>
      </c>
      <c r="G28">
        <f t="shared" si="48"/>
        <v>0</v>
      </c>
      <c r="H28" t="str">
        <f t="shared" si="48"/>
        <v/>
      </c>
      <c r="I28" t="str">
        <f t="shared" si="48"/>
        <v/>
      </c>
      <c r="J28" t="str">
        <f t="shared" si="48"/>
        <v/>
      </c>
      <c r="K28" t="str">
        <f t="shared" si="48"/>
        <v/>
      </c>
      <c r="L28" t="str">
        <f t="shared" si="49"/>
        <v/>
      </c>
      <c r="M28" t="str">
        <f t="shared" si="49"/>
        <v/>
      </c>
      <c r="N28" t="str">
        <f t="shared" si="49"/>
        <v/>
      </c>
      <c r="O28" t="str">
        <f t="shared" si="49"/>
        <v/>
      </c>
      <c r="P28" t="str">
        <f t="shared" si="49"/>
        <v/>
      </c>
      <c r="Q28" t="str">
        <f t="shared" si="49"/>
        <v/>
      </c>
      <c r="R28" t="str">
        <f t="shared" si="49"/>
        <v/>
      </c>
      <c r="S28" t="str">
        <f t="shared" si="49"/>
        <v/>
      </c>
      <c r="T28" t="str">
        <f t="shared" si="49"/>
        <v/>
      </c>
      <c r="U28" t="str">
        <f t="shared" si="49"/>
        <v/>
      </c>
      <c r="V28" t="str">
        <f t="shared" si="50"/>
        <v/>
      </c>
      <c r="W28" t="str">
        <f t="shared" si="50"/>
        <v/>
      </c>
      <c r="X28" t="str">
        <f t="shared" si="50"/>
        <v/>
      </c>
      <c r="Y28" t="str">
        <f t="shared" si="50"/>
        <v/>
      </c>
      <c r="Z28" t="str">
        <f t="shared" si="50"/>
        <v/>
      </c>
      <c r="AA28" t="str">
        <f t="shared" si="50"/>
        <v/>
      </c>
      <c r="AB28" t="str">
        <f t="shared" si="50"/>
        <v/>
      </c>
      <c r="AC28" t="str">
        <f t="shared" si="50"/>
        <v/>
      </c>
      <c r="AD28" t="str">
        <f t="shared" si="50"/>
        <v/>
      </c>
      <c r="AE28" t="str">
        <f t="shared" si="50"/>
        <v/>
      </c>
      <c r="AF28" t="str">
        <f t="shared" si="51"/>
        <v/>
      </c>
      <c r="AG28" t="str">
        <f t="shared" si="51"/>
        <v/>
      </c>
      <c r="AH28" t="str">
        <f t="shared" si="51"/>
        <v/>
      </c>
      <c r="AI28" t="str">
        <f t="shared" si="51"/>
        <v/>
      </c>
      <c r="AJ28" t="str">
        <f t="shared" si="51"/>
        <v/>
      </c>
      <c r="AK28" t="str">
        <f t="shared" si="51"/>
        <v/>
      </c>
      <c r="AM28" s="22">
        <f t="shared" si="43"/>
        <v>0</v>
      </c>
      <c r="AP28">
        <v>26</v>
      </c>
      <c r="AQ28" s="38" t="str">
        <f>IFERROR(LOOKUP(2,1/(COUNTIF($AQ$1:AQ27,CountDSDs)=0),CountDSDs),"")</f>
        <v/>
      </c>
      <c r="AR28">
        <f t="shared" si="5"/>
        <v>0</v>
      </c>
      <c r="AS28">
        <f t="shared" si="6"/>
        <v>0</v>
      </c>
      <c r="AT28">
        <f t="shared" si="7"/>
        <v>0</v>
      </c>
      <c r="AU28">
        <f t="shared" si="8"/>
        <v>0</v>
      </c>
      <c r="AV28">
        <f t="shared" si="9"/>
        <v>0</v>
      </c>
      <c r="AW28">
        <f t="shared" si="10"/>
        <v>0</v>
      </c>
      <c r="AX28">
        <f t="shared" si="11"/>
        <v>0</v>
      </c>
      <c r="AY28">
        <f t="shared" si="12"/>
        <v>0</v>
      </c>
      <c r="AZ28">
        <f t="shared" si="13"/>
        <v>0</v>
      </c>
      <c r="BA28">
        <f t="shared" si="14"/>
        <v>0</v>
      </c>
      <c r="BB28">
        <f t="shared" si="15"/>
        <v>0</v>
      </c>
      <c r="BC28">
        <f t="shared" si="16"/>
        <v>0</v>
      </c>
      <c r="BD28">
        <f t="shared" si="17"/>
        <v>0</v>
      </c>
      <c r="BE28">
        <f t="shared" si="18"/>
        <v>0</v>
      </c>
      <c r="BF28">
        <f t="shared" si="19"/>
        <v>0</v>
      </c>
      <c r="BG28">
        <f t="shared" si="20"/>
        <v>0</v>
      </c>
      <c r="BH28">
        <f t="shared" si="21"/>
        <v>0</v>
      </c>
      <c r="BI28">
        <f t="shared" si="22"/>
        <v>0</v>
      </c>
      <c r="BJ28">
        <f t="shared" si="23"/>
        <v>0</v>
      </c>
      <c r="BK28">
        <f t="shared" si="24"/>
        <v>0</v>
      </c>
      <c r="BL28">
        <f t="shared" si="25"/>
        <v>0</v>
      </c>
      <c r="BM28">
        <f t="shared" si="26"/>
        <v>0</v>
      </c>
      <c r="BN28">
        <f t="shared" si="27"/>
        <v>0</v>
      </c>
      <c r="BO28">
        <f t="shared" si="28"/>
        <v>0</v>
      </c>
      <c r="BP28">
        <f t="shared" si="29"/>
        <v>0</v>
      </c>
      <c r="BQ28">
        <f t="shared" si="30"/>
        <v>0</v>
      </c>
      <c r="BR28">
        <f t="shared" si="31"/>
        <v>0</v>
      </c>
      <c r="BS28">
        <f t="shared" si="32"/>
        <v>0</v>
      </c>
      <c r="BT28">
        <f t="shared" si="33"/>
        <v>0</v>
      </c>
      <c r="BU28">
        <f t="shared" si="34"/>
        <v>0</v>
      </c>
      <c r="BV28">
        <f t="shared" si="35"/>
        <v>0</v>
      </c>
      <c r="BW28">
        <f t="shared" si="36"/>
        <v>0</v>
      </c>
      <c r="BX28">
        <f t="shared" si="37"/>
        <v>0</v>
      </c>
      <c r="BY28">
        <f t="shared" si="38"/>
        <v>0</v>
      </c>
      <c r="BZ28">
        <f t="shared" si="39"/>
        <v>0</v>
      </c>
      <c r="CA28">
        <f t="shared" si="40"/>
        <v>0</v>
      </c>
      <c r="CB28">
        <f t="shared" si="41"/>
        <v>0</v>
      </c>
      <c r="CC28">
        <f t="shared" ca="1" si="42"/>
        <v>0</v>
      </c>
    </row>
    <row r="29" spans="1:81" ht="18.75" x14ac:dyDescent="0.2">
      <c r="A29">
        <f t="shared" si="0"/>
        <v>0</v>
      </c>
      <c r="B29">
        <f t="shared" si="48"/>
        <v>0</v>
      </c>
      <c r="C29">
        <f t="shared" si="48"/>
        <v>0</v>
      </c>
      <c r="D29">
        <f t="shared" si="48"/>
        <v>0</v>
      </c>
      <c r="E29">
        <f t="shared" si="48"/>
        <v>0</v>
      </c>
      <c r="F29">
        <f t="shared" si="48"/>
        <v>0</v>
      </c>
      <c r="G29">
        <f t="shared" si="48"/>
        <v>0</v>
      </c>
      <c r="H29" t="str">
        <f t="shared" si="48"/>
        <v/>
      </c>
      <c r="I29" t="str">
        <f t="shared" si="48"/>
        <v/>
      </c>
      <c r="J29" t="str">
        <f t="shared" si="48"/>
        <v/>
      </c>
      <c r="K29" t="str">
        <f t="shared" si="48"/>
        <v/>
      </c>
      <c r="L29" t="str">
        <f t="shared" si="49"/>
        <v/>
      </c>
      <c r="M29" t="str">
        <f t="shared" si="49"/>
        <v/>
      </c>
      <c r="N29" t="str">
        <f t="shared" si="49"/>
        <v/>
      </c>
      <c r="O29" t="str">
        <f t="shared" si="49"/>
        <v/>
      </c>
      <c r="P29" t="str">
        <f t="shared" si="49"/>
        <v/>
      </c>
      <c r="Q29" t="str">
        <f t="shared" si="49"/>
        <v/>
      </c>
      <c r="R29" t="str">
        <f t="shared" si="49"/>
        <v/>
      </c>
      <c r="S29" t="str">
        <f t="shared" si="49"/>
        <v/>
      </c>
      <c r="T29" t="str">
        <f t="shared" si="49"/>
        <v/>
      </c>
      <c r="U29" t="str">
        <f t="shared" si="49"/>
        <v/>
      </c>
      <c r="V29" t="str">
        <f t="shared" si="50"/>
        <v/>
      </c>
      <c r="W29" t="str">
        <f t="shared" si="50"/>
        <v/>
      </c>
      <c r="X29" t="str">
        <f t="shared" si="50"/>
        <v/>
      </c>
      <c r="Y29" t="str">
        <f t="shared" si="50"/>
        <v/>
      </c>
      <c r="Z29" t="str">
        <f t="shared" si="50"/>
        <v/>
      </c>
      <c r="AA29" t="str">
        <f t="shared" si="50"/>
        <v/>
      </c>
      <c r="AB29" t="str">
        <f t="shared" si="50"/>
        <v/>
      </c>
      <c r="AC29" t="str">
        <f t="shared" si="50"/>
        <v/>
      </c>
      <c r="AD29" t="str">
        <f t="shared" si="50"/>
        <v/>
      </c>
      <c r="AE29" t="str">
        <f t="shared" si="50"/>
        <v/>
      </c>
      <c r="AF29" t="str">
        <f t="shared" si="51"/>
        <v/>
      </c>
      <c r="AG29" t="str">
        <f t="shared" si="51"/>
        <v/>
      </c>
      <c r="AH29" t="str">
        <f t="shared" si="51"/>
        <v/>
      </c>
      <c r="AI29" t="str">
        <f t="shared" si="51"/>
        <v/>
      </c>
      <c r="AJ29" t="str">
        <f t="shared" si="51"/>
        <v/>
      </c>
      <c r="AK29" t="str">
        <f t="shared" si="51"/>
        <v/>
      </c>
      <c r="AM29" s="22">
        <f t="shared" si="43"/>
        <v>0</v>
      </c>
      <c r="AP29">
        <v>27</v>
      </c>
      <c r="AQ29" s="38" t="str">
        <f>IFERROR(LOOKUP(2,1/(COUNTIF($AQ$1:AQ28,CountDSDs)=0),CountDSDs),"")</f>
        <v/>
      </c>
      <c r="AR29">
        <f t="shared" si="5"/>
        <v>0</v>
      </c>
      <c r="AS29">
        <f t="shared" si="6"/>
        <v>0</v>
      </c>
      <c r="AT29">
        <f t="shared" si="7"/>
        <v>0</v>
      </c>
      <c r="AU29">
        <f t="shared" si="8"/>
        <v>0</v>
      </c>
      <c r="AV29">
        <f t="shared" si="9"/>
        <v>0</v>
      </c>
      <c r="AW29">
        <f t="shared" si="10"/>
        <v>0</v>
      </c>
      <c r="AX29">
        <f t="shared" si="11"/>
        <v>0</v>
      </c>
      <c r="AY29">
        <f t="shared" si="12"/>
        <v>0</v>
      </c>
      <c r="AZ29">
        <f t="shared" si="13"/>
        <v>0</v>
      </c>
      <c r="BA29">
        <f t="shared" si="14"/>
        <v>0</v>
      </c>
      <c r="BB29">
        <f t="shared" si="15"/>
        <v>0</v>
      </c>
      <c r="BC29">
        <f t="shared" si="16"/>
        <v>0</v>
      </c>
      <c r="BD29">
        <f t="shared" si="17"/>
        <v>0</v>
      </c>
      <c r="BE29">
        <f t="shared" si="18"/>
        <v>0</v>
      </c>
      <c r="BF29">
        <f t="shared" si="19"/>
        <v>0</v>
      </c>
      <c r="BG29">
        <f t="shared" si="20"/>
        <v>0</v>
      </c>
      <c r="BH29">
        <f t="shared" si="21"/>
        <v>0</v>
      </c>
      <c r="BI29">
        <f t="shared" si="22"/>
        <v>0</v>
      </c>
      <c r="BJ29">
        <f t="shared" si="23"/>
        <v>0</v>
      </c>
      <c r="BK29">
        <f t="shared" si="24"/>
        <v>0</v>
      </c>
      <c r="BL29">
        <f t="shared" si="25"/>
        <v>0</v>
      </c>
      <c r="BM29">
        <f t="shared" si="26"/>
        <v>0</v>
      </c>
      <c r="BN29">
        <f t="shared" si="27"/>
        <v>0</v>
      </c>
      <c r="BO29">
        <f t="shared" si="28"/>
        <v>0</v>
      </c>
      <c r="BP29">
        <f t="shared" si="29"/>
        <v>0</v>
      </c>
      <c r="BQ29">
        <f t="shared" si="30"/>
        <v>0</v>
      </c>
      <c r="BR29">
        <f t="shared" si="31"/>
        <v>0</v>
      </c>
      <c r="BS29">
        <f t="shared" si="32"/>
        <v>0</v>
      </c>
      <c r="BT29">
        <f t="shared" si="33"/>
        <v>0</v>
      </c>
      <c r="BU29">
        <f t="shared" si="34"/>
        <v>0</v>
      </c>
      <c r="BV29">
        <f t="shared" si="35"/>
        <v>0</v>
      </c>
      <c r="BW29">
        <f t="shared" si="36"/>
        <v>0</v>
      </c>
      <c r="BX29">
        <f t="shared" si="37"/>
        <v>0</v>
      </c>
      <c r="BY29">
        <f t="shared" si="38"/>
        <v>0</v>
      </c>
      <c r="BZ29">
        <f t="shared" si="39"/>
        <v>0</v>
      </c>
      <c r="CA29">
        <f t="shared" si="40"/>
        <v>0</v>
      </c>
      <c r="CB29">
        <f t="shared" si="41"/>
        <v>0</v>
      </c>
      <c r="CC29">
        <f t="shared" ca="1" si="42"/>
        <v>0</v>
      </c>
    </row>
    <row r="30" spans="1:81" ht="18.75" x14ac:dyDescent="0.2">
      <c r="A30">
        <f t="shared" si="0"/>
        <v>0</v>
      </c>
      <c r="B30">
        <f t="shared" si="48"/>
        <v>0</v>
      </c>
      <c r="C30">
        <f t="shared" si="48"/>
        <v>0</v>
      </c>
      <c r="D30">
        <f t="shared" si="48"/>
        <v>0</v>
      </c>
      <c r="E30">
        <f t="shared" si="48"/>
        <v>0</v>
      </c>
      <c r="F30">
        <f t="shared" si="48"/>
        <v>0</v>
      </c>
      <c r="G30">
        <f t="shared" si="48"/>
        <v>0</v>
      </c>
      <c r="H30" t="str">
        <f t="shared" si="48"/>
        <v/>
      </c>
      <c r="I30" t="str">
        <f t="shared" si="48"/>
        <v/>
      </c>
      <c r="J30" t="str">
        <f t="shared" si="48"/>
        <v/>
      </c>
      <c r="K30" t="str">
        <f t="shared" si="48"/>
        <v/>
      </c>
      <c r="L30" t="str">
        <f t="shared" si="49"/>
        <v/>
      </c>
      <c r="M30" t="str">
        <f t="shared" si="49"/>
        <v/>
      </c>
      <c r="N30" t="str">
        <f t="shared" si="49"/>
        <v/>
      </c>
      <c r="O30" t="str">
        <f t="shared" si="49"/>
        <v/>
      </c>
      <c r="P30" t="str">
        <f t="shared" si="49"/>
        <v/>
      </c>
      <c r="Q30" t="str">
        <f t="shared" si="49"/>
        <v/>
      </c>
      <c r="R30" t="str">
        <f t="shared" si="49"/>
        <v/>
      </c>
      <c r="S30" t="str">
        <f t="shared" si="49"/>
        <v/>
      </c>
      <c r="T30" t="str">
        <f t="shared" si="49"/>
        <v/>
      </c>
      <c r="U30" t="str">
        <f t="shared" si="49"/>
        <v/>
      </c>
      <c r="V30" t="str">
        <f t="shared" si="50"/>
        <v/>
      </c>
      <c r="W30" t="str">
        <f t="shared" si="50"/>
        <v/>
      </c>
      <c r="X30" t="str">
        <f t="shared" si="50"/>
        <v/>
      </c>
      <c r="Y30" t="str">
        <f t="shared" si="50"/>
        <v/>
      </c>
      <c r="Z30" t="str">
        <f t="shared" si="50"/>
        <v/>
      </c>
      <c r="AA30" t="str">
        <f t="shared" si="50"/>
        <v/>
      </c>
      <c r="AB30" t="str">
        <f t="shared" si="50"/>
        <v/>
      </c>
      <c r="AC30" t="str">
        <f t="shared" si="50"/>
        <v/>
      </c>
      <c r="AD30" t="str">
        <f t="shared" si="50"/>
        <v/>
      </c>
      <c r="AE30" t="str">
        <f t="shared" si="50"/>
        <v/>
      </c>
      <c r="AF30" t="str">
        <f t="shared" si="51"/>
        <v/>
      </c>
      <c r="AG30" t="str">
        <f t="shared" si="51"/>
        <v/>
      </c>
      <c r="AH30" t="str">
        <f t="shared" si="51"/>
        <v/>
      </c>
      <c r="AI30" t="str">
        <f t="shared" si="51"/>
        <v/>
      </c>
      <c r="AJ30" t="str">
        <f t="shared" si="51"/>
        <v/>
      </c>
      <c r="AK30" t="str">
        <f t="shared" si="51"/>
        <v/>
      </c>
      <c r="AM30" s="22">
        <f t="shared" si="43"/>
        <v>0</v>
      </c>
      <c r="AP30">
        <v>28</v>
      </c>
      <c r="AQ30" s="38" t="str">
        <f>IFERROR(LOOKUP(2,1/(COUNTIF($AQ$1:AQ29,CountDSDs)=0),CountDSDs),"")</f>
        <v/>
      </c>
      <c r="AR30">
        <f t="shared" si="5"/>
        <v>0</v>
      </c>
      <c r="AS30">
        <f t="shared" si="6"/>
        <v>0</v>
      </c>
      <c r="AT30">
        <f t="shared" si="7"/>
        <v>0</v>
      </c>
      <c r="AU30">
        <f t="shared" si="8"/>
        <v>0</v>
      </c>
      <c r="AV30">
        <f t="shared" si="9"/>
        <v>0</v>
      </c>
      <c r="AW30">
        <f t="shared" si="10"/>
        <v>0</v>
      </c>
      <c r="AX30">
        <f t="shared" si="11"/>
        <v>0</v>
      </c>
      <c r="AY30">
        <f t="shared" si="12"/>
        <v>0</v>
      </c>
      <c r="AZ30">
        <f t="shared" si="13"/>
        <v>0</v>
      </c>
      <c r="BA30">
        <f t="shared" si="14"/>
        <v>0</v>
      </c>
      <c r="BB30">
        <f t="shared" si="15"/>
        <v>0</v>
      </c>
      <c r="BC30">
        <f t="shared" si="16"/>
        <v>0</v>
      </c>
      <c r="BD30">
        <f t="shared" si="17"/>
        <v>0</v>
      </c>
      <c r="BE30">
        <f t="shared" si="18"/>
        <v>0</v>
      </c>
      <c r="BF30">
        <f t="shared" si="19"/>
        <v>0</v>
      </c>
      <c r="BG30">
        <f t="shared" si="20"/>
        <v>0</v>
      </c>
      <c r="BH30">
        <f t="shared" si="21"/>
        <v>0</v>
      </c>
      <c r="BI30">
        <f t="shared" si="22"/>
        <v>0</v>
      </c>
      <c r="BJ30">
        <f t="shared" si="23"/>
        <v>0</v>
      </c>
      <c r="BK30">
        <f t="shared" si="24"/>
        <v>0</v>
      </c>
      <c r="BL30">
        <f t="shared" si="25"/>
        <v>0</v>
      </c>
      <c r="BM30">
        <f t="shared" si="26"/>
        <v>0</v>
      </c>
      <c r="BN30">
        <f t="shared" si="27"/>
        <v>0</v>
      </c>
      <c r="BO30">
        <f t="shared" si="28"/>
        <v>0</v>
      </c>
      <c r="BP30">
        <f t="shared" si="29"/>
        <v>0</v>
      </c>
      <c r="BQ30">
        <f t="shared" si="30"/>
        <v>0</v>
      </c>
      <c r="BR30">
        <f t="shared" si="31"/>
        <v>0</v>
      </c>
      <c r="BS30">
        <f t="shared" si="32"/>
        <v>0</v>
      </c>
      <c r="BT30">
        <f t="shared" si="33"/>
        <v>0</v>
      </c>
      <c r="BU30">
        <f t="shared" si="34"/>
        <v>0</v>
      </c>
      <c r="BV30">
        <f t="shared" si="35"/>
        <v>0</v>
      </c>
      <c r="BW30">
        <f t="shared" si="36"/>
        <v>0</v>
      </c>
      <c r="BX30">
        <f t="shared" si="37"/>
        <v>0</v>
      </c>
      <c r="BY30">
        <f t="shared" si="38"/>
        <v>0</v>
      </c>
      <c r="BZ30">
        <f t="shared" si="39"/>
        <v>0</v>
      </c>
      <c r="CA30">
        <f t="shared" si="40"/>
        <v>0</v>
      </c>
      <c r="CB30">
        <f t="shared" si="41"/>
        <v>0</v>
      </c>
      <c r="CC30">
        <f t="shared" ca="1" si="42"/>
        <v>0</v>
      </c>
    </row>
    <row r="31" spans="1:81" ht="18.75" x14ac:dyDescent="0.2">
      <c r="A31">
        <f t="shared" si="0"/>
        <v>0</v>
      </c>
      <c r="B31">
        <f t="shared" si="48"/>
        <v>0</v>
      </c>
      <c r="C31">
        <f t="shared" si="48"/>
        <v>0</v>
      </c>
      <c r="D31">
        <f t="shared" si="48"/>
        <v>0</v>
      </c>
      <c r="E31">
        <f t="shared" si="48"/>
        <v>0</v>
      </c>
      <c r="F31">
        <f t="shared" si="48"/>
        <v>0</v>
      </c>
      <c r="G31">
        <f t="shared" si="48"/>
        <v>0</v>
      </c>
      <c r="H31" t="str">
        <f t="shared" si="48"/>
        <v/>
      </c>
      <c r="I31" t="str">
        <f t="shared" si="48"/>
        <v/>
      </c>
      <c r="J31" t="str">
        <f t="shared" si="48"/>
        <v/>
      </c>
      <c r="K31" t="str">
        <f t="shared" si="48"/>
        <v/>
      </c>
      <c r="L31" t="str">
        <f t="shared" si="49"/>
        <v/>
      </c>
      <c r="M31" t="str">
        <f t="shared" si="49"/>
        <v/>
      </c>
      <c r="N31" t="str">
        <f t="shared" si="49"/>
        <v/>
      </c>
      <c r="O31" t="str">
        <f t="shared" si="49"/>
        <v/>
      </c>
      <c r="P31" t="str">
        <f t="shared" si="49"/>
        <v/>
      </c>
      <c r="Q31" t="str">
        <f t="shared" si="49"/>
        <v/>
      </c>
      <c r="R31" t="str">
        <f t="shared" si="49"/>
        <v/>
      </c>
      <c r="S31" t="str">
        <f t="shared" si="49"/>
        <v/>
      </c>
      <c r="T31" t="str">
        <f t="shared" si="49"/>
        <v/>
      </c>
      <c r="U31" t="str">
        <f t="shared" si="49"/>
        <v/>
      </c>
      <c r="V31" t="str">
        <f t="shared" si="50"/>
        <v/>
      </c>
      <c r="W31" t="str">
        <f t="shared" si="50"/>
        <v/>
      </c>
      <c r="X31" t="str">
        <f t="shared" si="50"/>
        <v/>
      </c>
      <c r="Y31" t="str">
        <f t="shared" si="50"/>
        <v/>
      </c>
      <c r="Z31" t="str">
        <f t="shared" si="50"/>
        <v/>
      </c>
      <c r="AA31" t="str">
        <f t="shared" si="50"/>
        <v/>
      </c>
      <c r="AB31" t="str">
        <f t="shared" si="50"/>
        <v/>
      </c>
      <c r="AC31" t="str">
        <f t="shared" si="50"/>
        <v/>
      </c>
      <c r="AD31" t="str">
        <f t="shared" si="50"/>
        <v/>
      </c>
      <c r="AE31" t="str">
        <f t="shared" si="50"/>
        <v/>
      </c>
      <c r="AF31" t="str">
        <f t="shared" si="51"/>
        <v/>
      </c>
      <c r="AG31" t="str">
        <f t="shared" si="51"/>
        <v/>
      </c>
      <c r="AH31" t="str">
        <f t="shared" si="51"/>
        <v/>
      </c>
      <c r="AI31" t="str">
        <f t="shared" si="51"/>
        <v/>
      </c>
      <c r="AJ31" t="str">
        <f t="shared" si="51"/>
        <v/>
      </c>
      <c r="AK31" t="str">
        <f t="shared" si="51"/>
        <v/>
      </c>
      <c r="AM31" s="22">
        <f t="shared" si="43"/>
        <v>0</v>
      </c>
      <c r="AP31">
        <v>29</v>
      </c>
      <c r="AQ31" s="38" t="str">
        <f>IFERROR(LOOKUP(2,1/(COUNTIF($AQ$1:AQ30,CountDSDs)=0),CountDSDs),"")</f>
        <v/>
      </c>
      <c r="AR31">
        <f t="shared" si="5"/>
        <v>0</v>
      </c>
      <c r="AS31">
        <f t="shared" si="6"/>
        <v>0</v>
      </c>
      <c r="AT31">
        <f t="shared" si="7"/>
        <v>0</v>
      </c>
      <c r="AU31">
        <f t="shared" si="8"/>
        <v>0</v>
      </c>
      <c r="AV31">
        <f t="shared" si="9"/>
        <v>0</v>
      </c>
      <c r="AW31">
        <f t="shared" si="10"/>
        <v>0</v>
      </c>
      <c r="AX31">
        <f t="shared" si="11"/>
        <v>0</v>
      </c>
      <c r="AY31">
        <f t="shared" si="12"/>
        <v>0</v>
      </c>
      <c r="AZ31">
        <f t="shared" si="13"/>
        <v>0</v>
      </c>
      <c r="BA31">
        <f t="shared" si="14"/>
        <v>0</v>
      </c>
      <c r="BB31">
        <f t="shared" si="15"/>
        <v>0</v>
      </c>
      <c r="BC31">
        <f t="shared" si="16"/>
        <v>0</v>
      </c>
      <c r="BD31">
        <f t="shared" si="17"/>
        <v>0</v>
      </c>
      <c r="BE31">
        <f t="shared" si="18"/>
        <v>0</v>
      </c>
      <c r="BF31">
        <f t="shared" si="19"/>
        <v>0</v>
      </c>
      <c r="BG31">
        <f t="shared" si="20"/>
        <v>0</v>
      </c>
      <c r="BH31">
        <f t="shared" si="21"/>
        <v>0</v>
      </c>
      <c r="BI31">
        <f t="shared" si="22"/>
        <v>0</v>
      </c>
      <c r="BJ31">
        <f t="shared" si="23"/>
        <v>0</v>
      </c>
      <c r="BK31">
        <f t="shared" si="24"/>
        <v>0</v>
      </c>
      <c r="BL31">
        <f t="shared" si="25"/>
        <v>0</v>
      </c>
      <c r="BM31">
        <f t="shared" si="26"/>
        <v>0</v>
      </c>
      <c r="BN31">
        <f t="shared" si="27"/>
        <v>0</v>
      </c>
      <c r="BO31">
        <f t="shared" si="28"/>
        <v>0</v>
      </c>
      <c r="BP31">
        <f t="shared" si="29"/>
        <v>0</v>
      </c>
      <c r="BQ31">
        <f t="shared" si="30"/>
        <v>0</v>
      </c>
      <c r="BR31">
        <f t="shared" si="31"/>
        <v>0</v>
      </c>
      <c r="BS31">
        <f t="shared" si="32"/>
        <v>0</v>
      </c>
      <c r="BT31">
        <f t="shared" si="33"/>
        <v>0</v>
      </c>
      <c r="BU31">
        <f t="shared" si="34"/>
        <v>0</v>
      </c>
      <c r="BV31">
        <f t="shared" si="35"/>
        <v>0</v>
      </c>
      <c r="BW31">
        <f t="shared" si="36"/>
        <v>0</v>
      </c>
      <c r="BX31">
        <f t="shared" si="37"/>
        <v>0</v>
      </c>
      <c r="BY31">
        <f t="shared" si="38"/>
        <v>0</v>
      </c>
      <c r="BZ31">
        <f t="shared" si="39"/>
        <v>0</v>
      </c>
      <c r="CA31">
        <f t="shared" si="40"/>
        <v>0</v>
      </c>
      <c r="CB31">
        <f t="shared" si="41"/>
        <v>0</v>
      </c>
      <c r="CC31">
        <f t="shared" ca="1" si="42"/>
        <v>0</v>
      </c>
    </row>
    <row r="32" spans="1:81" ht="18.75" x14ac:dyDescent="0.2">
      <c r="A32">
        <f t="shared" si="0"/>
        <v>0</v>
      </c>
      <c r="B32">
        <f t="shared" ref="B32:K41" si="52">IFERROR(IF(INDEX(ConDimVals,ROW(A31),COLUMN(A31))="",0,1),"")</f>
        <v>0</v>
      </c>
      <c r="C32">
        <f t="shared" si="52"/>
        <v>0</v>
      </c>
      <c r="D32">
        <f t="shared" si="52"/>
        <v>0</v>
      </c>
      <c r="E32">
        <f t="shared" si="52"/>
        <v>0</v>
      </c>
      <c r="F32">
        <f t="shared" si="52"/>
        <v>0</v>
      </c>
      <c r="G32">
        <f t="shared" si="52"/>
        <v>0</v>
      </c>
      <c r="H32" t="str">
        <f t="shared" si="52"/>
        <v/>
      </c>
      <c r="I32" t="str">
        <f t="shared" si="52"/>
        <v/>
      </c>
      <c r="J32" t="str">
        <f t="shared" si="52"/>
        <v/>
      </c>
      <c r="K32" t="str">
        <f t="shared" si="52"/>
        <v/>
      </c>
      <c r="L32" t="str">
        <f t="shared" ref="L32:U41" si="53">IFERROR(IF(INDEX(ConDimVals,ROW(K31),COLUMN(K31))="",0,1),"")</f>
        <v/>
      </c>
      <c r="M32" t="str">
        <f t="shared" si="53"/>
        <v/>
      </c>
      <c r="N32" t="str">
        <f t="shared" si="53"/>
        <v/>
      </c>
      <c r="O32" t="str">
        <f t="shared" si="53"/>
        <v/>
      </c>
      <c r="P32" t="str">
        <f t="shared" si="53"/>
        <v/>
      </c>
      <c r="Q32" t="str">
        <f t="shared" si="53"/>
        <v/>
      </c>
      <c r="R32" t="str">
        <f t="shared" si="53"/>
        <v/>
      </c>
      <c r="S32" t="str">
        <f t="shared" si="53"/>
        <v/>
      </c>
      <c r="T32" t="str">
        <f t="shared" si="53"/>
        <v/>
      </c>
      <c r="U32" t="str">
        <f t="shared" si="53"/>
        <v/>
      </c>
      <c r="V32" t="str">
        <f t="shared" ref="V32:AE41" si="54">IFERROR(IF(INDEX(ConDimVals,ROW(U31),COLUMN(U31))="",0,1),"")</f>
        <v/>
      </c>
      <c r="W32" t="str">
        <f t="shared" si="54"/>
        <v/>
      </c>
      <c r="X32" t="str">
        <f t="shared" si="54"/>
        <v/>
      </c>
      <c r="Y32" t="str">
        <f t="shared" si="54"/>
        <v/>
      </c>
      <c r="Z32" t="str">
        <f t="shared" si="54"/>
        <v/>
      </c>
      <c r="AA32" t="str">
        <f t="shared" si="54"/>
        <v/>
      </c>
      <c r="AB32" t="str">
        <f t="shared" si="54"/>
        <v/>
      </c>
      <c r="AC32" t="str">
        <f t="shared" si="54"/>
        <v/>
      </c>
      <c r="AD32" t="str">
        <f t="shared" si="54"/>
        <v/>
      </c>
      <c r="AE32" t="str">
        <f t="shared" si="54"/>
        <v/>
      </c>
      <c r="AF32" t="str">
        <f t="shared" ref="AF32:AK41" si="55">IFERROR(IF(INDEX(ConDimVals,ROW(AE31),COLUMN(AE31))="",0,1),"")</f>
        <v/>
      </c>
      <c r="AG32" t="str">
        <f t="shared" si="55"/>
        <v/>
      </c>
      <c r="AH32" t="str">
        <f t="shared" si="55"/>
        <v/>
      </c>
      <c r="AI32" t="str">
        <f t="shared" si="55"/>
        <v/>
      </c>
      <c r="AJ32" t="str">
        <f t="shared" si="55"/>
        <v/>
      </c>
      <c r="AK32" t="str">
        <f t="shared" si="55"/>
        <v/>
      </c>
      <c r="AM32" s="22">
        <f t="shared" si="43"/>
        <v>0</v>
      </c>
      <c r="AP32">
        <v>30</v>
      </c>
      <c r="AQ32" s="38" t="str">
        <f>IFERROR(LOOKUP(2,1/(COUNTIF($AQ$1:AQ31,CountDSDs)=0),CountDSDs),"")</f>
        <v/>
      </c>
      <c r="AR32">
        <f t="shared" si="5"/>
        <v>0</v>
      </c>
      <c r="AS32">
        <f t="shared" si="6"/>
        <v>0</v>
      </c>
      <c r="AT32">
        <f t="shared" si="7"/>
        <v>0</v>
      </c>
      <c r="AU32">
        <f t="shared" si="8"/>
        <v>0</v>
      </c>
      <c r="AV32">
        <f t="shared" si="9"/>
        <v>0</v>
      </c>
      <c r="AW32">
        <f t="shared" si="10"/>
        <v>0</v>
      </c>
      <c r="AX32">
        <f t="shared" si="11"/>
        <v>0</v>
      </c>
      <c r="AY32">
        <f t="shared" si="12"/>
        <v>0</v>
      </c>
      <c r="AZ32">
        <f t="shared" si="13"/>
        <v>0</v>
      </c>
      <c r="BA32">
        <f t="shared" si="14"/>
        <v>0</v>
      </c>
      <c r="BB32">
        <f t="shared" si="15"/>
        <v>0</v>
      </c>
      <c r="BC32">
        <f t="shared" si="16"/>
        <v>0</v>
      </c>
      <c r="BD32">
        <f t="shared" si="17"/>
        <v>0</v>
      </c>
      <c r="BE32">
        <f t="shared" si="18"/>
        <v>0</v>
      </c>
      <c r="BF32">
        <f t="shared" si="19"/>
        <v>0</v>
      </c>
      <c r="BG32">
        <f t="shared" si="20"/>
        <v>0</v>
      </c>
      <c r="BH32">
        <f t="shared" si="21"/>
        <v>0</v>
      </c>
      <c r="BI32">
        <f t="shared" si="22"/>
        <v>0</v>
      </c>
      <c r="BJ32">
        <f t="shared" si="23"/>
        <v>0</v>
      </c>
      <c r="BK32">
        <f t="shared" si="24"/>
        <v>0</v>
      </c>
      <c r="BL32">
        <f t="shared" si="25"/>
        <v>0</v>
      </c>
      <c r="BM32">
        <f t="shared" si="26"/>
        <v>0</v>
      </c>
      <c r="BN32">
        <f t="shared" si="27"/>
        <v>0</v>
      </c>
      <c r="BO32">
        <f t="shared" si="28"/>
        <v>0</v>
      </c>
      <c r="BP32">
        <f t="shared" si="29"/>
        <v>0</v>
      </c>
      <c r="BQ32">
        <f t="shared" si="30"/>
        <v>0</v>
      </c>
      <c r="BR32">
        <f t="shared" si="31"/>
        <v>0</v>
      </c>
      <c r="BS32">
        <f t="shared" si="32"/>
        <v>0</v>
      </c>
      <c r="BT32">
        <f t="shared" si="33"/>
        <v>0</v>
      </c>
      <c r="BU32">
        <f t="shared" si="34"/>
        <v>0</v>
      </c>
      <c r="BV32">
        <f t="shared" si="35"/>
        <v>0</v>
      </c>
      <c r="BW32">
        <f t="shared" si="36"/>
        <v>0</v>
      </c>
      <c r="BX32">
        <f t="shared" si="37"/>
        <v>0</v>
      </c>
      <c r="BY32">
        <f t="shared" si="38"/>
        <v>0</v>
      </c>
      <c r="BZ32">
        <f t="shared" si="39"/>
        <v>0</v>
      </c>
      <c r="CA32">
        <f t="shared" si="40"/>
        <v>0</v>
      </c>
      <c r="CB32">
        <f t="shared" si="41"/>
        <v>0</v>
      </c>
      <c r="CC32">
        <f t="shared" ca="1" si="42"/>
        <v>0</v>
      </c>
    </row>
    <row r="33" spans="1:81" ht="18.75" x14ac:dyDescent="0.2">
      <c r="A33">
        <f t="shared" si="0"/>
        <v>0</v>
      </c>
      <c r="B33">
        <f t="shared" si="52"/>
        <v>0</v>
      </c>
      <c r="C33">
        <f t="shared" si="52"/>
        <v>0</v>
      </c>
      <c r="D33">
        <f t="shared" si="52"/>
        <v>0</v>
      </c>
      <c r="E33">
        <f t="shared" si="52"/>
        <v>0</v>
      </c>
      <c r="F33">
        <f t="shared" si="52"/>
        <v>0</v>
      </c>
      <c r="G33">
        <f t="shared" si="52"/>
        <v>0</v>
      </c>
      <c r="H33" t="str">
        <f t="shared" si="52"/>
        <v/>
      </c>
      <c r="I33" t="str">
        <f t="shared" si="52"/>
        <v/>
      </c>
      <c r="J33" t="str">
        <f t="shared" si="52"/>
        <v/>
      </c>
      <c r="K33" t="str">
        <f t="shared" si="52"/>
        <v/>
      </c>
      <c r="L33" t="str">
        <f t="shared" si="53"/>
        <v/>
      </c>
      <c r="M33" t="str">
        <f t="shared" si="53"/>
        <v/>
      </c>
      <c r="N33" t="str">
        <f t="shared" si="53"/>
        <v/>
      </c>
      <c r="O33" t="str">
        <f t="shared" si="53"/>
        <v/>
      </c>
      <c r="P33" t="str">
        <f t="shared" si="53"/>
        <v/>
      </c>
      <c r="Q33" t="str">
        <f t="shared" si="53"/>
        <v/>
      </c>
      <c r="R33" t="str">
        <f t="shared" si="53"/>
        <v/>
      </c>
      <c r="S33" t="str">
        <f t="shared" si="53"/>
        <v/>
      </c>
      <c r="T33" t="str">
        <f t="shared" si="53"/>
        <v/>
      </c>
      <c r="U33" t="str">
        <f t="shared" si="53"/>
        <v/>
      </c>
      <c r="V33" t="str">
        <f t="shared" si="54"/>
        <v/>
      </c>
      <c r="W33" t="str">
        <f t="shared" si="54"/>
        <v/>
      </c>
      <c r="X33" t="str">
        <f t="shared" si="54"/>
        <v/>
      </c>
      <c r="Y33" t="str">
        <f t="shared" si="54"/>
        <v/>
      </c>
      <c r="Z33" t="str">
        <f t="shared" si="54"/>
        <v/>
      </c>
      <c r="AA33" t="str">
        <f t="shared" si="54"/>
        <v/>
      </c>
      <c r="AB33" t="str">
        <f t="shared" si="54"/>
        <v/>
      </c>
      <c r="AC33" t="str">
        <f t="shared" si="54"/>
        <v/>
      </c>
      <c r="AD33" t="str">
        <f t="shared" si="54"/>
        <v/>
      </c>
      <c r="AE33" t="str">
        <f t="shared" si="54"/>
        <v/>
      </c>
      <c r="AF33" t="str">
        <f t="shared" si="55"/>
        <v/>
      </c>
      <c r="AG33" t="str">
        <f t="shared" si="55"/>
        <v/>
      </c>
      <c r="AH33" t="str">
        <f t="shared" si="55"/>
        <v/>
      </c>
      <c r="AI33" t="str">
        <f t="shared" si="55"/>
        <v/>
      </c>
      <c r="AJ33" t="str">
        <f t="shared" si="55"/>
        <v/>
      </c>
      <c r="AK33" t="str">
        <f t="shared" si="55"/>
        <v/>
      </c>
      <c r="AM33" s="22">
        <f t="shared" si="43"/>
        <v>0</v>
      </c>
      <c r="AP33">
        <v>31</v>
      </c>
      <c r="AQ33" s="38" t="str">
        <f>IFERROR(LOOKUP(2,1/(COUNTIF($AQ$1:AQ32,CountDSDs)=0),CountDSDs),"")</f>
        <v/>
      </c>
      <c r="AR33">
        <f t="shared" si="5"/>
        <v>0</v>
      </c>
      <c r="AS33">
        <f t="shared" si="6"/>
        <v>0</v>
      </c>
      <c r="AT33">
        <f t="shared" si="7"/>
        <v>0</v>
      </c>
      <c r="AU33">
        <f t="shared" si="8"/>
        <v>0</v>
      </c>
      <c r="AV33">
        <f t="shared" si="9"/>
        <v>0</v>
      </c>
      <c r="AW33">
        <f t="shared" si="10"/>
        <v>0</v>
      </c>
      <c r="AX33">
        <f t="shared" si="11"/>
        <v>0</v>
      </c>
      <c r="AY33">
        <f t="shared" si="12"/>
        <v>0</v>
      </c>
      <c r="AZ33">
        <f t="shared" si="13"/>
        <v>0</v>
      </c>
      <c r="BA33">
        <f t="shared" si="14"/>
        <v>0</v>
      </c>
      <c r="BB33">
        <f t="shared" si="15"/>
        <v>0</v>
      </c>
      <c r="BC33">
        <f t="shared" si="16"/>
        <v>0</v>
      </c>
      <c r="BD33">
        <f t="shared" si="17"/>
        <v>0</v>
      </c>
      <c r="BE33">
        <f t="shared" si="18"/>
        <v>0</v>
      </c>
      <c r="BF33">
        <f t="shared" si="19"/>
        <v>0</v>
      </c>
      <c r="BG33">
        <f t="shared" si="20"/>
        <v>0</v>
      </c>
      <c r="BH33">
        <f t="shared" si="21"/>
        <v>0</v>
      </c>
      <c r="BI33">
        <f t="shared" si="22"/>
        <v>0</v>
      </c>
      <c r="BJ33">
        <f t="shared" si="23"/>
        <v>0</v>
      </c>
      <c r="BK33">
        <f t="shared" si="24"/>
        <v>0</v>
      </c>
      <c r="BL33">
        <f t="shared" si="25"/>
        <v>0</v>
      </c>
      <c r="BM33">
        <f t="shared" si="26"/>
        <v>0</v>
      </c>
      <c r="BN33">
        <f t="shared" si="27"/>
        <v>0</v>
      </c>
      <c r="BO33">
        <f t="shared" si="28"/>
        <v>0</v>
      </c>
      <c r="BP33">
        <f t="shared" si="29"/>
        <v>0</v>
      </c>
      <c r="BQ33">
        <f t="shared" si="30"/>
        <v>0</v>
      </c>
      <c r="BR33">
        <f t="shared" si="31"/>
        <v>0</v>
      </c>
      <c r="BS33">
        <f t="shared" si="32"/>
        <v>0</v>
      </c>
      <c r="BT33">
        <f t="shared" si="33"/>
        <v>0</v>
      </c>
      <c r="BU33">
        <f t="shared" si="34"/>
        <v>0</v>
      </c>
      <c r="BV33">
        <f t="shared" si="35"/>
        <v>0</v>
      </c>
      <c r="BW33">
        <f t="shared" si="36"/>
        <v>0</v>
      </c>
      <c r="BX33">
        <f t="shared" si="37"/>
        <v>0</v>
      </c>
      <c r="BY33">
        <f t="shared" si="38"/>
        <v>0</v>
      </c>
      <c r="BZ33">
        <f t="shared" si="39"/>
        <v>0</v>
      </c>
      <c r="CA33">
        <f t="shared" si="40"/>
        <v>0</v>
      </c>
      <c r="CB33">
        <f t="shared" si="41"/>
        <v>0</v>
      </c>
      <c r="CC33">
        <f t="shared" ca="1" si="42"/>
        <v>0</v>
      </c>
    </row>
    <row r="34" spans="1:81" ht="18.75" x14ac:dyDescent="0.2">
      <c r="A34">
        <f t="shared" si="0"/>
        <v>0</v>
      </c>
      <c r="B34">
        <f t="shared" si="52"/>
        <v>0</v>
      </c>
      <c r="C34">
        <f t="shared" si="52"/>
        <v>0</v>
      </c>
      <c r="D34">
        <f t="shared" si="52"/>
        <v>0</v>
      </c>
      <c r="E34">
        <f t="shared" si="52"/>
        <v>0</v>
      </c>
      <c r="F34">
        <f t="shared" si="52"/>
        <v>0</v>
      </c>
      <c r="G34">
        <f t="shared" si="52"/>
        <v>0</v>
      </c>
      <c r="H34" t="str">
        <f t="shared" si="52"/>
        <v/>
      </c>
      <c r="I34" t="str">
        <f t="shared" si="52"/>
        <v/>
      </c>
      <c r="J34" t="str">
        <f t="shared" si="52"/>
        <v/>
      </c>
      <c r="K34" t="str">
        <f t="shared" si="52"/>
        <v/>
      </c>
      <c r="L34" t="str">
        <f t="shared" si="53"/>
        <v/>
      </c>
      <c r="M34" t="str">
        <f t="shared" si="53"/>
        <v/>
      </c>
      <c r="N34" t="str">
        <f t="shared" si="53"/>
        <v/>
      </c>
      <c r="O34" t="str">
        <f t="shared" si="53"/>
        <v/>
      </c>
      <c r="P34" t="str">
        <f t="shared" si="53"/>
        <v/>
      </c>
      <c r="Q34" t="str">
        <f t="shared" si="53"/>
        <v/>
      </c>
      <c r="R34" t="str">
        <f t="shared" si="53"/>
        <v/>
      </c>
      <c r="S34" t="str">
        <f t="shared" si="53"/>
        <v/>
      </c>
      <c r="T34" t="str">
        <f t="shared" si="53"/>
        <v/>
      </c>
      <c r="U34" t="str">
        <f t="shared" si="53"/>
        <v/>
      </c>
      <c r="V34" t="str">
        <f t="shared" si="54"/>
        <v/>
      </c>
      <c r="W34" t="str">
        <f t="shared" si="54"/>
        <v/>
      </c>
      <c r="X34" t="str">
        <f t="shared" si="54"/>
        <v/>
      </c>
      <c r="Y34" t="str">
        <f t="shared" si="54"/>
        <v/>
      </c>
      <c r="Z34" t="str">
        <f t="shared" si="54"/>
        <v/>
      </c>
      <c r="AA34" t="str">
        <f t="shared" si="54"/>
        <v/>
      </c>
      <c r="AB34" t="str">
        <f t="shared" si="54"/>
        <v/>
      </c>
      <c r="AC34" t="str">
        <f t="shared" si="54"/>
        <v/>
      </c>
      <c r="AD34" t="str">
        <f t="shared" si="54"/>
        <v/>
      </c>
      <c r="AE34" t="str">
        <f t="shared" si="54"/>
        <v/>
      </c>
      <c r="AF34" t="str">
        <f t="shared" si="55"/>
        <v/>
      </c>
      <c r="AG34" t="str">
        <f t="shared" si="55"/>
        <v/>
      </c>
      <c r="AH34" t="str">
        <f t="shared" si="55"/>
        <v/>
      </c>
      <c r="AI34" t="str">
        <f t="shared" si="55"/>
        <v/>
      </c>
      <c r="AJ34" t="str">
        <f t="shared" si="55"/>
        <v/>
      </c>
      <c r="AK34" t="str">
        <f t="shared" si="55"/>
        <v/>
      </c>
      <c r="AM34" s="22">
        <f t="shared" si="43"/>
        <v>0</v>
      </c>
      <c r="AP34">
        <v>32</v>
      </c>
      <c r="AQ34" s="38" t="str">
        <f>IFERROR(LOOKUP(2,1/(COUNTIF($AQ$1:AQ33,CountDSDs)=0),CountDSDs),"")</f>
        <v/>
      </c>
      <c r="AR34">
        <f t="shared" si="5"/>
        <v>0</v>
      </c>
      <c r="AS34">
        <f t="shared" si="6"/>
        <v>0</v>
      </c>
      <c r="AT34">
        <f t="shared" si="7"/>
        <v>0</v>
      </c>
      <c r="AU34">
        <f t="shared" si="8"/>
        <v>0</v>
      </c>
      <c r="AV34">
        <f t="shared" si="9"/>
        <v>0</v>
      </c>
      <c r="AW34">
        <f t="shared" si="10"/>
        <v>0</v>
      </c>
      <c r="AX34">
        <f t="shared" si="11"/>
        <v>0</v>
      </c>
      <c r="AY34">
        <f t="shared" si="12"/>
        <v>0</v>
      </c>
      <c r="AZ34">
        <f t="shared" si="13"/>
        <v>0</v>
      </c>
      <c r="BA34">
        <f t="shared" si="14"/>
        <v>0</v>
      </c>
      <c r="BB34">
        <f t="shared" si="15"/>
        <v>0</v>
      </c>
      <c r="BC34">
        <f t="shared" si="16"/>
        <v>0</v>
      </c>
      <c r="BD34">
        <f t="shared" si="17"/>
        <v>0</v>
      </c>
      <c r="BE34">
        <f t="shared" si="18"/>
        <v>0</v>
      </c>
      <c r="BF34">
        <f t="shared" si="19"/>
        <v>0</v>
      </c>
      <c r="BG34">
        <f t="shared" si="20"/>
        <v>0</v>
      </c>
      <c r="BH34">
        <f t="shared" si="21"/>
        <v>0</v>
      </c>
      <c r="BI34">
        <f t="shared" si="22"/>
        <v>0</v>
      </c>
      <c r="BJ34">
        <f t="shared" si="23"/>
        <v>0</v>
      </c>
      <c r="BK34">
        <f t="shared" si="24"/>
        <v>0</v>
      </c>
      <c r="BL34">
        <f t="shared" si="25"/>
        <v>0</v>
      </c>
      <c r="BM34">
        <f t="shared" si="26"/>
        <v>0</v>
      </c>
      <c r="BN34">
        <f t="shared" si="27"/>
        <v>0</v>
      </c>
      <c r="BO34">
        <f t="shared" si="28"/>
        <v>0</v>
      </c>
      <c r="BP34">
        <f t="shared" si="29"/>
        <v>0</v>
      </c>
      <c r="BQ34">
        <f t="shared" si="30"/>
        <v>0</v>
      </c>
      <c r="BR34">
        <f t="shared" si="31"/>
        <v>0</v>
      </c>
      <c r="BS34">
        <f t="shared" si="32"/>
        <v>0</v>
      </c>
      <c r="BT34">
        <f t="shared" si="33"/>
        <v>0</v>
      </c>
      <c r="BU34">
        <f t="shared" si="34"/>
        <v>0</v>
      </c>
      <c r="BV34">
        <f t="shared" si="35"/>
        <v>0</v>
      </c>
      <c r="BW34">
        <f t="shared" si="36"/>
        <v>0</v>
      </c>
      <c r="BX34">
        <f t="shared" si="37"/>
        <v>0</v>
      </c>
      <c r="BY34">
        <f t="shared" si="38"/>
        <v>0</v>
      </c>
      <c r="BZ34">
        <f t="shared" si="39"/>
        <v>0</v>
      </c>
      <c r="CA34">
        <f t="shared" si="40"/>
        <v>0</v>
      </c>
      <c r="CB34">
        <f t="shared" si="41"/>
        <v>0</v>
      </c>
      <c r="CC34">
        <f t="shared" ca="1" si="42"/>
        <v>0</v>
      </c>
    </row>
    <row r="35" spans="1:81" ht="18.75" x14ac:dyDescent="0.2">
      <c r="A35">
        <f t="shared" si="0"/>
        <v>0</v>
      </c>
      <c r="B35">
        <f t="shared" si="52"/>
        <v>0</v>
      </c>
      <c r="C35">
        <f t="shared" si="52"/>
        <v>0</v>
      </c>
      <c r="D35">
        <f t="shared" si="52"/>
        <v>0</v>
      </c>
      <c r="E35">
        <f t="shared" si="52"/>
        <v>0</v>
      </c>
      <c r="F35">
        <f t="shared" si="52"/>
        <v>0</v>
      </c>
      <c r="G35">
        <f t="shared" si="52"/>
        <v>0</v>
      </c>
      <c r="H35" t="str">
        <f t="shared" si="52"/>
        <v/>
      </c>
      <c r="I35" t="str">
        <f t="shared" si="52"/>
        <v/>
      </c>
      <c r="J35" t="str">
        <f t="shared" si="52"/>
        <v/>
      </c>
      <c r="K35" t="str">
        <f t="shared" si="52"/>
        <v/>
      </c>
      <c r="L35" t="str">
        <f t="shared" si="53"/>
        <v/>
      </c>
      <c r="M35" t="str">
        <f t="shared" si="53"/>
        <v/>
      </c>
      <c r="N35" t="str">
        <f t="shared" si="53"/>
        <v/>
      </c>
      <c r="O35" t="str">
        <f t="shared" si="53"/>
        <v/>
      </c>
      <c r="P35" t="str">
        <f t="shared" si="53"/>
        <v/>
      </c>
      <c r="Q35" t="str">
        <f t="shared" si="53"/>
        <v/>
      </c>
      <c r="R35" t="str">
        <f t="shared" si="53"/>
        <v/>
      </c>
      <c r="S35" t="str">
        <f t="shared" si="53"/>
        <v/>
      </c>
      <c r="T35" t="str">
        <f t="shared" si="53"/>
        <v/>
      </c>
      <c r="U35" t="str">
        <f t="shared" si="53"/>
        <v/>
      </c>
      <c r="V35" t="str">
        <f t="shared" si="54"/>
        <v/>
      </c>
      <c r="W35" t="str">
        <f t="shared" si="54"/>
        <v/>
      </c>
      <c r="X35" t="str">
        <f t="shared" si="54"/>
        <v/>
      </c>
      <c r="Y35" t="str">
        <f t="shared" si="54"/>
        <v/>
      </c>
      <c r="Z35" t="str">
        <f t="shared" si="54"/>
        <v/>
      </c>
      <c r="AA35" t="str">
        <f t="shared" si="54"/>
        <v/>
      </c>
      <c r="AB35" t="str">
        <f t="shared" si="54"/>
        <v/>
      </c>
      <c r="AC35" t="str">
        <f t="shared" si="54"/>
        <v/>
      </c>
      <c r="AD35" t="str">
        <f t="shared" si="54"/>
        <v/>
      </c>
      <c r="AE35" t="str">
        <f t="shared" si="54"/>
        <v/>
      </c>
      <c r="AF35" t="str">
        <f t="shared" si="55"/>
        <v/>
      </c>
      <c r="AG35" t="str">
        <f t="shared" si="55"/>
        <v/>
      </c>
      <c r="AH35" t="str">
        <f t="shared" si="55"/>
        <v/>
      </c>
      <c r="AI35" t="str">
        <f t="shared" si="55"/>
        <v/>
      </c>
      <c r="AJ35" t="str">
        <f t="shared" si="55"/>
        <v/>
      </c>
      <c r="AK35" t="str">
        <f t="shared" si="55"/>
        <v/>
      </c>
      <c r="AM35" s="22">
        <f t="shared" si="43"/>
        <v>0</v>
      </c>
      <c r="AP35">
        <v>33</v>
      </c>
      <c r="AQ35" s="38" t="str">
        <f>IFERROR(LOOKUP(2,1/(COUNTIF($AQ$1:AQ34,CountDSDs)=0),CountDSDs),"")</f>
        <v/>
      </c>
      <c r="AR35">
        <f t="shared" si="5"/>
        <v>0</v>
      </c>
      <c r="AS35">
        <f t="shared" si="6"/>
        <v>0</v>
      </c>
      <c r="AT35">
        <f t="shared" si="7"/>
        <v>0</v>
      </c>
      <c r="AU35">
        <f t="shared" si="8"/>
        <v>0</v>
      </c>
      <c r="AV35">
        <f t="shared" si="9"/>
        <v>0</v>
      </c>
      <c r="AW35">
        <f t="shared" si="10"/>
        <v>0</v>
      </c>
      <c r="AX35">
        <f t="shared" si="11"/>
        <v>0</v>
      </c>
      <c r="AY35">
        <f t="shared" si="12"/>
        <v>0</v>
      </c>
      <c r="AZ35">
        <f t="shared" si="13"/>
        <v>0</v>
      </c>
      <c r="BA35">
        <f t="shared" si="14"/>
        <v>0</v>
      </c>
      <c r="BB35">
        <f t="shared" si="15"/>
        <v>0</v>
      </c>
      <c r="BC35">
        <f t="shared" si="16"/>
        <v>0</v>
      </c>
      <c r="BD35">
        <f t="shared" si="17"/>
        <v>0</v>
      </c>
      <c r="BE35">
        <f t="shared" si="18"/>
        <v>0</v>
      </c>
      <c r="BF35">
        <f t="shared" si="19"/>
        <v>0</v>
      </c>
      <c r="BG35">
        <f t="shared" si="20"/>
        <v>0</v>
      </c>
      <c r="BH35">
        <f t="shared" si="21"/>
        <v>0</v>
      </c>
      <c r="BI35">
        <f t="shared" si="22"/>
        <v>0</v>
      </c>
      <c r="BJ35">
        <f t="shared" si="23"/>
        <v>0</v>
      </c>
      <c r="BK35">
        <f t="shared" si="24"/>
        <v>0</v>
      </c>
      <c r="BL35">
        <f t="shared" si="25"/>
        <v>0</v>
      </c>
      <c r="BM35">
        <f t="shared" si="26"/>
        <v>0</v>
      </c>
      <c r="BN35">
        <f t="shared" si="27"/>
        <v>0</v>
      </c>
      <c r="BO35">
        <f t="shared" si="28"/>
        <v>0</v>
      </c>
      <c r="BP35">
        <f t="shared" si="29"/>
        <v>0</v>
      </c>
      <c r="BQ35">
        <f t="shared" si="30"/>
        <v>0</v>
      </c>
      <c r="BR35">
        <f t="shared" si="31"/>
        <v>0</v>
      </c>
      <c r="BS35">
        <f t="shared" si="32"/>
        <v>0</v>
      </c>
      <c r="BT35">
        <f t="shared" si="33"/>
        <v>0</v>
      </c>
      <c r="BU35">
        <f t="shared" si="34"/>
        <v>0</v>
      </c>
      <c r="BV35">
        <f t="shared" si="35"/>
        <v>0</v>
      </c>
      <c r="BW35">
        <f t="shared" si="36"/>
        <v>0</v>
      </c>
      <c r="BX35">
        <f t="shared" si="37"/>
        <v>0</v>
      </c>
      <c r="BY35">
        <f t="shared" si="38"/>
        <v>0</v>
      </c>
      <c r="BZ35">
        <f t="shared" si="39"/>
        <v>0</v>
      </c>
      <c r="CA35">
        <f t="shared" si="40"/>
        <v>0</v>
      </c>
      <c r="CB35">
        <f t="shared" si="41"/>
        <v>0</v>
      </c>
      <c r="CC35">
        <f t="shared" ca="1" si="42"/>
        <v>0</v>
      </c>
    </row>
    <row r="36" spans="1:81" ht="18.75" x14ac:dyDescent="0.2">
      <c r="A36">
        <f t="shared" si="0"/>
        <v>0</v>
      </c>
      <c r="B36">
        <f t="shared" si="52"/>
        <v>0</v>
      </c>
      <c r="C36">
        <f t="shared" si="52"/>
        <v>0</v>
      </c>
      <c r="D36">
        <f t="shared" si="52"/>
        <v>0</v>
      </c>
      <c r="E36">
        <f t="shared" si="52"/>
        <v>0</v>
      </c>
      <c r="F36">
        <f t="shared" si="52"/>
        <v>0</v>
      </c>
      <c r="G36">
        <f t="shared" si="52"/>
        <v>0</v>
      </c>
      <c r="H36" t="str">
        <f t="shared" si="52"/>
        <v/>
      </c>
      <c r="I36" t="str">
        <f t="shared" si="52"/>
        <v/>
      </c>
      <c r="J36" t="str">
        <f t="shared" si="52"/>
        <v/>
      </c>
      <c r="K36" t="str">
        <f t="shared" si="52"/>
        <v/>
      </c>
      <c r="L36" t="str">
        <f t="shared" si="53"/>
        <v/>
      </c>
      <c r="M36" t="str">
        <f t="shared" si="53"/>
        <v/>
      </c>
      <c r="N36" t="str">
        <f t="shared" si="53"/>
        <v/>
      </c>
      <c r="O36" t="str">
        <f t="shared" si="53"/>
        <v/>
      </c>
      <c r="P36" t="str">
        <f t="shared" si="53"/>
        <v/>
      </c>
      <c r="Q36" t="str">
        <f t="shared" si="53"/>
        <v/>
      </c>
      <c r="R36" t="str">
        <f t="shared" si="53"/>
        <v/>
      </c>
      <c r="S36" t="str">
        <f t="shared" si="53"/>
        <v/>
      </c>
      <c r="T36" t="str">
        <f t="shared" si="53"/>
        <v/>
      </c>
      <c r="U36" t="str">
        <f t="shared" si="53"/>
        <v/>
      </c>
      <c r="V36" t="str">
        <f t="shared" si="54"/>
        <v/>
      </c>
      <c r="W36" t="str">
        <f t="shared" si="54"/>
        <v/>
      </c>
      <c r="X36" t="str">
        <f t="shared" si="54"/>
        <v/>
      </c>
      <c r="Y36" t="str">
        <f t="shared" si="54"/>
        <v/>
      </c>
      <c r="Z36" t="str">
        <f t="shared" si="54"/>
        <v/>
      </c>
      <c r="AA36" t="str">
        <f t="shared" si="54"/>
        <v/>
      </c>
      <c r="AB36" t="str">
        <f t="shared" si="54"/>
        <v/>
      </c>
      <c r="AC36" t="str">
        <f t="shared" si="54"/>
        <v/>
      </c>
      <c r="AD36" t="str">
        <f t="shared" si="54"/>
        <v/>
      </c>
      <c r="AE36" t="str">
        <f t="shared" si="54"/>
        <v/>
      </c>
      <c r="AF36" t="str">
        <f t="shared" si="55"/>
        <v/>
      </c>
      <c r="AG36" t="str">
        <f t="shared" si="55"/>
        <v/>
      </c>
      <c r="AH36" t="str">
        <f t="shared" si="55"/>
        <v/>
      </c>
      <c r="AI36" t="str">
        <f t="shared" si="55"/>
        <v/>
      </c>
      <c r="AJ36" t="str">
        <f t="shared" si="55"/>
        <v/>
      </c>
      <c r="AK36" t="str">
        <f t="shared" si="55"/>
        <v/>
      </c>
      <c r="AM36" s="22">
        <f t="shared" si="43"/>
        <v>0</v>
      </c>
      <c r="AP36">
        <v>34</v>
      </c>
      <c r="AQ36" s="38" t="str">
        <f>IFERROR(LOOKUP(2,1/(COUNTIF($AQ$1:AQ35,CountDSDs)=0),CountDSDs),"")</f>
        <v/>
      </c>
      <c r="AR36">
        <f t="shared" si="5"/>
        <v>0</v>
      </c>
      <c r="AS36">
        <f t="shared" si="6"/>
        <v>0</v>
      </c>
      <c r="AT36">
        <f t="shared" si="7"/>
        <v>0</v>
      </c>
      <c r="AU36">
        <f t="shared" si="8"/>
        <v>0</v>
      </c>
      <c r="AV36">
        <f t="shared" si="9"/>
        <v>0</v>
      </c>
      <c r="AW36">
        <f t="shared" si="10"/>
        <v>0</v>
      </c>
      <c r="AX36">
        <f t="shared" si="11"/>
        <v>0</v>
      </c>
      <c r="AY36">
        <f t="shared" si="12"/>
        <v>0</v>
      </c>
      <c r="AZ36">
        <f t="shared" si="13"/>
        <v>0</v>
      </c>
      <c r="BA36">
        <f t="shared" si="14"/>
        <v>0</v>
      </c>
      <c r="BB36">
        <f t="shared" si="15"/>
        <v>0</v>
      </c>
      <c r="BC36">
        <f t="shared" si="16"/>
        <v>0</v>
      </c>
      <c r="BD36">
        <f t="shared" si="17"/>
        <v>0</v>
      </c>
      <c r="BE36">
        <f t="shared" si="18"/>
        <v>0</v>
      </c>
      <c r="BF36">
        <f t="shared" si="19"/>
        <v>0</v>
      </c>
      <c r="BG36">
        <f t="shared" si="20"/>
        <v>0</v>
      </c>
      <c r="BH36">
        <f t="shared" si="21"/>
        <v>0</v>
      </c>
      <c r="BI36">
        <f t="shared" si="22"/>
        <v>0</v>
      </c>
      <c r="BJ36">
        <f t="shared" si="23"/>
        <v>0</v>
      </c>
      <c r="BK36">
        <f t="shared" si="24"/>
        <v>0</v>
      </c>
      <c r="BL36">
        <f t="shared" si="25"/>
        <v>0</v>
      </c>
      <c r="BM36">
        <f t="shared" si="26"/>
        <v>0</v>
      </c>
      <c r="BN36">
        <f t="shared" si="27"/>
        <v>0</v>
      </c>
      <c r="BO36">
        <f t="shared" si="28"/>
        <v>0</v>
      </c>
      <c r="BP36">
        <f t="shared" si="29"/>
        <v>0</v>
      </c>
      <c r="BQ36">
        <f t="shared" si="30"/>
        <v>0</v>
      </c>
      <c r="BR36">
        <f t="shared" si="31"/>
        <v>0</v>
      </c>
      <c r="BS36">
        <f t="shared" si="32"/>
        <v>0</v>
      </c>
      <c r="BT36">
        <f t="shared" si="33"/>
        <v>0</v>
      </c>
      <c r="BU36">
        <f t="shared" si="34"/>
        <v>0</v>
      </c>
      <c r="BV36">
        <f t="shared" si="35"/>
        <v>0</v>
      </c>
      <c r="BW36">
        <f t="shared" si="36"/>
        <v>0</v>
      </c>
      <c r="BX36">
        <f t="shared" si="37"/>
        <v>0</v>
      </c>
      <c r="BY36">
        <f t="shared" si="38"/>
        <v>0</v>
      </c>
      <c r="BZ36">
        <f t="shared" si="39"/>
        <v>0</v>
      </c>
      <c r="CA36">
        <f t="shared" si="40"/>
        <v>0</v>
      </c>
      <c r="CB36">
        <f t="shared" si="41"/>
        <v>0</v>
      </c>
      <c r="CC36">
        <f t="shared" ca="1" si="42"/>
        <v>0</v>
      </c>
    </row>
    <row r="37" spans="1:81" ht="18.75" x14ac:dyDescent="0.2">
      <c r="A37">
        <f t="shared" si="0"/>
        <v>0</v>
      </c>
      <c r="B37">
        <f t="shared" si="52"/>
        <v>0</v>
      </c>
      <c r="C37">
        <f t="shared" si="52"/>
        <v>0</v>
      </c>
      <c r="D37">
        <f t="shared" si="52"/>
        <v>0</v>
      </c>
      <c r="E37">
        <f t="shared" si="52"/>
        <v>0</v>
      </c>
      <c r="F37">
        <f t="shared" si="52"/>
        <v>0</v>
      </c>
      <c r="G37">
        <f t="shared" si="52"/>
        <v>0</v>
      </c>
      <c r="H37" t="str">
        <f t="shared" si="52"/>
        <v/>
      </c>
      <c r="I37" t="str">
        <f t="shared" si="52"/>
        <v/>
      </c>
      <c r="J37" t="str">
        <f t="shared" si="52"/>
        <v/>
      </c>
      <c r="K37" t="str">
        <f t="shared" si="52"/>
        <v/>
      </c>
      <c r="L37" t="str">
        <f t="shared" si="53"/>
        <v/>
      </c>
      <c r="M37" t="str">
        <f t="shared" si="53"/>
        <v/>
      </c>
      <c r="N37" t="str">
        <f t="shared" si="53"/>
        <v/>
      </c>
      <c r="O37" t="str">
        <f t="shared" si="53"/>
        <v/>
      </c>
      <c r="P37" t="str">
        <f t="shared" si="53"/>
        <v/>
      </c>
      <c r="Q37" t="str">
        <f t="shared" si="53"/>
        <v/>
      </c>
      <c r="R37" t="str">
        <f t="shared" si="53"/>
        <v/>
      </c>
      <c r="S37" t="str">
        <f t="shared" si="53"/>
        <v/>
      </c>
      <c r="T37" t="str">
        <f t="shared" si="53"/>
        <v/>
      </c>
      <c r="U37" t="str">
        <f t="shared" si="53"/>
        <v/>
      </c>
      <c r="V37" t="str">
        <f t="shared" si="54"/>
        <v/>
      </c>
      <c r="W37" t="str">
        <f t="shared" si="54"/>
        <v/>
      </c>
      <c r="X37" t="str">
        <f t="shared" si="54"/>
        <v/>
      </c>
      <c r="Y37" t="str">
        <f t="shared" si="54"/>
        <v/>
      </c>
      <c r="Z37" t="str">
        <f t="shared" si="54"/>
        <v/>
      </c>
      <c r="AA37" t="str">
        <f t="shared" si="54"/>
        <v/>
      </c>
      <c r="AB37" t="str">
        <f t="shared" si="54"/>
        <v/>
      </c>
      <c r="AC37" t="str">
        <f t="shared" si="54"/>
        <v/>
      </c>
      <c r="AD37" t="str">
        <f t="shared" si="54"/>
        <v/>
      </c>
      <c r="AE37" t="str">
        <f t="shared" si="54"/>
        <v/>
      </c>
      <c r="AF37" t="str">
        <f t="shared" si="55"/>
        <v/>
      </c>
      <c r="AG37" t="str">
        <f t="shared" si="55"/>
        <v/>
      </c>
      <c r="AH37" t="str">
        <f t="shared" si="55"/>
        <v/>
      </c>
      <c r="AI37" t="str">
        <f t="shared" si="55"/>
        <v/>
      </c>
      <c r="AJ37" t="str">
        <f t="shared" si="55"/>
        <v/>
      </c>
      <c r="AK37" t="str">
        <f t="shared" si="55"/>
        <v/>
      </c>
      <c r="AM37" s="22">
        <f t="shared" si="43"/>
        <v>0</v>
      </c>
      <c r="AQ37" s="38" t="str">
        <f>IFERROR(LOOKUP(2,1/(COUNTIF($AQ$1:AQ36,CountDSDs)=0),CountDSDs),"")</f>
        <v/>
      </c>
    </row>
    <row r="38" spans="1:81" ht="18.75" x14ac:dyDescent="0.2">
      <c r="A38">
        <f t="shared" si="0"/>
        <v>0</v>
      </c>
      <c r="B38">
        <f t="shared" si="52"/>
        <v>0</v>
      </c>
      <c r="C38">
        <f t="shared" si="52"/>
        <v>0</v>
      </c>
      <c r="D38">
        <f t="shared" si="52"/>
        <v>0</v>
      </c>
      <c r="E38">
        <f t="shared" si="52"/>
        <v>0</v>
      </c>
      <c r="F38">
        <f t="shared" si="52"/>
        <v>0</v>
      </c>
      <c r="G38">
        <f t="shared" si="52"/>
        <v>0</v>
      </c>
      <c r="H38" t="str">
        <f t="shared" si="52"/>
        <v/>
      </c>
      <c r="I38" t="str">
        <f t="shared" si="52"/>
        <v/>
      </c>
      <c r="J38" t="str">
        <f t="shared" si="52"/>
        <v/>
      </c>
      <c r="K38" t="str">
        <f t="shared" si="52"/>
        <v/>
      </c>
      <c r="L38" t="str">
        <f t="shared" si="53"/>
        <v/>
      </c>
      <c r="M38" t="str">
        <f t="shared" si="53"/>
        <v/>
      </c>
      <c r="N38" t="str">
        <f t="shared" si="53"/>
        <v/>
      </c>
      <c r="O38" t="str">
        <f t="shared" si="53"/>
        <v/>
      </c>
      <c r="P38" t="str">
        <f t="shared" si="53"/>
        <v/>
      </c>
      <c r="Q38" t="str">
        <f t="shared" si="53"/>
        <v/>
      </c>
      <c r="R38" t="str">
        <f t="shared" si="53"/>
        <v/>
      </c>
      <c r="S38" t="str">
        <f t="shared" si="53"/>
        <v/>
      </c>
      <c r="T38" t="str">
        <f t="shared" si="53"/>
        <v/>
      </c>
      <c r="U38" t="str">
        <f t="shared" si="53"/>
        <v/>
      </c>
      <c r="V38" t="str">
        <f t="shared" si="54"/>
        <v/>
      </c>
      <c r="W38" t="str">
        <f t="shared" si="54"/>
        <v/>
      </c>
      <c r="X38" t="str">
        <f t="shared" si="54"/>
        <v/>
      </c>
      <c r="Y38" t="str">
        <f t="shared" si="54"/>
        <v/>
      </c>
      <c r="Z38" t="str">
        <f t="shared" si="54"/>
        <v/>
      </c>
      <c r="AA38" t="str">
        <f t="shared" si="54"/>
        <v/>
      </c>
      <c r="AB38" t="str">
        <f t="shared" si="54"/>
        <v/>
      </c>
      <c r="AC38" t="str">
        <f t="shared" si="54"/>
        <v/>
      </c>
      <c r="AD38" t="str">
        <f t="shared" si="54"/>
        <v/>
      </c>
      <c r="AE38" t="str">
        <f t="shared" si="54"/>
        <v/>
      </c>
      <c r="AF38" t="str">
        <f t="shared" si="55"/>
        <v/>
      </c>
      <c r="AG38" t="str">
        <f t="shared" si="55"/>
        <v/>
      </c>
      <c r="AH38" t="str">
        <f t="shared" si="55"/>
        <v/>
      </c>
      <c r="AI38" t="str">
        <f t="shared" si="55"/>
        <v/>
      </c>
      <c r="AJ38" t="str">
        <f t="shared" si="55"/>
        <v/>
      </c>
      <c r="AK38" t="str">
        <f t="shared" si="55"/>
        <v/>
      </c>
      <c r="AM38" s="22">
        <f t="shared" si="43"/>
        <v>0</v>
      </c>
      <c r="AQ38" s="38" t="str">
        <f>IFERROR(LOOKUP(2,1/(COUNTIF($AQ$1:AQ37,CountDSDs)=0),CountDSDs),"")</f>
        <v/>
      </c>
    </row>
    <row r="39" spans="1:81" ht="18.75" x14ac:dyDescent="0.2">
      <c r="A39" t="e">
        <f t="shared" si="0"/>
        <v>#REF!</v>
      </c>
      <c r="B39">
        <f t="shared" si="52"/>
        <v>0</v>
      </c>
      <c r="C39">
        <f t="shared" si="52"/>
        <v>0</v>
      </c>
      <c r="D39">
        <f t="shared" si="52"/>
        <v>0</v>
      </c>
      <c r="E39">
        <f t="shared" si="52"/>
        <v>0</v>
      </c>
      <c r="F39">
        <f t="shared" si="52"/>
        <v>0</v>
      </c>
      <c r="G39">
        <f t="shared" si="52"/>
        <v>0</v>
      </c>
      <c r="H39" t="str">
        <f t="shared" si="52"/>
        <v/>
      </c>
      <c r="I39" t="str">
        <f t="shared" si="52"/>
        <v/>
      </c>
      <c r="J39" t="str">
        <f t="shared" si="52"/>
        <v/>
      </c>
      <c r="K39" t="str">
        <f t="shared" si="52"/>
        <v/>
      </c>
      <c r="L39" t="str">
        <f t="shared" si="53"/>
        <v/>
      </c>
      <c r="M39" t="str">
        <f t="shared" si="53"/>
        <v/>
      </c>
      <c r="N39" t="str">
        <f t="shared" si="53"/>
        <v/>
      </c>
      <c r="O39" t="str">
        <f t="shared" si="53"/>
        <v/>
      </c>
      <c r="P39" t="str">
        <f t="shared" si="53"/>
        <v/>
      </c>
      <c r="Q39" t="str">
        <f t="shared" si="53"/>
        <v/>
      </c>
      <c r="R39" t="str">
        <f t="shared" si="53"/>
        <v/>
      </c>
      <c r="S39" t="str">
        <f t="shared" si="53"/>
        <v/>
      </c>
      <c r="T39" t="str">
        <f t="shared" si="53"/>
        <v/>
      </c>
      <c r="U39" t="str">
        <f t="shared" si="53"/>
        <v/>
      </c>
      <c r="V39" t="str">
        <f t="shared" si="54"/>
        <v/>
      </c>
      <c r="W39" t="str">
        <f t="shared" si="54"/>
        <v/>
      </c>
      <c r="X39" t="str">
        <f t="shared" si="54"/>
        <v/>
      </c>
      <c r="Y39" t="str">
        <f t="shared" si="54"/>
        <v/>
      </c>
      <c r="Z39" t="str">
        <f t="shared" si="54"/>
        <v/>
      </c>
      <c r="AA39" t="str">
        <f t="shared" si="54"/>
        <v/>
      </c>
      <c r="AB39" t="str">
        <f t="shared" si="54"/>
        <v/>
      </c>
      <c r="AC39" t="str">
        <f t="shared" si="54"/>
        <v/>
      </c>
      <c r="AD39" t="str">
        <f t="shared" si="54"/>
        <v/>
      </c>
      <c r="AE39" t="str">
        <f t="shared" si="54"/>
        <v/>
      </c>
      <c r="AF39" t="str">
        <f t="shared" si="55"/>
        <v/>
      </c>
      <c r="AG39" t="str">
        <f t="shared" si="55"/>
        <v/>
      </c>
      <c r="AH39" t="str">
        <f t="shared" si="55"/>
        <v/>
      </c>
      <c r="AI39" t="str">
        <f t="shared" si="55"/>
        <v/>
      </c>
      <c r="AJ39" t="str">
        <f t="shared" si="55"/>
        <v/>
      </c>
      <c r="AK39" t="str">
        <f t="shared" si="55"/>
        <v/>
      </c>
      <c r="AM39" s="22">
        <f t="shared" si="43"/>
        <v>0</v>
      </c>
      <c r="AQ39" s="38" t="str">
        <f>IFERROR(LOOKUP(2,1/(COUNTIF($AQ$1:AQ38,CountDSDs)=0),CountDSDs),"")</f>
        <v/>
      </c>
    </row>
    <row r="40" spans="1:81" ht="18.75" x14ac:dyDescent="0.2">
      <c r="A40" t="e">
        <f t="shared" si="0"/>
        <v>#REF!</v>
      </c>
      <c r="B40">
        <f t="shared" si="52"/>
        <v>0</v>
      </c>
      <c r="C40">
        <f t="shared" si="52"/>
        <v>0</v>
      </c>
      <c r="D40">
        <f t="shared" si="52"/>
        <v>0</v>
      </c>
      <c r="E40">
        <f t="shared" si="52"/>
        <v>0</v>
      </c>
      <c r="F40">
        <f t="shared" si="52"/>
        <v>0</v>
      </c>
      <c r="G40">
        <f t="shared" si="52"/>
        <v>0</v>
      </c>
      <c r="H40" t="str">
        <f t="shared" si="52"/>
        <v/>
      </c>
      <c r="I40" t="str">
        <f t="shared" si="52"/>
        <v/>
      </c>
      <c r="J40" t="str">
        <f t="shared" si="52"/>
        <v/>
      </c>
      <c r="K40" t="str">
        <f t="shared" si="52"/>
        <v/>
      </c>
      <c r="L40" t="str">
        <f t="shared" si="53"/>
        <v/>
      </c>
      <c r="M40" t="str">
        <f t="shared" si="53"/>
        <v/>
      </c>
      <c r="N40" t="str">
        <f t="shared" si="53"/>
        <v/>
      </c>
      <c r="O40" t="str">
        <f t="shared" si="53"/>
        <v/>
      </c>
      <c r="P40" t="str">
        <f t="shared" si="53"/>
        <v/>
      </c>
      <c r="Q40" t="str">
        <f t="shared" si="53"/>
        <v/>
      </c>
      <c r="R40" t="str">
        <f t="shared" si="53"/>
        <v/>
      </c>
      <c r="S40" t="str">
        <f t="shared" si="53"/>
        <v/>
      </c>
      <c r="T40" t="str">
        <f t="shared" si="53"/>
        <v/>
      </c>
      <c r="U40" t="str">
        <f t="shared" si="53"/>
        <v/>
      </c>
      <c r="V40" t="str">
        <f t="shared" si="54"/>
        <v/>
      </c>
      <c r="W40" t="str">
        <f t="shared" si="54"/>
        <v/>
      </c>
      <c r="X40" t="str">
        <f t="shared" si="54"/>
        <v/>
      </c>
      <c r="Y40" t="str">
        <f t="shared" si="54"/>
        <v/>
      </c>
      <c r="Z40" t="str">
        <f t="shared" si="54"/>
        <v/>
      </c>
      <c r="AA40" t="str">
        <f t="shared" si="54"/>
        <v/>
      </c>
      <c r="AB40" t="str">
        <f t="shared" si="54"/>
        <v/>
      </c>
      <c r="AC40" t="str">
        <f t="shared" si="54"/>
        <v/>
      </c>
      <c r="AD40" t="str">
        <f t="shared" si="54"/>
        <v/>
      </c>
      <c r="AE40" t="str">
        <f t="shared" si="54"/>
        <v/>
      </c>
      <c r="AF40" t="str">
        <f t="shared" si="55"/>
        <v/>
      </c>
      <c r="AG40" t="str">
        <f t="shared" si="55"/>
        <v/>
      </c>
      <c r="AH40" t="str">
        <f t="shared" si="55"/>
        <v/>
      </c>
      <c r="AI40" t="str">
        <f t="shared" si="55"/>
        <v/>
      </c>
      <c r="AJ40" t="str">
        <f t="shared" si="55"/>
        <v/>
      </c>
      <c r="AK40" t="str">
        <f t="shared" si="55"/>
        <v/>
      </c>
      <c r="AM40" s="22">
        <f t="shared" si="43"/>
        <v>0</v>
      </c>
      <c r="AQ40" s="38" t="str">
        <f>IFERROR(LOOKUP(2,1/(COUNTIF($AQ$1:AQ39,CountDSDs)=0),CountDSDs),"")</f>
        <v/>
      </c>
    </row>
    <row r="41" spans="1:81" ht="18.75" x14ac:dyDescent="0.2">
      <c r="A41" t="e">
        <f t="shared" si="0"/>
        <v>#REF!</v>
      </c>
      <c r="B41">
        <f t="shared" si="52"/>
        <v>0</v>
      </c>
      <c r="C41">
        <f t="shared" si="52"/>
        <v>0</v>
      </c>
      <c r="D41">
        <f t="shared" si="52"/>
        <v>0</v>
      </c>
      <c r="E41">
        <f t="shared" si="52"/>
        <v>0</v>
      </c>
      <c r="F41">
        <f t="shared" si="52"/>
        <v>0</v>
      </c>
      <c r="G41">
        <f t="shared" si="52"/>
        <v>0</v>
      </c>
      <c r="H41" t="str">
        <f t="shared" si="52"/>
        <v/>
      </c>
      <c r="I41" t="str">
        <f t="shared" si="52"/>
        <v/>
      </c>
      <c r="J41" t="str">
        <f t="shared" si="52"/>
        <v/>
      </c>
      <c r="K41" t="str">
        <f t="shared" si="52"/>
        <v/>
      </c>
      <c r="L41" t="str">
        <f t="shared" si="53"/>
        <v/>
      </c>
      <c r="M41" t="str">
        <f t="shared" si="53"/>
        <v/>
      </c>
      <c r="N41" t="str">
        <f t="shared" si="53"/>
        <v/>
      </c>
      <c r="O41" t="str">
        <f t="shared" si="53"/>
        <v/>
      </c>
      <c r="P41" t="str">
        <f t="shared" si="53"/>
        <v/>
      </c>
      <c r="Q41" t="str">
        <f t="shared" si="53"/>
        <v/>
      </c>
      <c r="R41" t="str">
        <f t="shared" si="53"/>
        <v/>
      </c>
      <c r="S41" t="str">
        <f t="shared" si="53"/>
        <v/>
      </c>
      <c r="T41" t="str">
        <f t="shared" si="53"/>
        <v/>
      </c>
      <c r="U41" t="str">
        <f t="shared" si="53"/>
        <v/>
      </c>
      <c r="V41" t="str">
        <f t="shared" si="54"/>
        <v/>
      </c>
      <c r="W41" t="str">
        <f t="shared" si="54"/>
        <v/>
      </c>
      <c r="X41" t="str">
        <f t="shared" si="54"/>
        <v/>
      </c>
      <c r="Y41" t="str">
        <f t="shared" si="54"/>
        <v/>
      </c>
      <c r="Z41" t="str">
        <f t="shared" si="54"/>
        <v/>
      </c>
      <c r="AA41" t="str">
        <f t="shared" si="54"/>
        <v/>
      </c>
      <c r="AB41" t="str">
        <f t="shared" si="54"/>
        <v/>
      </c>
      <c r="AC41" t="str">
        <f t="shared" si="54"/>
        <v/>
      </c>
      <c r="AD41" t="str">
        <f t="shared" si="54"/>
        <v/>
      </c>
      <c r="AE41" t="str">
        <f t="shared" si="54"/>
        <v/>
      </c>
      <c r="AF41" t="str">
        <f t="shared" si="55"/>
        <v/>
      </c>
      <c r="AG41" t="str">
        <f t="shared" si="55"/>
        <v/>
      </c>
      <c r="AH41" t="str">
        <f t="shared" si="55"/>
        <v/>
      </c>
      <c r="AI41" t="str">
        <f t="shared" si="55"/>
        <v/>
      </c>
      <c r="AJ41" t="str">
        <f t="shared" si="55"/>
        <v/>
      </c>
      <c r="AK41" t="str">
        <f t="shared" si="55"/>
        <v/>
      </c>
      <c r="AM41" s="22">
        <f t="shared" si="43"/>
        <v>0</v>
      </c>
      <c r="AQ41" s="38" t="str">
        <f>IFERROR(LOOKUP(2,1/(COUNTIF($AQ$1:AQ40,CountDSDs)=0),CountDSDs),"")</f>
        <v/>
      </c>
    </row>
    <row r="42" spans="1:81" ht="18.75" x14ac:dyDescent="0.2">
      <c r="A42" t="e">
        <f t="shared" si="0"/>
        <v>#REF!</v>
      </c>
      <c r="B42">
        <f t="shared" ref="B42:K48" si="56">IFERROR(IF(INDEX(ConDimVals,ROW(A41),COLUMN(A41))="",0,1),"")</f>
        <v>0</v>
      </c>
      <c r="C42">
        <f t="shared" si="56"/>
        <v>0</v>
      </c>
      <c r="D42">
        <f t="shared" si="56"/>
        <v>0</v>
      </c>
      <c r="E42">
        <f t="shared" si="56"/>
        <v>0</v>
      </c>
      <c r="F42">
        <f t="shared" si="56"/>
        <v>0</v>
      </c>
      <c r="G42">
        <f t="shared" si="56"/>
        <v>0</v>
      </c>
      <c r="H42" t="str">
        <f t="shared" si="56"/>
        <v/>
      </c>
      <c r="I42" t="str">
        <f t="shared" si="56"/>
        <v/>
      </c>
      <c r="J42" t="str">
        <f t="shared" si="56"/>
        <v/>
      </c>
      <c r="K42" t="str">
        <f t="shared" si="56"/>
        <v/>
      </c>
      <c r="L42" t="str">
        <f t="shared" ref="L42:U48" si="57">IFERROR(IF(INDEX(ConDimVals,ROW(K41),COLUMN(K41))="",0,1),"")</f>
        <v/>
      </c>
      <c r="M42" t="str">
        <f t="shared" si="57"/>
        <v/>
      </c>
      <c r="N42" t="str">
        <f t="shared" si="57"/>
        <v/>
      </c>
      <c r="O42" t="str">
        <f t="shared" si="57"/>
        <v/>
      </c>
      <c r="P42" t="str">
        <f t="shared" si="57"/>
        <v/>
      </c>
      <c r="Q42" t="str">
        <f t="shared" si="57"/>
        <v/>
      </c>
      <c r="R42" t="str">
        <f t="shared" si="57"/>
        <v/>
      </c>
      <c r="S42" t="str">
        <f t="shared" si="57"/>
        <v/>
      </c>
      <c r="T42" t="str">
        <f t="shared" si="57"/>
        <v/>
      </c>
      <c r="U42" t="str">
        <f t="shared" si="57"/>
        <v/>
      </c>
      <c r="V42" t="str">
        <f t="shared" ref="V42:AE48" si="58">IFERROR(IF(INDEX(ConDimVals,ROW(U41),COLUMN(U41))="",0,1),"")</f>
        <v/>
      </c>
      <c r="W42" t="str">
        <f t="shared" si="58"/>
        <v/>
      </c>
      <c r="X42" t="str">
        <f t="shared" si="58"/>
        <v/>
      </c>
      <c r="Y42" t="str">
        <f t="shared" si="58"/>
        <v/>
      </c>
      <c r="Z42" t="str">
        <f t="shared" si="58"/>
        <v/>
      </c>
      <c r="AA42" t="str">
        <f t="shared" si="58"/>
        <v/>
      </c>
      <c r="AB42" t="str">
        <f t="shared" si="58"/>
        <v/>
      </c>
      <c r="AC42" t="str">
        <f t="shared" si="58"/>
        <v/>
      </c>
      <c r="AD42" t="str">
        <f t="shared" si="58"/>
        <v/>
      </c>
      <c r="AE42" t="str">
        <f t="shared" si="58"/>
        <v/>
      </c>
      <c r="AF42" t="str">
        <f t="shared" ref="AF42:AK48" si="59">IFERROR(IF(INDEX(ConDimVals,ROW(AE41),COLUMN(AE41))="",0,1),"")</f>
        <v/>
      </c>
      <c r="AG42" t="str">
        <f t="shared" si="59"/>
        <v/>
      </c>
      <c r="AH42" t="str">
        <f t="shared" si="59"/>
        <v/>
      </c>
      <c r="AI42" t="str">
        <f t="shared" si="59"/>
        <v/>
      </c>
      <c r="AJ42" t="str">
        <f t="shared" si="59"/>
        <v/>
      </c>
      <c r="AK42" t="str">
        <f t="shared" si="59"/>
        <v/>
      </c>
      <c r="AM42" s="22">
        <f t="shared" si="43"/>
        <v>0</v>
      </c>
      <c r="AQ42" s="38" t="str">
        <f>IFERROR(LOOKUP(2,1/(COUNTIF($AQ$1:AQ41,CountDSDs)=0),CountDSDs),"")</f>
        <v/>
      </c>
    </row>
    <row r="43" spans="1:81" ht="18.75" x14ac:dyDescent="0.2">
      <c r="A43" t="e">
        <f t="shared" si="0"/>
        <v>#REF!</v>
      </c>
      <c r="B43">
        <f t="shared" si="56"/>
        <v>0</v>
      </c>
      <c r="C43">
        <f t="shared" si="56"/>
        <v>0</v>
      </c>
      <c r="D43">
        <f t="shared" si="56"/>
        <v>0</v>
      </c>
      <c r="E43">
        <f t="shared" si="56"/>
        <v>0</v>
      </c>
      <c r="F43">
        <f t="shared" si="56"/>
        <v>0</v>
      </c>
      <c r="G43">
        <f t="shared" si="56"/>
        <v>0</v>
      </c>
      <c r="H43" t="str">
        <f t="shared" si="56"/>
        <v/>
      </c>
      <c r="I43" t="str">
        <f t="shared" si="56"/>
        <v/>
      </c>
      <c r="J43" t="str">
        <f t="shared" si="56"/>
        <v/>
      </c>
      <c r="K43" t="str">
        <f t="shared" si="56"/>
        <v/>
      </c>
      <c r="L43" t="str">
        <f t="shared" si="57"/>
        <v/>
      </c>
      <c r="M43" t="str">
        <f t="shared" si="57"/>
        <v/>
      </c>
      <c r="N43" t="str">
        <f t="shared" si="57"/>
        <v/>
      </c>
      <c r="O43" t="str">
        <f t="shared" si="57"/>
        <v/>
      </c>
      <c r="P43" t="str">
        <f t="shared" si="57"/>
        <v/>
      </c>
      <c r="Q43" t="str">
        <f t="shared" si="57"/>
        <v/>
      </c>
      <c r="R43" t="str">
        <f t="shared" si="57"/>
        <v/>
      </c>
      <c r="S43" t="str">
        <f t="shared" si="57"/>
        <v/>
      </c>
      <c r="T43" t="str">
        <f t="shared" si="57"/>
        <v/>
      </c>
      <c r="U43" t="str">
        <f t="shared" si="57"/>
        <v/>
      </c>
      <c r="V43" t="str">
        <f t="shared" si="58"/>
        <v/>
      </c>
      <c r="W43" t="str">
        <f t="shared" si="58"/>
        <v/>
      </c>
      <c r="X43" t="str">
        <f t="shared" si="58"/>
        <v/>
      </c>
      <c r="Y43" t="str">
        <f t="shared" si="58"/>
        <v/>
      </c>
      <c r="Z43" t="str">
        <f t="shared" si="58"/>
        <v/>
      </c>
      <c r="AA43" t="str">
        <f t="shared" si="58"/>
        <v/>
      </c>
      <c r="AB43" t="str">
        <f t="shared" si="58"/>
        <v/>
      </c>
      <c r="AC43" t="str">
        <f t="shared" si="58"/>
        <v/>
      </c>
      <c r="AD43" t="str">
        <f t="shared" si="58"/>
        <v/>
      </c>
      <c r="AE43" t="str">
        <f t="shared" si="58"/>
        <v/>
      </c>
      <c r="AF43" t="str">
        <f t="shared" si="59"/>
        <v/>
      </c>
      <c r="AG43" t="str">
        <f t="shared" si="59"/>
        <v/>
      </c>
      <c r="AH43" t="str">
        <f t="shared" si="59"/>
        <v/>
      </c>
      <c r="AI43" t="str">
        <f t="shared" si="59"/>
        <v/>
      </c>
      <c r="AJ43" t="str">
        <f t="shared" si="59"/>
        <v/>
      </c>
      <c r="AK43" t="str">
        <f t="shared" si="59"/>
        <v/>
      </c>
      <c r="AM43" s="22">
        <f t="shared" si="43"/>
        <v>0</v>
      </c>
      <c r="AQ43" s="38" t="str">
        <f>IFERROR(LOOKUP(2,1/(COUNTIF($AQ$1:AQ42,CountDSDs)=0),CountDSDs),"")</f>
        <v/>
      </c>
    </row>
    <row r="44" spans="1:81" ht="18.75" x14ac:dyDescent="0.2">
      <c r="A44" t="e">
        <f t="shared" si="0"/>
        <v>#REF!</v>
      </c>
      <c r="B44">
        <f t="shared" si="56"/>
        <v>0</v>
      </c>
      <c r="C44">
        <f t="shared" si="56"/>
        <v>0</v>
      </c>
      <c r="D44">
        <f t="shared" si="56"/>
        <v>0</v>
      </c>
      <c r="E44">
        <f t="shared" si="56"/>
        <v>0</v>
      </c>
      <c r="F44">
        <f t="shared" si="56"/>
        <v>0</v>
      </c>
      <c r="G44">
        <f t="shared" si="56"/>
        <v>0</v>
      </c>
      <c r="H44" t="str">
        <f t="shared" si="56"/>
        <v/>
      </c>
      <c r="I44" t="str">
        <f t="shared" si="56"/>
        <v/>
      </c>
      <c r="J44" t="str">
        <f t="shared" si="56"/>
        <v/>
      </c>
      <c r="K44" t="str">
        <f t="shared" si="56"/>
        <v/>
      </c>
      <c r="L44" t="str">
        <f t="shared" si="57"/>
        <v/>
      </c>
      <c r="M44" t="str">
        <f t="shared" si="57"/>
        <v/>
      </c>
      <c r="N44" t="str">
        <f t="shared" si="57"/>
        <v/>
      </c>
      <c r="O44" t="str">
        <f t="shared" si="57"/>
        <v/>
      </c>
      <c r="P44" t="str">
        <f t="shared" si="57"/>
        <v/>
      </c>
      <c r="Q44" t="str">
        <f t="shared" si="57"/>
        <v/>
      </c>
      <c r="R44" t="str">
        <f t="shared" si="57"/>
        <v/>
      </c>
      <c r="S44" t="str">
        <f t="shared" si="57"/>
        <v/>
      </c>
      <c r="T44" t="str">
        <f t="shared" si="57"/>
        <v/>
      </c>
      <c r="U44" t="str">
        <f t="shared" si="57"/>
        <v/>
      </c>
      <c r="V44" t="str">
        <f t="shared" si="58"/>
        <v/>
      </c>
      <c r="W44" t="str">
        <f t="shared" si="58"/>
        <v/>
      </c>
      <c r="X44" t="str">
        <f t="shared" si="58"/>
        <v/>
      </c>
      <c r="Y44" t="str">
        <f t="shared" si="58"/>
        <v/>
      </c>
      <c r="Z44" t="str">
        <f t="shared" si="58"/>
        <v/>
      </c>
      <c r="AA44" t="str">
        <f t="shared" si="58"/>
        <v/>
      </c>
      <c r="AB44" t="str">
        <f t="shared" si="58"/>
        <v/>
      </c>
      <c r="AC44" t="str">
        <f t="shared" si="58"/>
        <v/>
      </c>
      <c r="AD44" t="str">
        <f t="shared" si="58"/>
        <v/>
      </c>
      <c r="AE44" t="str">
        <f t="shared" si="58"/>
        <v/>
      </c>
      <c r="AF44" t="str">
        <f t="shared" si="59"/>
        <v/>
      </c>
      <c r="AG44" t="str">
        <f t="shared" si="59"/>
        <v/>
      </c>
      <c r="AH44" t="str">
        <f t="shared" si="59"/>
        <v/>
      </c>
      <c r="AI44" t="str">
        <f t="shared" si="59"/>
        <v/>
      </c>
      <c r="AJ44" t="str">
        <f t="shared" si="59"/>
        <v/>
      </c>
      <c r="AK44" t="str">
        <f t="shared" si="59"/>
        <v/>
      </c>
      <c r="AM44" s="22">
        <f t="shared" si="43"/>
        <v>0</v>
      </c>
      <c r="AQ44" s="38" t="str">
        <f>IFERROR(LOOKUP(2,1/(COUNTIF($AQ$1:AQ43,CountDSDs)=0),CountDSDs),"")</f>
        <v/>
      </c>
    </row>
    <row r="45" spans="1:81" ht="18.75" x14ac:dyDescent="0.2">
      <c r="A45" t="e">
        <f t="shared" si="0"/>
        <v>#REF!</v>
      </c>
      <c r="B45">
        <f t="shared" si="56"/>
        <v>0</v>
      </c>
      <c r="C45">
        <f t="shared" si="56"/>
        <v>0</v>
      </c>
      <c r="D45">
        <f t="shared" si="56"/>
        <v>0</v>
      </c>
      <c r="E45">
        <f t="shared" si="56"/>
        <v>0</v>
      </c>
      <c r="F45">
        <f t="shared" si="56"/>
        <v>0</v>
      </c>
      <c r="G45">
        <f t="shared" si="56"/>
        <v>0</v>
      </c>
      <c r="H45" t="str">
        <f t="shared" si="56"/>
        <v/>
      </c>
      <c r="I45" t="str">
        <f t="shared" si="56"/>
        <v/>
      </c>
      <c r="J45" t="str">
        <f t="shared" si="56"/>
        <v/>
      </c>
      <c r="K45" t="str">
        <f t="shared" si="56"/>
        <v/>
      </c>
      <c r="L45" t="str">
        <f t="shared" si="57"/>
        <v/>
      </c>
      <c r="M45" t="str">
        <f t="shared" si="57"/>
        <v/>
      </c>
      <c r="N45" t="str">
        <f t="shared" si="57"/>
        <v/>
      </c>
      <c r="O45" t="str">
        <f t="shared" si="57"/>
        <v/>
      </c>
      <c r="P45" t="str">
        <f t="shared" si="57"/>
        <v/>
      </c>
      <c r="Q45" t="str">
        <f t="shared" si="57"/>
        <v/>
      </c>
      <c r="R45" t="str">
        <f t="shared" si="57"/>
        <v/>
      </c>
      <c r="S45" t="str">
        <f t="shared" si="57"/>
        <v/>
      </c>
      <c r="T45" t="str">
        <f t="shared" si="57"/>
        <v/>
      </c>
      <c r="U45" t="str">
        <f t="shared" si="57"/>
        <v/>
      </c>
      <c r="V45" t="str">
        <f t="shared" si="58"/>
        <v/>
      </c>
      <c r="W45" t="str">
        <f t="shared" si="58"/>
        <v/>
      </c>
      <c r="X45" t="str">
        <f t="shared" si="58"/>
        <v/>
      </c>
      <c r="Y45" t="str">
        <f t="shared" si="58"/>
        <v/>
      </c>
      <c r="Z45" t="str">
        <f t="shared" si="58"/>
        <v/>
      </c>
      <c r="AA45" t="str">
        <f t="shared" si="58"/>
        <v/>
      </c>
      <c r="AB45" t="str">
        <f t="shared" si="58"/>
        <v/>
      </c>
      <c r="AC45" t="str">
        <f t="shared" si="58"/>
        <v/>
      </c>
      <c r="AD45" t="str">
        <f t="shared" si="58"/>
        <v/>
      </c>
      <c r="AE45" t="str">
        <f t="shared" si="58"/>
        <v/>
      </c>
      <c r="AF45" t="str">
        <f t="shared" si="59"/>
        <v/>
      </c>
      <c r="AG45" t="str">
        <f t="shared" si="59"/>
        <v/>
      </c>
      <c r="AH45" t="str">
        <f t="shared" si="59"/>
        <v/>
      </c>
      <c r="AI45" t="str">
        <f t="shared" si="59"/>
        <v/>
      </c>
      <c r="AJ45" t="str">
        <f t="shared" si="59"/>
        <v/>
      </c>
      <c r="AK45" t="str">
        <f t="shared" si="59"/>
        <v/>
      </c>
      <c r="AM45" s="22">
        <f t="shared" si="43"/>
        <v>0</v>
      </c>
      <c r="AQ45" s="38" t="str">
        <f>IFERROR(LOOKUP(2,1/(COUNTIF($AQ$1:AQ44,CountDSDs)=0),CountDSDs),"")</f>
        <v/>
      </c>
    </row>
    <row r="46" spans="1:81" ht="18.75" x14ac:dyDescent="0.2">
      <c r="A46" t="e">
        <f t="shared" si="0"/>
        <v>#REF!</v>
      </c>
      <c r="B46">
        <f t="shared" si="56"/>
        <v>0</v>
      </c>
      <c r="C46">
        <f t="shared" si="56"/>
        <v>0</v>
      </c>
      <c r="D46">
        <f t="shared" si="56"/>
        <v>0</v>
      </c>
      <c r="E46">
        <f t="shared" si="56"/>
        <v>0</v>
      </c>
      <c r="F46">
        <f t="shared" si="56"/>
        <v>0</v>
      </c>
      <c r="G46">
        <f t="shared" si="56"/>
        <v>0</v>
      </c>
      <c r="H46" t="str">
        <f t="shared" si="56"/>
        <v/>
      </c>
      <c r="I46" t="str">
        <f t="shared" si="56"/>
        <v/>
      </c>
      <c r="J46" t="str">
        <f t="shared" si="56"/>
        <v/>
      </c>
      <c r="K46" t="str">
        <f t="shared" si="56"/>
        <v/>
      </c>
      <c r="L46" t="str">
        <f t="shared" si="57"/>
        <v/>
      </c>
      <c r="M46" t="str">
        <f t="shared" si="57"/>
        <v/>
      </c>
      <c r="N46" t="str">
        <f t="shared" si="57"/>
        <v/>
      </c>
      <c r="O46" t="str">
        <f t="shared" si="57"/>
        <v/>
      </c>
      <c r="P46" t="str">
        <f t="shared" si="57"/>
        <v/>
      </c>
      <c r="Q46" t="str">
        <f t="shared" si="57"/>
        <v/>
      </c>
      <c r="R46" t="str">
        <f t="shared" si="57"/>
        <v/>
      </c>
      <c r="S46" t="str">
        <f t="shared" si="57"/>
        <v/>
      </c>
      <c r="T46" t="str">
        <f t="shared" si="57"/>
        <v/>
      </c>
      <c r="U46" t="str">
        <f t="shared" si="57"/>
        <v/>
      </c>
      <c r="V46" t="str">
        <f t="shared" si="58"/>
        <v/>
      </c>
      <c r="W46" t="str">
        <f t="shared" si="58"/>
        <v/>
      </c>
      <c r="X46" t="str">
        <f t="shared" si="58"/>
        <v/>
      </c>
      <c r="Y46" t="str">
        <f t="shared" si="58"/>
        <v/>
      </c>
      <c r="Z46" t="str">
        <f t="shared" si="58"/>
        <v/>
      </c>
      <c r="AA46" t="str">
        <f t="shared" si="58"/>
        <v/>
      </c>
      <c r="AB46" t="str">
        <f t="shared" si="58"/>
        <v/>
      </c>
      <c r="AC46" t="str">
        <f t="shared" si="58"/>
        <v/>
      </c>
      <c r="AD46" t="str">
        <f t="shared" si="58"/>
        <v/>
      </c>
      <c r="AE46" t="str">
        <f t="shared" si="58"/>
        <v/>
      </c>
      <c r="AF46" t="str">
        <f t="shared" si="59"/>
        <v/>
      </c>
      <c r="AG46" t="str">
        <f t="shared" si="59"/>
        <v/>
      </c>
      <c r="AH46" t="str">
        <f t="shared" si="59"/>
        <v/>
      </c>
      <c r="AI46" t="str">
        <f t="shared" si="59"/>
        <v/>
      </c>
      <c r="AJ46" t="str">
        <f t="shared" si="59"/>
        <v/>
      </c>
      <c r="AK46" t="str">
        <f t="shared" si="59"/>
        <v/>
      </c>
      <c r="AM46" s="22">
        <f t="shared" si="43"/>
        <v>0</v>
      </c>
      <c r="AQ46" s="38" t="str">
        <f>IFERROR(LOOKUP(2,1/(COUNTIF($AQ$1:AQ45,CountDSDs)=0),CountDSDs),"")</f>
        <v/>
      </c>
    </row>
    <row r="47" spans="1:81" ht="18.75" x14ac:dyDescent="0.2">
      <c r="A47" t="e">
        <f t="shared" si="0"/>
        <v>#REF!</v>
      </c>
      <c r="B47">
        <f t="shared" si="56"/>
        <v>0</v>
      </c>
      <c r="C47">
        <f t="shared" si="56"/>
        <v>0</v>
      </c>
      <c r="D47">
        <f t="shared" si="56"/>
        <v>0</v>
      </c>
      <c r="E47">
        <f t="shared" si="56"/>
        <v>0</v>
      </c>
      <c r="F47">
        <f t="shared" si="56"/>
        <v>0</v>
      </c>
      <c r="G47">
        <f t="shared" si="56"/>
        <v>0</v>
      </c>
      <c r="H47" t="str">
        <f t="shared" si="56"/>
        <v/>
      </c>
      <c r="I47" t="str">
        <f t="shared" si="56"/>
        <v/>
      </c>
      <c r="J47" t="str">
        <f t="shared" si="56"/>
        <v/>
      </c>
      <c r="K47" t="str">
        <f t="shared" si="56"/>
        <v/>
      </c>
      <c r="L47" t="str">
        <f t="shared" si="57"/>
        <v/>
      </c>
      <c r="M47" t="str">
        <f t="shared" si="57"/>
        <v/>
      </c>
      <c r="N47" t="str">
        <f t="shared" si="57"/>
        <v/>
      </c>
      <c r="O47" t="str">
        <f t="shared" si="57"/>
        <v/>
      </c>
      <c r="P47" t="str">
        <f t="shared" si="57"/>
        <v/>
      </c>
      <c r="Q47" t="str">
        <f t="shared" si="57"/>
        <v/>
      </c>
      <c r="R47" t="str">
        <f t="shared" si="57"/>
        <v/>
      </c>
      <c r="S47" t="str">
        <f t="shared" si="57"/>
        <v/>
      </c>
      <c r="T47" t="str">
        <f t="shared" si="57"/>
        <v/>
      </c>
      <c r="U47" t="str">
        <f t="shared" si="57"/>
        <v/>
      </c>
      <c r="V47" t="str">
        <f t="shared" si="58"/>
        <v/>
      </c>
      <c r="W47" t="str">
        <f t="shared" si="58"/>
        <v/>
      </c>
      <c r="X47" t="str">
        <f t="shared" si="58"/>
        <v/>
      </c>
      <c r="Y47" t="str">
        <f t="shared" si="58"/>
        <v/>
      </c>
      <c r="Z47" t="str">
        <f t="shared" si="58"/>
        <v/>
      </c>
      <c r="AA47" t="str">
        <f t="shared" si="58"/>
        <v/>
      </c>
      <c r="AB47" t="str">
        <f t="shared" si="58"/>
        <v/>
      </c>
      <c r="AC47" t="str">
        <f t="shared" si="58"/>
        <v/>
      </c>
      <c r="AD47" t="str">
        <f t="shared" si="58"/>
        <v/>
      </c>
      <c r="AE47" t="str">
        <f t="shared" si="58"/>
        <v/>
      </c>
      <c r="AF47" t="str">
        <f t="shared" si="59"/>
        <v/>
      </c>
      <c r="AG47" t="str">
        <f t="shared" si="59"/>
        <v/>
      </c>
      <c r="AH47" t="str">
        <f t="shared" si="59"/>
        <v/>
      </c>
      <c r="AI47" t="str">
        <f t="shared" si="59"/>
        <v/>
      </c>
      <c r="AJ47" t="str">
        <f t="shared" si="59"/>
        <v/>
      </c>
      <c r="AK47" t="str">
        <f t="shared" si="59"/>
        <v/>
      </c>
      <c r="AM47" s="22">
        <f t="shared" si="43"/>
        <v>0</v>
      </c>
      <c r="AQ47" s="38" t="str">
        <f>IFERROR(LOOKUP(2,1/(COUNTIF($AQ$1:AQ46,CountDSDs)=0),CountDSDs),"")</f>
        <v/>
      </c>
    </row>
    <row r="48" spans="1:81" ht="18.75" x14ac:dyDescent="0.2">
      <c r="A48" t="e">
        <f t="shared" si="0"/>
        <v>#REF!</v>
      </c>
      <c r="B48">
        <f t="shared" si="56"/>
        <v>0</v>
      </c>
      <c r="C48">
        <f t="shared" si="56"/>
        <v>0</v>
      </c>
      <c r="D48">
        <f t="shared" si="56"/>
        <v>0</v>
      </c>
      <c r="E48">
        <f t="shared" si="56"/>
        <v>0</v>
      </c>
      <c r="F48">
        <f t="shared" si="56"/>
        <v>0</v>
      </c>
      <c r="G48">
        <f t="shared" si="56"/>
        <v>0</v>
      </c>
      <c r="H48" t="str">
        <f t="shared" si="56"/>
        <v/>
      </c>
      <c r="I48" t="str">
        <f t="shared" si="56"/>
        <v/>
      </c>
      <c r="J48" t="str">
        <f t="shared" si="56"/>
        <v/>
      </c>
      <c r="K48" t="str">
        <f t="shared" si="56"/>
        <v/>
      </c>
      <c r="L48" t="str">
        <f t="shared" si="57"/>
        <v/>
      </c>
      <c r="M48" t="str">
        <f t="shared" si="57"/>
        <v/>
      </c>
      <c r="N48" t="str">
        <f t="shared" si="57"/>
        <v/>
      </c>
      <c r="O48" t="str">
        <f t="shared" si="57"/>
        <v/>
      </c>
      <c r="P48" t="str">
        <f t="shared" si="57"/>
        <v/>
      </c>
      <c r="Q48" t="str">
        <f t="shared" si="57"/>
        <v/>
      </c>
      <c r="R48" t="str">
        <f t="shared" si="57"/>
        <v/>
      </c>
      <c r="S48" t="str">
        <f t="shared" si="57"/>
        <v/>
      </c>
      <c r="T48" t="str">
        <f t="shared" si="57"/>
        <v/>
      </c>
      <c r="U48" t="str">
        <f t="shared" si="57"/>
        <v/>
      </c>
      <c r="V48" t="str">
        <f t="shared" si="58"/>
        <v/>
      </c>
      <c r="W48" t="str">
        <f t="shared" si="58"/>
        <v/>
      </c>
      <c r="X48" t="str">
        <f t="shared" si="58"/>
        <v/>
      </c>
      <c r="Y48" t="str">
        <f t="shared" si="58"/>
        <v/>
      </c>
      <c r="Z48" t="str">
        <f t="shared" si="58"/>
        <v/>
      </c>
      <c r="AA48" t="str">
        <f t="shared" si="58"/>
        <v/>
      </c>
      <c r="AB48" t="str">
        <f t="shared" si="58"/>
        <v/>
      </c>
      <c r="AC48" t="str">
        <f t="shared" si="58"/>
        <v/>
      </c>
      <c r="AD48" t="str">
        <f t="shared" si="58"/>
        <v/>
      </c>
      <c r="AE48" t="str">
        <f t="shared" si="58"/>
        <v/>
      </c>
      <c r="AF48" t="str">
        <f t="shared" si="59"/>
        <v/>
      </c>
      <c r="AG48" t="str">
        <f t="shared" si="59"/>
        <v/>
      </c>
      <c r="AH48" t="str">
        <f t="shared" si="59"/>
        <v/>
      </c>
      <c r="AI48" t="str">
        <f t="shared" si="59"/>
        <v/>
      </c>
      <c r="AJ48" t="str">
        <f t="shared" si="59"/>
        <v/>
      </c>
      <c r="AK48" t="str">
        <f t="shared" si="59"/>
        <v/>
      </c>
      <c r="AM48" s="22">
        <f t="shared" si="43"/>
        <v>0</v>
      </c>
      <c r="AQ48" s="38" t="str">
        <f>IFERROR(LOOKUP(2,1/(COUNTIF($AQ$1:AQ47,CountDSDs)=0),CountDSDs),"")</f>
        <v/>
      </c>
    </row>
  </sheetData>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dimension ref="A1:B30"/>
  <sheetViews>
    <sheetView topLeftCell="A12" zoomScale="130" zoomScaleNormal="130" workbookViewId="0">
      <selection activeCell="A25" sqref="A25"/>
    </sheetView>
  </sheetViews>
  <sheetFormatPr defaultRowHeight="11.25" x14ac:dyDescent="0.2"/>
  <cols>
    <col min="1" max="1" width="93" customWidth="1"/>
  </cols>
  <sheetData>
    <row r="1" spans="1:2" x14ac:dyDescent="0.2">
      <c r="A1" s="3" t="s">
        <v>212</v>
      </c>
      <c r="B1" s="3" t="s">
        <v>215</v>
      </c>
    </row>
    <row r="2" spans="1:2" x14ac:dyDescent="0.2">
      <c r="A2" s="4" t="s">
        <v>267</v>
      </c>
      <c r="B2" s="4"/>
    </row>
    <row r="3" spans="1:2" x14ac:dyDescent="0.2">
      <c r="A3" s="3" t="s">
        <v>255</v>
      </c>
    </row>
    <row r="4" spans="1:2" x14ac:dyDescent="0.2">
      <c r="A4" s="4" t="s">
        <v>263</v>
      </c>
      <c r="B4" s="4"/>
    </row>
    <row r="5" spans="1:2" s="3" customFormat="1" x14ac:dyDescent="0.2">
      <c r="A5" s="3" t="s">
        <v>231</v>
      </c>
    </row>
    <row r="6" spans="1:2" x14ac:dyDescent="0.2">
      <c r="A6" t="s">
        <v>232</v>
      </c>
      <c r="B6" s="4"/>
    </row>
    <row r="7" spans="1:2" x14ac:dyDescent="0.2">
      <c r="A7" s="3" t="s">
        <v>230</v>
      </c>
    </row>
    <row r="8" spans="1:2" x14ac:dyDescent="0.2">
      <c r="A8" s="4" t="s">
        <v>264</v>
      </c>
    </row>
    <row r="9" spans="1:2" x14ac:dyDescent="0.2">
      <c r="A9" s="3" t="s">
        <v>233</v>
      </c>
      <c r="B9" s="4"/>
    </row>
    <row r="10" spans="1:2" x14ac:dyDescent="0.2">
      <c r="A10" s="4" t="s">
        <v>237</v>
      </c>
      <c r="B10" s="4"/>
    </row>
    <row r="11" spans="1:2" x14ac:dyDescent="0.2">
      <c r="A11" s="3" t="s">
        <v>234</v>
      </c>
      <c r="B11" s="4"/>
    </row>
    <row r="12" spans="1:2" x14ac:dyDescent="0.2">
      <c r="A12" s="4" t="s">
        <v>238</v>
      </c>
      <c r="B12" s="4"/>
    </row>
    <row r="13" spans="1:2" x14ac:dyDescent="0.2">
      <c r="A13" s="3" t="s">
        <v>235</v>
      </c>
      <c r="B13" s="4"/>
    </row>
    <row r="14" spans="1:2" x14ac:dyDescent="0.2">
      <c r="A14" s="4" t="s">
        <v>241</v>
      </c>
      <c r="B14" s="4"/>
    </row>
    <row r="15" spans="1:2" x14ac:dyDescent="0.2">
      <c r="A15" s="3" t="s">
        <v>236</v>
      </c>
      <c r="B15" s="4"/>
    </row>
    <row r="16" spans="1:2" x14ac:dyDescent="0.2">
      <c r="A16" s="4" t="s">
        <v>239</v>
      </c>
      <c r="B16" s="4"/>
    </row>
    <row r="17" spans="1:2" x14ac:dyDescent="0.2">
      <c r="A17" s="3" t="s">
        <v>245</v>
      </c>
    </row>
    <row r="18" spans="1:2" x14ac:dyDescent="0.2">
      <c r="A18" t="s">
        <v>247</v>
      </c>
      <c r="B18" s="4"/>
    </row>
    <row r="19" spans="1:2" x14ac:dyDescent="0.2">
      <c r="A19" s="3" t="s">
        <v>246</v>
      </c>
      <c r="B19" s="4"/>
    </row>
    <row r="20" spans="1:2" x14ac:dyDescent="0.2">
      <c r="A20" s="4" t="s">
        <v>265</v>
      </c>
      <c r="B20" s="4"/>
    </row>
    <row r="21" spans="1:2" x14ac:dyDescent="0.2">
      <c r="A21" s="3" t="s">
        <v>967</v>
      </c>
    </row>
    <row r="22" spans="1:2" x14ac:dyDescent="0.2">
      <c r="A22" s="4" t="s">
        <v>969</v>
      </c>
      <c r="B22" s="4"/>
    </row>
    <row r="23" spans="1:2" x14ac:dyDescent="0.2">
      <c r="A23" s="3" t="s">
        <v>253</v>
      </c>
    </row>
    <row r="24" spans="1:2" x14ac:dyDescent="0.2">
      <c r="A24" s="4" t="s">
        <v>266</v>
      </c>
    </row>
    <row r="25" spans="1:2" x14ac:dyDescent="0.2">
      <c r="A25" s="3" t="s">
        <v>254</v>
      </c>
    </row>
    <row r="26" spans="1:2" x14ac:dyDescent="0.2">
      <c r="A26" s="4" t="s">
        <v>285</v>
      </c>
      <c r="B26" s="4" t="s">
        <v>216</v>
      </c>
    </row>
    <row r="27" spans="1:2" x14ac:dyDescent="0.2">
      <c r="A27" s="3" t="s">
        <v>281</v>
      </c>
    </row>
    <row r="28" spans="1:2" x14ac:dyDescent="0.2">
      <c r="A28" s="4" t="s">
        <v>282</v>
      </c>
    </row>
    <row r="29" spans="1:2" x14ac:dyDescent="0.2">
      <c r="A29" s="3" t="s">
        <v>968</v>
      </c>
    </row>
    <row r="30" spans="1:2" x14ac:dyDescent="0.2">
      <c r="A30" t="s">
        <v>970</v>
      </c>
    </row>
  </sheetData>
  <pageMargins left="0.7" right="0.7" top="0.75" bottom="0.75" header="0.3" footer="0.3"/>
  <pageSetup paperSize="9"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tabColor rgb="FF0070C0"/>
  </sheetPr>
  <dimension ref="A1:E999"/>
  <sheetViews>
    <sheetView zoomScaleNormal="100" workbookViewId="0">
      <pane xSplit="2" ySplit="2" topLeftCell="C3" activePane="bottomRight" state="frozen"/>
      <selection activeCell="M49" sqref="M49"/>
      <selection pane="topRight" activeCell="M49" sqref="M49"/>
      <selection pane="bottomLeft" activeCell="M49" sqref="M49"/>
      <selection pane="bottomRight" activeCell="F2" sqref="F2"/>
    </sheetView>
  </sheetViews>
  <sheetFormatPr defaultRowHeight="11.25" x14ac:dyDescent="0.2"/>
  <cols>
    <col min="1" max="1" width="11.83203125" style="3" bestFit="1" customWidth="1"/>
    <col min="2" max="2" width="11.33203125" style="3" customWidth="1"/>
    <col min="4" max="4" width="20.5" bestFit="1" customWidth="1"/>
    <col min="5" max="5" width="19.83203125" bestFit="1" customWidth="1"/>
    <col min="6" max="6" width="10.1640625" bestFit="1" customWidth="1"/>
  </cols>
  <sheetData>
    <row r="1" spans="1:5" s="121" customFormat="1" x14ac:dyDescent="0.2">
      <c r="A1" s="121" t="s">
        <v>343</v>
      </c>
      <c r="B1" s="121" t="s">
        <v>342</v>
      </c>
      <c r="C1" s="121" t="s">
        <v>291</v>
      </c>
    </row>
    <row r="2" spans="1:5" s="121" customFormat="1" x14ac:dyDescent="0.2">
      <c r="C2" s="121" t="s">
        <v>18</v>
      </c>
      <c r="D2" s="121" t="s">
        <v>227</v>
      </c>
      <c r="E2" s="121" t="s">
        <v>29</v>
      </c>
    </row>
    <row r="3" spans="1:5" x14ac:dyDescent="0.2">
      <c r="A3"/>
      <c r="B3"/>
    </row>
    <row r="4" spans="1:5" x14ac:dyDescent="0.2">
      <c r="A4"/>
      <c r="B4"/>
    </row>
    <row r="5" spans="1:5" x14ac:dyDescent="0.2">
      <c r="A5"/>
      <c r="B5"/>
    </row>
    <row r="6" spans="1:5" x14ac:dyDescent="0.2">
      <c r="A6"/>
      <c r="B6"/>
    </row>
    <row r="7" spans="1:5" x14ac:dyDescent="0.2">
      <c r="A7"/>
      <c r="B7"/>
    </row>
    <row r="8" spans="1:5" x14ac:dyDescent="0.2">
      <c r="A8"/>
      <c r="B8"/>
    </row>
    <row r="9" spans="1:5" x14ac:dyDescent="0.2">
      <c r="A9"/>
      <c r="B9"/>
    </row>
    <row r="10" spans="1:5" x14ac:dyDescent="0.2">
      <c r="A10"/>
      <c r="B10"/>
    </row>
    <row r="11" spans="1:5" x14ac:dyDescent="0.2">
      <c r="A11"/>
      <c r="B11"/>
    </row>
    <row r="12" spans="1:5" x14ac:dyDescent="0.2">
      <c r="A12"/>
      <c r="B12"/>
    </row>
    <row r="13" spans="1:5" x14ac:dyDescent="0.2">
      <c r="A13"/>
      <c r="B13"/>
    </row>
    <row r="14" spans="1:5" x14ac:dyDescent="0.2">
      <c r="A14"/>
      <c r="B14"/>
    </row>
    <row r="15" spans="1:5" x14ac:dyDescent="0.2">
      <c r="A15"/>
      <c r="B15"/>
    </row>
    <row r="16" spans="1:5" x14ac:dyDescent="0.2">
      <c r="A16"/>
      <c r="B16"/>
    </row>
    <row r="17" spans="1:2" x14ac:dyDescent="0.2">
      <c r="A17"/>
      <c r="B17"/>
    </row>
    <row r="18" spans="1:2" x14ac:dyDescent="0.2">
      <c r="A18"/>
      <c r="B18"/>
    </row>
    <row r="19" spans="1:2" x14ac:dyDescent="0.2">
      <c r="A19"/>
      <c r="B19"/>
    </row>
    <row r="20" spans="1:2" x14ac:dyDescent="0.2">
      <c r="A20"/>
      <c r="B20"/>
    </row>
    <row r="21" spans="1:2" x14ac:dyDescent="0.2">
      <c r="A21"/>
      <c r="B21"/>
    </row>
    <row r="22" spans="1:2" x14ac:dyDescent="0.2">
      <c r="A22"/>
      <c r="B22"/>
    </row>
    <row r="23" spans="1:2" x14ac:dyDescent="0.2">
      <c r="A23"/>
      <c r="B23"/>
    </row>
    <row r="24" spans="1:2" x14ac:dyDescent="0.2">
      <c r="A24"/>
      <c r="B24"/>
    </row>
    <row r="25" spans="1:2" x14ac:dyDescent="0.2">
      <c r="A25"/>
      <c r="B25"/>
    </row>
    <row r="26" spans="1:2" x14ac:dyDescent="0.2">
      <c r="A26"/>
      <c r="B26"/>
    </row>
    <row r="27" spans="1:2" x14ac:dyDescent="0.2">
      <c r="A27"/>
      <c r="B27"/>
    </row>
    <row r="28" spans="1:2" x14ac:dyDescent="0.2">
      <c r="A28"/>
      <c r="B28"/>
    </row>
    <row r="29" spans="1:2" x14ac:dyDescent="0.2">
      <c r="A29"/>
      <c r="B29"/>
    </row>
    <row r="30" spans="1:2" x14ac:dyDescent="0.2">
      <c r="A30"/>
      <c r="B30"/>
    </row>
    <row r="31" spans="1:2" x14ac:dyDescent="0.2">
      <c r="A31"/>
      <c r="B31"/>
    </row>
    <row r="32" spans="1:2" x14ac:dyDescent="0.2">
      <c r="A32"/>
      <c r="B32"/>
    </row>
    <row r="33" spans="1:2" x14ac:dyDescent="0.2">
      <c r="A33"/>
      <c r="B33"/>
    </row>
    <row r="34" spans="1:2" x14ac:dyDescent="0.2">
      <c r="A34"/>
      <c r="B34"/>
    </row>
    <row r="35" spans="1:2" x14ac:dyDescent="0.2">
      <c r="A35"/>
      <c r="B35"/>
    </row>
    <row r="36" spans="1:2" x14ac:dyDescent="0.2">
      <c r="A36"/>
      <c r="B36"/>
    </row>
    <row r="37" spans="1:2" x14ac:dyDescent="0.2">
      <c r="A37"/>
      <c r="B37"/>
    </row>
    <row r="38" spans="1:2" x14ac:dyDescent="0.2">
      <c r="A38"/>
      <c r="B38"/>
    </row>
    <row r="39" spans="1:2" x14ac:dyDescent="0.2">
      <c r="A39"/>
      <c r="B39"/>
    </row>
    <row r="40" spans="1:2" x14ac:dyDescent="0.2">
      <c r="A40"/>
      <c r="B40"/>
    </row>
    <row r="41" spans="1:2" x14ac:dyDescent="0.2">
      <c r="A41"/>
      <c r="B41"/>
    </row>
    <row r="42" spans="1:2" x14ac:dyDescent="0.2">
      <c r="A42"/>
      <c r="B42"/>
    </row>
    <row r="43" spans="1:2" x14ac:dyDescent="0.2">
      <c r="A43"/>
      <c r="B43"/>
    </row>
    <row r="44" spans="1:2" x14ac:dyDescent="0.2">
      <c r="A44"/>
      <c r="B44"/>
    </row>
    <row r="45" spans="1:2" x14ac:dyDescent="0.2">
      <c r="A45"/>
      <c r="B45"/>
    </row>
    <row r="46" spans="1:2" x14ac:dyDescent="0.2">
      <c r="A46"/>
      <c r="B46"/>
    </row>
    <row r="47" spans="1:2" x14ac:dyDescent="0.2">
      <c r="A47"/>
      <c r="B47"/>
    </row>
    <row r="48" spans="1:2" x14ac:dyDescent="0.2">
      <c r="A48"/>
      <c r="B48"/>
    </row>
    <row r="49" spans="1:2" x14ac:dyDescent="0.2">
      <c r="A49"/>
      <c r="B49"/>
    </row>
    <row r="50" spans="1:2" x14ac:dyDescent="0.2">
      <c r="A50"/>
      <c r="B50"/>
    </row>
    <row r="51" spans="1:2" x14ac:dyDescent="0.2">
      <c r="A51"/>
      <c r="B51"/>
    </row>
    <row r="52" spans="1:2" x14ac:dyDescent="0.2">
      <c r="A52"/>
      <c r="B52"/>
    </row>
    <row r="53" spans="1:2" x14ac:dyDescent="0.2">
      <c r="A53"/>
      <c r="B53"/>
    </row>
    <row r="54" spans="1:2" x14ac:dyDescent="0.2">
      <c r="A54"/>
      <c r="B54"/>
    </row>
    <row r="55" spans="1:2" x14ac:dyDescent="0.2">
      <c r="A55"/>
      <c r="B55"/>
    </row>
    <row r="56" spans="1:2" x14ac:dyDescent="0.2">
      <c r="A56"/>
      <c r="B56"/>
    </row>
    <row r="57" spans="1:2" x14ac:dyDescent="0.2">
      <c r="A57"/>
      <c r="B57"/>
    </row>
    <row r="58" spans="1:2" x14ac:dyDescent="0.2">
      <c r="A58"/>
      <c r="B58"/>
    </row>
    <row r="59" spans="1:2" x14ac:dyDescent="0.2">
      <c r="A59"/>
      <c r="B59"/>
    </row>
    <row r="60" spans="1:2" x14ac:dyDescent="0.2">
      <c r="A60"/>
      <c r="B60"/>
    </row>
    <row r="61" spans="1:2" x14ac:dyDescent="0.2">
      <c r="A61"/>
      <c r="B61"/>
    </row>
    <row r="62" spans="1:2" x14ac:dyDescent="0.2">
      <c r="A62"/>
      <c r="B62"/>
    </row>
    <row r="63" spans="1:2" x14ac:dyDescent="0.2">
      <c r="A63"/>
      <c r="B63"/>
    </row>
    <row r="64" spans="1:2" x14ac:dyDescent="0.2">
      <c r="A64"/>
      <c r="B64"/>
    </row>
    <row r="65" spans="1:2" x14ac:dyDescent="0.2">
      <c r="A65"/>
      <c r="B65"/>
    </row>
    <row r="66" spans="1:2" x14ac:dyDescent="0.2">
      <c r="A66"/>
      <c r="B66"/>
    </row>
    <row r="67" spans="1:2" x14ac:dyDescent="0.2">
      <c r="A67"/>
      <c r="B67"/>
    </row>
    <row r="68" spans="1:2" x14ac:dyDescent="0.2">
      <c r="A68"/>
      <c r="B68"/>
    </row>
    <row r="69" spans="1:2" x14ac:dyDescent="0.2">
      <c r="A69"/>
      <c r="B69"/>
    </row>
    <row r="70" spans="1:2" x14ac:dyDescent="0.2">
      <c r="A70"/>
      <c r="B70"/>
    </row>
    <row r="71" spans="1:2" x14ac:dyDescent="0.2">
      <c r="A71"/>
      <c r="B71"/>
    </row>
    <row r="72" spans="1:2" x14ac:dyDescent="0.2">
      <c r="A72"/>
      <c r="B72"/>
    </row>
    <row r="73" spans="1:2" x14ac:dyDescent="0.2">
      <c r="A73"/>
      <c r="B73"/>
    </row>
    <row r="74" spans="1:2" x14ac:dyDescent="0.2">
      <c r="A74"/>
      <c r="B74"/>
    </row>
    <row r="75" spans="1:2" x14ac:dyDescent="0.2">
      <c r="A75"/>
      <c r="B75"/>
    </row>
    <row r="76" spans="1:2" x14ac:dyDescent="0.2">
      <c r="A76"/>
      <c r="B76"/>
    </row>
    <row r="77" spans="1:2" x14ac:dyDescent="0.2">
      <c r="A77"/>
      <c r="B77"/>
    </row>
    <row r="78" spans="1:2" x14ac:dyDescent="0.2">
      <c r="A78"/>
      <c r="B78"/>
    </row>
    <row r="79" spans="1:2" x14ac:dyDescent="0.2">
      <c r="A79"/>
      <c r="B79"/>
    </row>
    <row r="80" spans="1:2" x14ac:dyDescent="0.2">
      <c r="A80"/>
      <c r="B80"/>
    </row>
    <row r="81" spans="1:2" x14ac:dyDescent="0.2">
      <c r="A81"/>
      <c r="B81"/>
    </row>
    <row r="82" spans="1:2" x14ac:dyDescent="0.2">
      <c r="A82"/>
      <c r="B82"/>
    </row>
    <row r="83" spans="1:2" x14ac:dyDescent="0.2">
      <c r="A83"/>
      <c r="B83"/>
    </row>
    <row r="84" spans="1:2" x14ac:dyDescent="0.2">
      <c r="A84"/>
      <c r="B84"/>
    </row>
    <row r="85" spans="1:2" x14ac:dyDescent="0.2">
      <c r="A85"/>
      <c r="B85"/>
    </row>
    <row r="86" spans="1:2" x14ac:dyDescent="0.2">
      <c r="A86"/>
      <c r="B86"/>
    </row>
    <row r="87" spans="1:2" x14ac:dyDescent="0.2">
      <c r="A87"/>
      <c r="B87"/>
    </row>
    <row r="88" spans="1:2" x14ac:dyDescent="0.2">
      <c r="A88"/>
      <c r="B88"/>
    </row>
    <row r="89" spans="1:2" x14ac:dyDescent="0.2">
      <c r="A89"/>
      <c r="B89"/>
    </row>
    <row r="90" spans="1:2" x14ac:dyDescent="0.2">
      <c r="A90"/>
      <c r="B90"/>
    </row>
    <row r="91" spans="1:2" x14ac:dyDescent="0.2">
      <c r="A91"/>
      <c r="B91"/>
    </row>
    <row r="92" spans="1:2" x14ac:dyDescent="0.2">
      <c r="A92"/>
      <c r="B92"/>
    </row>
    <row r="93" spans="1:2" x14ac:dyDescent="0.2">
      <c r="A93"/>
      <c r="B93"/>
    </row>
    <row r="94" spans="1:2" x14ac:dyDescent="0.2">
      <c r="A94"/>
      <c r="B94"/>
    </row>
    <row r="95" spans="1:2" x14ac:dyDescent="0.2">
      <c r="A95"/>
      <c r="B95"/>
    </row>
    <row r="96" spans="1:2" x14ac:dyDescent="0.2">
      <c r="A96"/>
      <c r="B96"/>
    </row>
    <row r="97" spans="1:2" x14ac:dyDescent="0.2">
      <c r="A97"/>
      <c r="B97"/>
    </row>
    <row r="98" spans="1:2" x14ac:dyDescent="0.2">
      <c r="A98"/>
      <c r="B98"/>
    </row>
    <row r="99" spans="1:2" x14ac:dyDescent="0.2">
      <c r="A99"/>
      <c r="B99"/>
    </row>
    <row r="100" spans="1:2" x14ac:dyDescent="0.2">
      <c r="A100"/>
      <c r="B100"/>
    </row>
    <row r="101" spans="1:2" x14ac:dyDescent="0.2">
      <c r="A101"/>
      <c r="B101"/>
    </row>
    <row r="102" spans="1:2" x14ac:dyDescent="0.2">
      <c r="A102"/>
      <c r="B102"/>
    </row>
    <row r="103" spans="1:2" x14ac:dyDescent="0.2">
      <c r="A103"/>
      <c r="B103"/>
    </row>
    <row r="104" spans="1:2" x14ac:dyDescent="0.2">
      <c r="A104"/>
      <c r="B104"/>
    </row>
    <row r="105" spans="1:2" x14ac:dyDescent="0.2">
      <c r="A105"/>
      <c r="B105"/>
    </row>
    <row r="106" spans="1:2" x14ac:dyDescent="0.2">
      <c r="A106"/>
      <c r="B106"/>
    </row>
    <row r="107" spans="1:2" x14ac:dyDescent="0.2">
      <c r="A107"/>
      <c r="B107"/>
    </row>
    <row r="108" spans="1:2" x14ac:dyDescent="0.2">
      <c r="A108"/>
      <c r="B108"/>
    </row>
    <row r="109" spans="1:2" x14ac:dyDescent="0.2">
      <c r="A109"/>
      <c r="B109"/>
    </row>
    <row r="110" spans="1:2" x14ac:dyDescent="0.2">
      <c r="A110"/>
      <c r="B110"/>
    </row>
    <row r="111" spans="1:2" x14ac:dyDescent="0.2">
      <c r="A111"/>
      <c r="B111"/>
    </row>
    <row r="112" spans="1:2" x14ac:dyDescent="0.2">
      <c r="A112"/>
      <c r="B112"/>
    </row>
    <row r="113" spans="1:2" x14ac:dyDescent="0.2">
      <c r="A113"/>
      <c r="B113"/>
    </row>
    <row r="114" spans="1:2" x14ac:dyDescent="0.2">
      <c r="A114"/>
      <c r="B114"/>
    </row>
    <row r="115" spans="1:2" x14ac:dyDescent="0.2">
      <c r="A115"/>
      <c r="B115"/>
    </row>
    <row r="116" spans="1:2" x14ac:dyDescent="0.2">
      <c r="A116"/>
      <c r="B116"/>
    </row>
    <row r="117" spans="1:2" x14ac:dyDescent="0.2">
      <c r="A117"/>
      <c r="B117"/>
    </row>
    <row r="118" spans="1:2" x14ac:dyDescent="0.2">
      <c r="A118"/>
      <c r="B118"/>
    </row>
    <row r="119" spans="1:2" x14ac:dyDescent="0.2">
      <c r="A119"/>
      <c r="B119"/>
    </row>
    <row r="120" spans="1:2" x14ac:dyDescent="0.2">
      <c r="A120"/>
      <c r="B120"/>
    </row>
    <row r="121" spans="1:2" x14ac:dyDescent="0.2">
      <c r="A121"/>
      <c r="B121"/>
    </row>
    <row r="122" spans="1:2" x14ac:dyDescent="0.2">
      <c r="A122"/>
      <c r="B122"/>
    </row>
    <row r="123" spans="1:2" x14ac:dyDescent="0.2">
      <c r="A123"/>
      <c r="B123"/>
    </row>
    <row r="124" spans="1:2" x14ac:dyDescent="0.2">
      <c r="A124"/>
      <c r="B124"/>
    </row>
    <row r="125" spans="1:2" x14ac:dyDescent="0.2">
      <c r="A125"/>
      <c r="B125"/>
    </row>
    <row r="126" spans="1:2" x14ac:dyDescent="0.2">
      <c r="A126"/>
      <c r="B126"/>
    </row>
    <row r="127" spans="1:2" x14ac:dyDescent="0.2">
      <c r="A127"/>
      <c r="B127"/>
    </row>
    <row r="128" spans="1:2" x14ac:dyDescent="0.2">
      <c r="A128"/>
      <c r="B128"/>
    </row>
    <row r="129" spans="1:2" x14ac:dyDescent="0.2">
      <c r="A129"/>
      <c r="B129"/>
    </row>
    <row r="130" spans="1:2" x14ac:dyDescent="0.2">
      <c r="A130"/>
      <c r="B130"/>
    </row>
    <row r="131" spans="1:2" x14ac:dyDescent="0.2">
      <c r="A131"/>
      <c r="B131"/>
    </row>
    <row r="132" spans="1:2" x14ac:dyDescent="0.2">
      <c r="A132"/>
      <c r="B132"/>
    </row>
    <row r="133" spans="1:2" x14ac:dyDescent="0.2">
      <c r="A133"/>
      <c r="B133"/>
    </row>
    <row r="134" spans="1:2" x14ac:dyDescent="0.2">
      <c r="A134"/>
      <c r="B134"/>
    </row>
    <row r="135" spans="1:2" x14ac:dyDescent="0.2">
      <c r="A135"/>
      <c r="B135"/>
    </row>
    <row r="136" spans="1:2" x14ac:dyDescent="0.2">
      <c r="A136"/>
      <c r="B136"/>
    </row>
    <row r="137" spans="1:2" x14ac:dyDescent="0.2">
      <c r="A137"/>
      <c r="B137"/>
    </row>
    <row r="138" spans="1:2" x14ac:dyDescent="0.2">
      <c r="A138"/>
      <c r="B138"/>
    </row>
    <row r="139" spans="1:2" x14ac:dyDescent="0.2">
      <c r="A139"/>
      <c r="B139"/>
    </row>
    <row r="140" spans="1:2" x14ac:dyDescent="0.2">
      <c r="A140"/>
      <c r="B140"/>
    </row>
    <row r="141" spans="1:2" x14ac:dyDescent="0.2">
      <c r="A141"/>
      <c r="B141"/>
    </row>
    <row r="142" spans="1:2" x14ac:dyDescent="0.2">
      <c r="A142"/>
      <c r="B142"/>
    </row>
    <row r="143" spans="1:2" x14ac:dyDescent="0.2">
      <c r="A143"/>
      <c r="B143"/>
    </row>
    <row r="144" spans="1:2" x14ac:dyDescent="0.2">
      <c r="A144"/>
      <c r="B144"/>
    </row>
    <row r="145" spans="1:2" x14ac:dyDescent="0.2">
      <c r="A145"/>
      <c r="B145"/>
    </row>
    <row r="146" spans="1:2" x14ac:dyDescent="0.2">
      <c r="A146"/>
      <c r="B146"/>
    </row>
    <row r="147" spans="1:2" x14ac:dyDescent="0.2">
      <c r="A147"/>
      <c r="B147"/>
    </row>
    <row r="148" spans="1:2" x14ac:dyDescent="0.2">
      <c r="A148"/>
      <c r="B148"/>
    </row>
    <row r="149" spans="1:2" x14ac:dyDescent="0.2">
      <c r="A149"/>
      <c r="B149"/>
    </row>
    <row r="150" spans="1:2" x14ac:dyDescent="0.2">
      <c r="A150"/>
      <c r="B150"/>
    </row>
    <row r="151" spans="1:2" x14ac:dyDescent="0.2">
      <c r="A151"/>
      <c r="B151"/>
    </row>
    <row r="152" spans="1:2" x14ac:dyDescent="0.2">
      <c r="A152"/>
      <c r="B152"/>
    </row>
    <row r="153" spans="1:2" x14ac:dyDescent="0.2">
      <c r="A153"/>
      <c r="B153"/>
    </row>
    <row r="154" spans="1:2" x14ac:dyDescent="0.2">
      <c r="A154"/>
      <c r="B154"/>
    </row>
    <row r="155" spans="1:2" x14ac:dyDescent="0.2">
      <c r="A155"/>
      <c r="B155"/>
    </row>
    <row r="156" spans="1:2" x14ac:dyDescent="0.2">
      <c r="A156"/>
      <c r="B156"/>
    </row>
    <row r="157" spans="1:2" x14ac:dyDescent="0.2">
      <c r="A157"/>
      <c r="B157"/>
    </row>
    <row r="158" spans="1:2" x14ac:dyDescent="0.2">
      <c r="A158"/>
      <c r="B158"/>
    </row>
    <row r="159" spans="1:2" x14ac:dyDescent="0.2">
      <c r="A159"/>
      <c r="B159"/>
    </row>
    <row r="160" spans="1:2" x14ac:dyDescent="0.2">
      <c r="A160"/>
      <c r="B160"/>
    </row>
    <row r="161" spans="1:2" x14ac:dyDescent="0.2">
      <c r="A161"/>
      <c r="B161"/>
    </row>
    <row r="162" spans="1:2" x14ac:dyDescent="0.2">
      <c r="A162"/>
      <c r="B162"/>
    </row>
    <row r="163" spans="1:2" x14ac:dyDescent="0.2">
      <c r="A163"/>
      <c r="B163"/>
    </row>
    <row r="164" spans="1:2" x14ac:dyDescent="0.2">
      <c r="A164"/>
      <c r="B164"/>
    </row>
    <row r="165" spans="1:2" x14ac:dyDescent="0.2">
      <c r="A165"/>
      <c r="B165"/>
    </row>
    <row r="166" spans="1:2" x14ac:dyDescent="0.2">
      <c r="A166"/>
      <c r="B166"/>
    </row>
    <row r="167" spans="1:2" x14ac:dyDescent="0.2">
      <c r="A167"/>
      <c r="B167"/>
    </row>
    <row r="168" spans="1:2" x14ac:dyDescent="0.2">
      <c r="A168"/>
      <c r="B168"/>
    </row>
    <row r="169" spans="1:2" x14ac:dyDescent="0.2">
      <c r="A169"/>
      <c r="B169"/>
    </row>
    <row r="170" spans="1:2" x14ac:dyDescent="0.2">
      <c r="A170"/>
      <c r="B170"/>
    </row>
    <row r="171" spans="1:2" x14ac:dyDescent="0.2">
      <c r="A171"/>
      <c r="B171"/>
    </row>
    <row r="172" spans="1:2" x14ac:dyDescent="0.2">
      <c r="A172"/>
      <c r="B172"/>
    </row>
    <row r="173" spans="1:2" x14ac:dyDescent="0.2">
      <c r="A173"/>
      <c r="B173"/>
    </row>
    <row r="174" spans="1:2" x14ac:dyDescent="0.2">
      <c r="A174"/>
      <c r="B174"/>
    </row>
    <row r="175" spans="1:2" x14ac:dyDescent="0.2">
      <c r="A175"/>
      <c r="B175"/>
    </row>
    <row r="176" spans="1:2" x14ac:dyDescent="0.2">
      <c r="A176"/>
      <c r="B176"/>
    </row>
    <row r="177" spans="1:2" x14ac:dyDescent="0.2">
      <c r="A177"/>
      <c r="B177"/>
    </row>
    <row r="178" spans="1:2" x14ac:dyDescent="0.2">
      <c r="A178"/>
      <c r="B178"/>
    </row>
    <row r="179" spans="1:2" x14ac:dyDescent="0.2">
      <c r="A179"/>
      <c r="B179"/>
    </row>
    <row r="180" spans="1:2" x14ac:dyDescent="0.2">
      <c r="A180"/>
      <c r="B180"/>
    </row>
    <row r="181" spans="1:2" x14ac:dyDescent="0.2">
      <c r="A181"/>
      <c r="B181"/>
    </row>
    <row r="182" spans="1:2" x14ac:dyDescent="0.2">
      <c r="A182"/>
      <c r="B182"/>
    </row>
    <row r="183" spans="1:2" x14ac:dyDescent="0.2">
      <c r="A183"/>
      <c r="B183"/>
    </row>
    <row r="184" spans="1:2" x14ac:dyDescent="0.2">
      <c r="A184"/>
      <c r="B184"/>
    </row>
    <row r="185" spans="1:2" x14ac:dyDescent="0.2">
      <c r="A185"/>
      <c r="B185"/>
    </row>
    <row r="186" spans="1:2" x14ac:dyDescent="0.2">
      <c r="A186"/>
      <c r="B186"/>
    </row>
    <row r="187" spans="1:2" x14ac:dyDescent="0.2">
      <c r="A187"/>
      <c r="B187"/>
    </row>
    <row r="188" spans="1:2" x14ac:dyDescent="0.2">
      <c r="A188"/>
      <c r="B188"/>
    </row>
    <row r="189" spans="1:2" x14ac:dyDescent="0.2">
      <c r="A189"/>
      <c r="B189"/>
    </row>
    <row r="190" spans="1:2" x14ac:dyDescent="0.2">
      <c r="A190"/>
      <c r="B190"/>
    </row>
    <row r="191" spans="1:2" x14ac:dyDescent="0.2">
      <c r="A191"/>
      <c r="B191"/>
    </row>
    <row r="192" spans="1:2" x14ac:dyDescent="0.2">
      <c r="A192"/>
      <c r="B192"/>
    </row>
    <row r="193" spans="1:2" x14ac:dyDescent="0.2">
      <c r="A193"/>
      <c r="B193"/>
    </row>
    <row r="194" spans="1:2" x14ac:dyDescent="0.2">
      <c r="A194"/>
      <c r="B194"/>
    </row>
    <row r="195" spans="1:2" x14ac:dyDescent="0.2">
      <c r="A195"/>
      <c r="B195"/>
    </row>
    <row r="196" spans="1:2" x14ac:dyDescent="0.2">
      <c r="A196"/>
      <c r="B196"/>
    </row>
    <row r="197" spans="1:2" x14ac:dyDescent="0.2">
      <c r="A197"/>
      <c r="B197"/>
    </row>
    <row r="198" spans="1:2" x14ac:dyDescent="0.2">
      <c r="A198"/>
      <c r="B198"/>
    </row>
    <row r="199" spans="1:2" x14ac:dyDescent="0.2">
      <c r="A199"/>
      <c r="B199"/>
    </row>
    <row r="200" spans="1:2" x14ac:dyDescent="0.2">
      <c r="A200"/>
      <c r="B200"/>
    </row>
    <row r="201" spans="1:2" x14ac:dyDescent="0.2">
      <c r="A201"/>
      <c r="B201"/>
    </row>
    <row r="202" spans="1:2" x14ac:dyDescent="0.2">
      <c r="A202"/>
      <c r="B202"/>
    </row>
    <row r="203" spans="1:2" x14ac:dyDescent="0.2">
      <c r="A203"/>
      <c r="B203"/>
    </row>
    <row r="204" spans="1:2" x14ac:dyDescent="0.2">
      <c r="A204"/>
      <c r="B204"/>
    </row>
    <row r="205" spans="1:2" x14ac:dyDescent="0.2">
      <c r="A205"/>
      <c r="B205"/>
    </row>
    <row r="206" spans="1:2" x14ac:dyDescent="0.2">
      <c r="A206"/>
      <c r="B206"/>
    </row>
    <row r="207" spans="1:2" x14ac:dyDescent="0.2">
      <c r="A207"/>
      <c r="B207"/>
    </row>
    <row r="208" spans="1:2" x14ac:dyDescent="0.2">
      <c r="A208"/>
      <c r="B208"/>
    </row>
    <row r="209" spans="1:2" x14ac:dyDescent="0.2">
      <c r="A209"/>
      <c r="B209"/>
    </row>
    <row r="210" spans="1:2" x14ac:dyDescent="0.2">
      <c r="A210"/>
      <c r="B210"/>
    </row>
    <row r="211" spans="1:2" x14ac:dyDescent="0.2">
      <c r="A211"/>
      <c r="B211"/>
    </row>
    <row r="212" spans="1:2" x14ac:dyDescent="0.2">
      <c r="A212"/>
      <c r="B212"/>
    </row>
    <row r="213" spans="1:2" x14ac:dyDescent="0.2">
      <c r="A213"/>
      <c r="B213"/>
    </row>
    <row r="214" spans="1:2" x14ac:dyDescent="0.2">
      <c r="A214"/>
      <c r="B214"/>
    </row>
    <row r="215" spans="1:2" x14ac:dyDescent="0.2">
      <c r="A215"/>
      <c r="B215"/>
    </row>
    <row r="216" spans="1:2" x14ac:dyDescent="0.2">
      <c r="A216"/>
      <c r="B216"/>
    </row>
    <row r="217" spans="1:2" x14ac:dyDescent="0.2">
      <c r="A217"/>
      <c r="B217"/>
    </row>
    <row r="218" spans="1:2" x14ac:dyDescent="0.2">
      <c r="A218"/>
      <c r="B218"/>
    </row>
    <row r="219" spans="1:2" x14ac:dyDescent="0.2">
      <c r="A219"/>
      <c r="B219"/>
    </row>
    <row r="220" spans="1:2" x14ac:dyDescent="0.2">
      <c r="A220"/>
      <c r="B220"/>
    </row>
    <row r="221" spans="1:2" x14ac:dyDescent="0.2">
      <c r="A221"/>
      <c r="B221"/>
    </row>
    <row r="222" spans="1:2" x14ac:dyDescent="0.2">
      <c r="A222"/>
      <c r="B222"/>
    </row>
    <row r="223" spans="1:2" x14ac:dyDescent="0.2">
      <c r="A223"/>
      <c r="B223"/>
    </row>
    <row r="224" spans="1:2" x14ac:dyDescent="0.2">
      <c r="A224"/>
      <c r="B224"/>
    </row>
    <row r="225" spans="1:2" x14ac:dyDescent="0.2">
      <c r="A225"/>
      <c r="B225"/>
    </row>
    <row r="226" spans="1:2" x14ac:dyDescent="0.2">
      <c r="A226"/>
      <c r="B226"/>
    </row>
    <row r="227" spans="1:2" x14ac:dyDescent="0.2">
      <c r="A227"/>
      <c r="B227"/>
    </row>
    <row r="228" spans="1:2" x14ac:dyDescent="0.2">
      <c r="A228"/>
      <c r="B228"/>
    </row>
    <row r="229" spans="1:2" x14ac:dyDescent="0.2">
      <c r="A229"/>
      <c r="B229"/>
    </row>
    <row r="230" spans="1:2" x14ac:dyDescent="0.2">
      <c r="A230"/>
      <c r="B230"/>
    </row>
    <row r="231" spans="1:2" x14ac:dyDescent="0.2">
      <c r="A231"/>
      <c r="B231"/>
    </row>
    <row r="232" spans="1:2" x14ac:dyDescent="0.2">
      <c r="A232"/>
      <c r="B232"/>
    </row>
    <row r="233" spans="1:2" x14ac:dyDescent="0.2">
      <c r="A233"/>
      <c r="B233"/>
    </row>
    <row r="234" spans="1:2" x14ac:dyDescent="0.2">
      <c r="A234"/>
      <c r="B234"/>
    </row>
    <row r="235" spans="1:2" x14ac:dyDescent="0.2">
      <c r="A235"/>
      <c r="B235"/>
    </row>
    <row r="236" spans="1:2" x14ac:dyDescent="0.2">
      <c r="A236"/>
      <c r="B236"/>
    </row>
    <row r="237" spans="1:2" x14ac:dyDescent="0.2">
      <c r="A237"/>
      <c r="B237"/>
    </row>
    <row r="238" spans="1:2" x14ac:dyDescent="0.2">
      <c r="A238"/>
      <c r="B238"/>
    </row>
    <row r="239" spans="1:2" x14ac:dyDescent="0.2">
      <c r="A239"/>
      <c r="B239"/>
    </row>
    <row r="240" spans="1:2" x14ac:dyDescent="0.2">
      <c r="A240"/>
      <c r="B240"/>
    </row>
    <row r="241" spans="1:2" x14ac:dyDescent="0.2">
      <c r="A241"/>
      <c r="B241"/>
    </row>
    <row r="242" spans="1:2" x14ac:dyDescent="0.2">
      <c r="A242"/>
      <c r="B242"/>
    </row>
    <row r="243" spans="1:2" x14ac:dyDescent="0.2">
      <c r="A243"/>
      <c r="B243"/>
    </row>
    <row r="244" spans="1:2" x14ac:dyDescent="0.2">
      <c r="A244"/>
      <c r="B244"/>
    </row>
    <row r="245" spans="1:2" x14ac:dyDescent="0.2">
      <c r="A245"/>
      <c r="B245"/>
    </row>
    <row r="246" spans="1:2" x14ac:dyDescent="0.2">
      <c r="A246"/>
      <c r="B246"/>
    </row>
    <row r="247" spans="1:2" x14ac:dyDescent="0.2">
      <c r="A247"/>
      <c r="B247"/>
    </row>
    <row r="248" spans="1:2" x14ac:dyDescent="0.2">
      <c r="A248"/>
      <c r="B248"/>
    </row>
    <row r="249" spans="1:2" x14ac:dyDescent="0.2">
      <c r="A249"/>
      <c r="B249"/>
    </row>
    <row r="250" spans="1:2" x14ac:dyDescent="0.2">
      <c r="A250"/>
      <c r="B250"/>
    </row>
    <row r="251" spans="1:2" x14ac:dyDescent="0.2">
      <c r="A251"/>
      <c r="B251"/>
    </row>
    <row r="252" spans="1:2" x14ac:dyDescent="0.2">
      <c r="A252"/>
      <c r="B252"/>
    </row>
    <row r="253" spans="1:2" x14ac:dyDescent="0.2">
      <c r="A253"/>
      <c r="B253"/>
    </row>
    <row r="254" spans="1:2" x14ac:dyDescent="0.2">
      <c r="A254"/>
      <c r="B254"/>
    </row>
    <row r="255" spans="1:2" x14ac:dyDescent="0.2">
      <c r="A255"/>
      <c r="B255"/>
    </row>
    <row r="256" spans="1:2" x14ac:dyDescent="0.2">
      <c r="A256"/>
      <c r="B256"/>
    </row>
    <row r="257" spans="1:2" x14ac:dyDescent="0.2">
      <c r="A257"/>
      <c r="B257"/>
    </row>
    <row r="258" spans="1:2" x14ac:dyDescent="0.2">
      <c r="A258"/>
      <c r="B258"/>
    </row>
    <row r="259" spans="1:2" x14ac:dyDescent="0.2">
      <c r="A259"/>
      <c r="B259"/>
    </row>
    <row r="260" spans="1:2" x14ac:dyDescent="0.2">
      <c r="A260"/>
      <c r="B260"/>
    </row>
    <row r="261" spans="1:2" x14ac:dyDescent="0.2">
      <c r="A261"/>
      <c r="B261"/>
    </row>
    <row r="262" spans="1:2" x14ac:dyDescent="0.2">
      <c r="A262"/>
      <c r="B262"/>
    </row>
    <row r="263" spans="1:2" x14ac:dyDescent="0.2">
      <c r="A263"/>
      <c r="B263"/>
    </row>
    <row r="264" spans="1:2" x14ac:dyDescent="0.2">
      <c r="A264"/>
      <c r="B264"/>
    </row>
    <row r="265" spans="1:2" x14ac:dyDescent="0.2">
      <c r="A265"/>
      <c r="B265"/>
    </row>
    <row r="266" spans="1:2" x14ac:dyDescent="0.2">
      <c r="A266"/>
      <c r="B266"/>
    </row>
    <row r="267" spans="1:2" x14ac:dyDescent="0.2">
      <c r="A267"/>
      <c r="B267"/>
    </row>
    <row r="268" spans="1:2" x14ac:dyDescent="0.2">
      <c r="A268"/>
      <c r="B268"/>
    </row>
    <row r="269" spans="1:2" x14ac:dyDescent="0.2">
      <c r="A269"/>
      <c r="B269"/>
    </row>
    <row r="270" spans="1:2" x14ac:dyDescent="0.2">
      <c r="A270"/>
      <c r="B270"/>
    </row>
    <row r="271" spans="1:2" x14ac:dyDescent="0.2">
      <c r="A271"/>
      <c r="B271"/>
    </row>
    <row r="272" spans="1:2" x14ac:dyDescent="0.2">
      <c r="A272"/>
      <c r="B272"/>
    </row>
    <row r="273" spans="1:2" x14ac:dyDescent="0.2">
      <c r="A273"/>
      <c r="B273"/>
    </row>
    <row r="274" spans="1:2" x14ac:dyDescent="0.2">
      <c r="A274"/>
      <c r="B274"/>
    </row>
    <row r="275" spans="1:2" x14ac:dyDescent="0.2">
      <c r="A275"/>
      <c r="B275"/>
    </row>
    <row r="276" spans="1:2" x14ac:dyDescent="0.2">
      <c r="A276"/>
      <c r="B276"/>
    </row>
    <row r="277" spans="1:2" x14ac:dyDescent="0.2">
      <c r="A277"/>
      <c r="B277"/>
    </row>
    <row r="278" spans="1:2" x14ac:dyDescent="0.2">
      <c r="A278"/>
      <c r="B278"/>
    </row>
    <row r="279" spans="1:2" x14ac:dyDescent="0.2">
      <c r="A279"/>
      <c r="B279"/>
    </row>
    <row r="280" spans="1:2" x14ac:dyDescent="0.2">
      <c r="A280"/>
      <c r="B280"/>
    </row>
    <row r="281" spans="1:2" x14ac:dyDescent="0.2">
      <c r="A281"/>
      <c r="B281"/>
    </row>
    <row r="282" spans="1:2" x14ac:dyDescent="0.2">
      <c r="A282"/>
      <c r="B282"/>
    </row>
    <row r="283" spans="1:2" x14ac:dyDescent="0.2">
      <c r="A283"/>
      <c r="B283"/>
    </row>
    <row r="284" spans="1:2" x14ac:dyDescent="0.2">
      <c r="A284"/>
      <c r="B284"/>
    </row>
    <row r="285" spans="1:2" x14ac:dyDescent="0.2">
      <c r="A285"/>
      <c r="B285"/>
    </row>
    <row r="286" spans="1:2" x14ac:dyDescent="0.2">
      <c r="A286"/>
      <c r="B286"/>
    </row>
    <row r="287" spans="1:2" x14ac:dyDescent="0.2">
      <c r="A287"/>
      <c r="B287"/>
    </row>
    <row r="288" spans="1:2" x14ac:dyDescent="0.2">
      <c r="A288"/>
      <c r="B288"/>
    </row>
    <row r="289" spans="1:2" x14ac:dyDescent="0.2">
      <c r="A289"/>
      <c r="B289"/>
    </row>
    <row r="290" spans="1:2" x14ac:dyDescent="0.2">
      <c r="A290"/>
      <c r="B290"/>
    </row>
    <row r="291" spans="1:2" x14ac:dyDescent="0.2">
      <c r="A291"/>
      <c r="B291"/>
    </row>
    <row r="292" spans="1:2" x14ac:dyDescent="0.2">
      <c r="A292"/>
      <c r="B292"/>
    </row>
    <row r="293" spans="1:2" x14ac:dyDescent="0.2">
      <c r="A293"/>
      <c r="B293"/>
    </row>
    <row r="294" spans="1:2" x14ac:dyDescent="0.2">
      <c r="A294"/>
      <c r="B294"/>
    </row>
    <row r="295" spans="1:2" x14ac:dyDescent="0.2">
      <c r="A295"/>
      <c r="B295"/>
    </row>
    <row r="296" spans="1:2" x14ac:dyDescent="0.2">
      <c r="A296"/>
      <c r="B296"/>
    </row>
    <row r="297" spans="1:2" x14ac:dyDescent="0.2">
      <c r="A297"/>
      <c r="B297"/>
    </row>
    <row r="298" spans="1:2" x14ac:dyDescent="0.2">
      <c r="A298"/>
      <c r="B298"/>
    </row>
    <row r="299" spans="1:2" x14ac:dyDescent="0.2">
      <c r="A299"/>
      <c r="B299"/>
    </row>
    <row r="300" spans="1:2" x14ac:dyDescent="0.2">
      <c r="A300"/>
      <c r="B300"/>
    </row>
    <row r="301" spans="1:2" x14ac:dyDescent="0.2">
      <c r="A301"/>
      <c r="B301"/>
    </row>
    <row r="302" spans="1:2" x14ac:dyDescent="0.2">
      <c r="A302"/>
      <c r="B302"/>
    </row>
    <row r="303" spans="1:2" x14ac:dyDescent="0.2">
      <c r="A303"/>
      <c r="B303"/>
    </row>
    <row r="304" spans="1:2" x14ac:dyDescent="0.2">
      <c r="A304"/>
      <c r="B304"/>
    </row>
    <row r="305" spans="1:2" x14ac:dyDescent="0.2">
      <c r="A305"/>
      <c r="B305"/>
    </row>
    <row r="306" spans="1:2" x14ac:dyDescent="0.2">
      <c r="A306"/>
      <c r="B306"/>
    </row>
    <row r="307" spans="1:2" x14ac:dyDescent="0.2">
      <c r="A307"/>
      <c r="B307"/>
    </row>
    <row r="308" spans="1:2" x14ac:dyDescent="0.2">
      <c r="A308"/>
      <c r="B308"/>
    </row>
    <row r="309" spans="1:2" x14ac:dyDescent="0.2">
      <c r="A309"/>
      <c r="B309"/>
    </row>
    <row r="310" spans="1:2" x14ac:dyDescent="0.2">
      <c r="A310"/>
      <c r="B310"/>
    </row>
    <row r="311" spans="1:2" x14ac:dyDescent="0.2">
      <c r="A311"/>
      <c r="B311"/>
    </row>
    <row r="312" spans="1:2" x14ac:dyDescent="0.2">
      <c r="A312"/>
      <c r="B312"/>
    </row>
    <row r="313" spans="1:2" x14ac:dyDescent="0.2">
      <c r="A313"/>
      <c r="B313"/>
    </row>
    <row r="314" spans="1:2" x14ac:dyDescent="0.2">
      <c r="A314"/>
      <c r="B314"/>
    </row>
    <row r="315" spans="1:2" x14ac:dyDescent="0.2">
      <c r="A315"/>
      <c r="B315"/>
    </row>
    <row r="316" spans="1:2" x14ac:dyDescent="0.2">
      <c r="A316"/>
      <c r="B316"/>
    </row>
    <row r="317" spans="1:2" x14ac:dyDescent="0.2">
      <c r="A317"/>
      <c r="B317"/>
    </row>
    <row r="318" spans="1:2" x14ac:dyDescent="0.2">
      <c r="A318"/>
      <c r="B318"/>
    </row>
    <row r="319" spans="1:2" x14ac:dyDescent="0.2">
      <c r="A319"/>
      <c r="B319"/>
    </row>
    <row r="320" spans="1:2" x14ac:dyDescent="0.2">
      <c r="A320"/>
      <c r="B320"/>
    </row>
    <row r="321" spans="1:2" x14ac:dyDescent="0.2">
      <c r="A321"/>
      <c r="B321"/>
    </row>
    <row r="322" spans="1:2" x14ac:dyDescent="0.2">
      <c r="A322"/>
      <c r="B322"/>
    </row>
    <row r="323" spans="1:2" x14ac:dyDescent="0.2">
      <c r="A323"/>
      <c r="B323"/>
    </row>
    <row r="324" spans="1:2" x14ac:dyDescent="0.2">
      <c r="A324"/>
      <c r="B324"/>
    </row>
    <row r="325" spans="1:2" x14ac:dyDescent="0.2">
      <c r="A325"/>
      <c r="B325"/>
    </row>
    <row r="326" spans="1:2" x14ac:dyDescent="0.2">
      <c r="A326"/>
      <c r="B326"/>
    </row>
    <row r="327" spans="1:2" x14ac:dyDescent="0.2">
      <c r="A327"/>
      <c r="B327"/>
    </row>
    <row r="328" spans="1:2" x14ac:dyDescent="0.2">
      <c r="A328"/>
      <c r="B328"/>
    </row>
    <row r="329" spans="1:2" x14ac:dyDescent="0.2">
      <c r="A329"/>
      <c r="B329"/>
    </row>
    <row r="330" spans="1:2" x14ac:dyDescent="0.2">
      <c r="A330"/>
      <c r="B330"/>
    </row>
    <row r="331" spans="1:2" x14ac:dyDescent="0.2">
      <c r="A331"/>
      <c r="B331"/>
    </row>
    <row r="332" spans="1:2" x14ac:dyDescent="0.2">
      <c r="A332"/>
      <c r="B332"/>
    </row>
    <row r="333" spans="1:2" x14ac:dyDescent="0.2">
      <c r="A333"/>
      <c r="B333"/>
    </row>
    <row r="334" spans="1:2" x14ac:dyDescent="0.2">
      <c r="A334"/>
      <c r="B334"/>
    </row>
    <row r="335" spans="1:2" x14ac:dyDescent="0.2">
      <c r="A335"/>
      <c r="B335"/>
    </row>
    <row r="336" spans="1:2" x14ac:dyDescent="0.2">
      <c r="A336"/>
      <c r="B336"/>
    </row>
    <row r="337" spans="1:2" x14ac:dyDescent="0.2">
      <c r="A337"/>
      <c r="B337"/>
    </row>
    <row r="338" spans="1:2" x14ac:dyDescent="0.2">
      <c r="A338"/>
      <c r="B338"/>
    </row>
    <row r="339" spans="1:2" x14ac:dyDescent="0.2">
      <c r="A339"/>
      <c r="B339"/>
    </row>
    <row r="340" spans="1:2" x14ac:dyDescent="0.2">
      <c r="A340"/>
      <c r="B340"/>
    </row>
    <row r="341" spans="1:2" x14ac:dyDescent="0.2">
      <c r="A341"/>
      <c r="B341"/>
    </row>
    <row r="342" spans="1:2" x14ac:dyDescent="0.2">
      <c r="A342"/>
      <c r="B342"/>
    </row>
    <row r="343" spans="1:2" x14ac:dyDescent="0.2">
      <c r="A343"/>
      <c r="B343"/>
    </row>
    <row r="344" spans="1:2" x14ac:dyDescent="0.2">
      <c r="A344"/>
      <c r="B344"/>
    </row>
    <row r="345" spans="1:2" x14ac:dyDescent="0.2">
      <c r="A345"/>
      <c r="B345"/>
    </row>
    <row r="346" spans="1:2" x14ac:dyDescent="0.2">
      <c r="A346"/>
      <c r="B346"/>
    </row>
    <row r="347" spans="1:2" x14ac:dyDescent="0.2">
      <c r="A347"/>
      <c r="B347"/>
    </row>
    <row r="348" spans="1:2" x14ac:dyDescent="0.2">
      <c r="A348"/>
      <c r="B348"/>
    </row>
    <row r="349" spans="1:2" x14ac:dyDescent="0.2">
      <c r="A349"/>
      <c r="B349"/>
    </row>
    <row r="350" spans="1:2" x14ac:dyDescent="0.2">
      <c r="A350"/>
      <c r="B350"/>
    </row>
    <row r="351" spans="1:2" x14ac:dyDescent="0.2">
      <c r="A351"/>
      <c r="B351"/>
    </row>
    <row r="352" spans="1:2" x14ac:dyDescent="0.2">
      <c r="A352"/>
      <c r="B352"/>
    </row>
    <row r="353" spans="1:2" x14ac:dyDescent="0.2">
      <c r="A353"/>
      <c r="B353"/>
    </row>
    <row r="354" spans="1:2" x14ac:dyDescent="0.2">
      <c r="A354"/>
      <c r="B354"/>
    </row>
    <row r="355" spans="1:2" x14ac:dyDescent="0.2">
      <c r="A355"/>
      <c r="B355"/>
    </row>
    <row r="356" spans="1:2" x14ac:dyDescent="0.2">
      <c r="A356"/>
      <c r="B356"/>
    </row>
    <row r="357" spans="1:2" x14ac:dyDescent="0.2">
      <c r="A357"/>
      <c r="B357"/>
    </row>
    <row r="358" spans="1:2" x14ac:dyDescent="0.2">
      <c r="A358"/>
      <c r="B358"/>
    </row>
    <row r="359" spans="1:2" x14ac:dyDescent="0.2">
      <c r="A359"/>
      <c r="B359"/>
    </row>
    <row r="360" spans="1:2" x14ac:dyDescent="0.2">
      <c r="A360"/>
      <c r="B360"/>
    </row>
    <row r="361" spans="1:2" x14ac:dyDescent="0.2">
      <c r="A361"/>
      <c r="B361"/>
    </row>
    <row r="362" spans="1:2" x14ac:dyDescent="0.2">
      <c r="A362"/>
      <c r="B362"/>
    </row>
    <row r="363" spans="1:2" x14ac:dyDescent="0.2">
      <c r="A363"/>
      <c r="B363"/>
    </row>
    <row r="364" spans="1:2" x14ac:dyDescent="0.2">
      <c r="A364"/>
      <c r="B364"/>
    </row>
    <row r="365" spans="1:2" x14ac:dyDescent="0.2">
      <c r="A365"/>
      <c r="B365"/>
    </row>
    <row r="366" spans="1:2" x14ac:dyDescent="0.2">
      <c r="A366"/>
      <c r="B366"/>
    </row>
    <row r="367" spans="1:2" x14ac:dyDescent="0.2">
      <c r="A367"/>
      <c r="B367"/>
    </row>
    <row r="368" spans="1:2" x14ac:dyDescent="0.2">
      <c r="A368"/>
      <c r="B368"/>
    </row>
    <row r="369" spans="1:2" x14ac:dyDescent="0.2">
      <c r="A369"/>
      <c r="B369"/>
    </row>
    <row r="370" spans="1:2" x14ac:dyDescent="0.2">
      <c r="A370"/>
      <c r="B370"/>
    </row>
    <row r="371" spans="1:2" x14ac:dyDescent="0.2">
      <c r="A371"/>
      <c r="B371"/>
    </row>
    <row r="372" spans="1:2" x14ac:dyDescent="0.2">
      <c r="A372"/>
      <c r="B372"/>
    </row>
    <row r="373" spans="1:2" x14ac:dyDescent="0.2">
      <c r="A373"/>
      <c r="B373"/>
    </row>
    <row r="374" spans="1:2" x14ac:dyDescent="0.2">
      <c r="A374"/>
      <c r="B374"/>
    </row>
    <row r="375" spans="1:2" x14ac:dyDescent="0.2">
      <c r="A375"/>
      <c r="B375"/>
    </row>
    <row r="376" spans="1:2" x14ac:dyDescent="0.2">
      <c r="A376"/>
      <c r="B376"/>
    </row>
    <row r="377" spans="1:2" x14ac:dyDescent="0.2">
      <c r="A377"/>
      <c r="B377"/>
    </row>
    <row r="378" spans="1:2" x14ac:dyDescent="0.2">
      <c r="A378"/>
      <c r="B378"/>
    </row>
    <row r="379" spans="1:2" x14ac:dyDescent="0.2">
      <c r="A379"/>
      <c r="B379"/>
    </row>
    <row r="380" spans="1:2" x14ac:dyDescent="0.2">
      <c r="A380"/>
      <c r="B380"/>
    </row>
    <row r="381" spans="1:2" x14ac:dyDescent="0.2">
      <c r="A381"/>
      <c r="B381"/>
    </row>
    <row r="382" spans="1:2" x14ac:dyDescent="0.2">
      <c r="A382"/>
      <c r="B382"/>
    </row>
    <row r="383" spans="1:2" x14ac:dyDescent="0.2">
      <c r="A383"/>
      <c r="B383"/>
    </row>
    <row r="384" spans="1:2" x14ac:dyDescent="0.2">
      <c r="A384"/>
      <c r="B384"/>
    </row>
    <row r="385" spans="1:2" x14ac:dyDescent="0.2">
      <c r="A385"/>
      <c r="B385"/>
    </row>
    <row r="386" spans="1:2" x14ac:dyDescent="0.2">
      <c r="A386"/>
      <c r="B386"/>
    </row>
    <row r="387" spans="1:2" x14ac:dyDescent="0.2">
      <c r="A387"/>
      <c r="B387"/>
    </row>
    <row r="388" spans="1:2" x14ac:dyDescent="0.2">
      <c r="A388"/>
      <c r="B388"/>
    </row>
    <row r="389" spans="1:2" x14ac:dyDescent="0.2">
      <c r="A389"/>
      <c r="B389"/>
    </row>
    <row r="390" spans="1:2" x14ac:dyDescent="0.2">
      <c r="A390"/>
      <c r="B390"/>
    </row>
    <row r="391" spans="1:2" x14ac:dyDescent="0.2">
      <c r="A391"/>
      <c r="B391"/>
    </row>
    <row r="392" spans="1:2" x14ac:dyDescent="0.2">
      <c r="A392"/>
      <c r="B392"/>
    </row>
    <row r="393" spans="1:2" x14ac:dyDescent="0.2">
      <c r="A393"/>
      <c r="B393"/>
    </row>
    <row r="394" spans="1:2" x14ac:dyDescent="0.2">
      <c r="A394"/>
      <c r="B394"/>
    </row>
    <row r="395" spans="1:2" x14ac:dyDescent="0.2">
      <c r="A395"/>
      <c r="B395"/>
    </row>
    <row r="396" spans="1:2" x14ac:dyDescent="0.2">
      <c r="A396"/>
      <c r="B396"/>
    </row>
    <row r="397" spans="1:2" x14ac:dyDescent="0.2">
      <c r="A397"/>
      <c r="B397"/>
    </row>
    <row r="398" spans="1:2" x14ac:dyDescent="0.2">
      <c r="A398"/>
      <c r="B398"/>
    </row>
    <row r="399" spans="1:2" x14ac:dyDescent="0.2">
      <c r="A399"/>
      <c r="B399"/>
    </row>
    <row r="400" spans="1:2" x14ac:dyDescent="0.2">
      <c r="A400"/>
      <c r="B400"/>
    </row>
    <row r="401" spans="1:2" x14ac:dyDescent="0.2">
      <c r="A401"/>
      <c r="B401"/>
    </row>
    <row r="402" spans="1:2" x14ac:dyDescent="0.2">
      <c r="A402"/>
      <c r="B402"/>
    </row>
    <row r="403" spans="1:2" x14ac:dyDescent="0.2">
      <c r="A403"/>
      <c r="B403"/>
    </row>
    <row r="404" spans="1:2" x14ac:dyDescent="0.2">
      <c r="A404"/>
      <c r="B404"/>
    </row>
    <row r="405" spans="1:2" x14ac:dyDescent="0.2">
      <c r="A405"/>
      <c r="B405"/>
    </row>
    <row r="406" spans="1:2" x14ac:dyDescent="0.2">
      <c r="A406"/>
      <c r="B406"/>
    </row>
    <row r="407" spans="1:2" x14ac:dyDescent="0.2">
      <c r="A407"/>
      <c r="B407"/>
    </row>
    <row r="408" spans="1:2" x14ac:dyDescent="0.2">
      <c r="A408"/>
      <c r="B408"/>
    </row>
    <row r="409" spans="1:2" x14ac:dyDescent="0.2">
      <c r="A409"/>
      <c r="B409"/>
    </row>
    <row r="410" spans="1:2" x14ac:dyDescent="0.2">
      <c r="A410"/>
      <c r="B410"/>
    </row>
    <row r="411" spans="1:2" x14ac:dyDescent="0.2">
      <c r="A411"/>
      <c r="B411"/>
    </row>
    <row r="412" spans="1:2" x14ac:dyDescent="0.2">
      <c r="A412"/>
      <c r="B412"/>
    </row>
    <row r="413" spans="1:2" x14ac:dyDescent="0.2">
      <c r="A413"/>
      <c r="B413"/>
    </row>
    <row r="414" spans="1:2" x14ac:dyDescent="0.2">
      <c r="A414"/>
      <c r="B414"/>
    </row>
    <row r="415" spans="1:2" x14ac:dyDescent="0.2">
      <c r="A415"/>
      <c r="B415"/>
    </row>
    <row r="416" spans="1:2" x14ac:dyDescent="0.2">
      <c r="A416"/>
      <c r="B416"/>
    </row>
    <row r="417" spans="1:2" x14ac:dyDescent="0.2">
      <c r="A417"/>
      <c r="B417"/>
    </row>
    <row r="418" spans="1:2" x14ac:dyDescent="0.2">
      <c r="A418"/>
      <c r="B418"/>
    </row>
    <row r="419" spans="1:2" x14ac:dyDescent="0.2">
      <c r="A419"/>
      <c r="B419"/>
    </row>
    <row r="420" spans="1:2" x14ac:dyDescent="0.2">
      <c r="A420"/>
      <c r="B420"/>
    </row>
    <row r="421" spans="1:2" x14ac:dyDescent="0.2">
      <c r="A421"/>
      <c r="B421"/>
    </row>
    <row r="422" spans="1:2" x14ac:dyDescent="0.2">
      <c r="A422"/>
      <c r="B422"/>
    </row>
    <row r="423" spans="1:2" x14ac:dyDescent="0.2">
      <c r="A423"/>
      <c r="B423"/>
    </row>
    <row r="424" spans="1:2" x14ac:dyDescent="0.2">
      <c r="A424"/>
      <c r="B424"/>
    </row>
    <row r="425" spans="1:2" x14ac:dyDescent="0.2">
      <c r="A425"/>
      <c r="B425"/>
    </row>
    <row r="426" spans="1:2" x14ac:dyDescent="0.2">
      <c r="A426"/>
      <c r="B426"/>
    </row>
    <row r="427" spans="1:2" x14ac:dyDescent="0.2">
      <c r="A427"/>
      <c r="B427"/>
    </row>
    <row r="428" spans="1:2" x14ac:dyDescent="0.2">
      <c r="A428"/>
      <c r="B428"/>
    </row>
    <row r="429" spans="1:2" x14ac:dyDescent="0.2">
      <c r="A429"/>
      <c r="B429"/>
    </row>
    <row r="430" spans="1:2" x14ac:dyDescent="0.2">
      <c r="A430"/>
      <c r="B430"/>
    </row>
    <row r="431" spans="1:2" x14ac:dyDescent="0.2">
      <c r="A431"/>
      <c r="B431"/>
    </row>
    <row r="432" spans="1:2" x14ac:dyDescent="0.2">
      <c r="A432"/>
      <c r="B432"/>
    </row>
    <row r="433" spans="1:2" x14ac:dyDescent="0.2">
      <c r="A433"/>
      <c r="B433"/>
    </row>
    <row r="434" spans="1:2" x14ac:dyDescent="0.2">
      <c r="A434"/>
      <c r="B434"/>
    </row>
    <row r="435" spans="1:2" x14ac:dyDescent="0.2">
      <c r="A435"/>
      <c r="B435"/>
    </row>
    <row r="436" spans="1:2" x14ac:dyDescent="0.2">
      <c r="A436"/>
      <c r="B436"/>
    </row>
    <row r="437" spans="1:2" x14ac:dyDescent="0.2">
      <c r="A437"/>
      <c r="B437"/>
    </row>
    <row r="438" spans="1:2" x14ac:dyDescent="0.2">
      <c r="A438"/>
      <c r="B438"/>
    </row>
    <row r="439" spans="1:2" x14ac:dyDescent="0.2">
      <c r="A439"/>
      <c r="B439"/>
    </row>
    <row r="440" spans="1:2" x14ac:dyDescent="0.2">
      <c r="A440"/>
      <c r="B440"/>
    </row>
    <row r="441" spans="1:2" x14ac:dyDescent="0.2">
      <c r="A441"/>
      <c r="B441"/>
    </row>
    <row r="442" spans="1:2" x14ac:dyDescent="0.2">
      <c r="A442"/>
      <c r="B442"/>
    </row>
    <row r="443" spans="1:2" x14ac:dyDescent="0.2">
      <c r="A443"/>
      <c r="B443"/>
    </row>
    <row r="444" spans="1:2" x14ac:dyDescent="0.2">
      <c r="A444"/>
      <c r="B444"/>
    </row>
    <row r="445" spans="1:2" x14ac:dyDescent="0.2">
      <c r="A445"/>
      <c r="B445"/>
    </row>
    <row r="446" spans="1:2" x14ac:dyDescent="0.2">
      <c r="A446"/>
      <c r="B446"/>
    </row>
    <row r="447" spans="1:2" x14ac:dyDescent="0.2">
      <c r="A447"/>
      <c r="B447"/>
    </row>
    <row r="448" spans="1:2" x14ac:dyDescent="0.2">
      <c r="A448"/>
      <c r="B448"/>
    </row>
    <row r="449" spans="1:2" x14ac:dyDescent="0.2">
      <c r="A449"/>
      <c r="B449"/>
    </row>
    <row r="450" spans="1:2" x14ac:dyDescent="0.2">
      <c r="A450"/>
      <c r="B450"/>
    </row>
    <row r="451" spans="1:2" x14ac:dyDescent="0.2">
      <c r="A451"/>
      <c r="B451"/>
    </row>
    <row r="452" spans="1:2" x14ac:dyDescent="0.2">
      <c r="A452"/>
      <c r="B452"/>
    </row>
    <row r="453" spans="1:2" x14ac:dyDescent="0.2">
      <c r="A453"/>
      <c r="B453"/>
    </row>
    <row r="454" spans="1:2" x14ac:dyDescent="0.2">
      <c r="A454"/>
      <c r="B454"/>
    </row>
    <row r="455" spans="1:2" x14ac:dyDescent="0.2">
      <c r="A455"/>
      <c r="B455"/>
    </row>
    <row r="456" spans="1:2" x14ac:dyDescent="0.2">
      <c r="A456"/>
      <c r="B456"/>
    </row>
    <row r="457" spans="1:2" x14ac:dyDescent="0.2">
      <c r="A457"/>
      <c r="B457"/>
    </row>
    <row r="458" spans="1:2" x14ac:dyDescent="0.2">
      <c r="A458"/>
      <c r="B458"/>
    </row>
    <row r="459" spans="1:2" x14ac:dyDescent="0.2">
      <c r="A459"/>
      <c r="B459"/>
    </row>
    <row r="460" spans="1:2" x14ac:dyDescent="0.2">
      <c r="A460"/>
      <c r="B460"/>
    </row>
    <row r="461" spans="1:2" x14ac:dyDescent="0.2">
      <c r="A461"/>
      <c r="B461"/>
    </row>
    <row r="462" spans="1:2" x14ac:dyDescent="0.2">
      <c r="A462"/>
      <c r="B462"/>
    </row>
    <row r="463" spans="1:2" x14ac:dyDescent="0.2">
      <c r="A463"/>
      <c r="B463"/>
    </row>
    <row r="464" spans="1:2" x14ac:dyDescent="0.2">
      <c r="A464"/>
      <c r="B464"/>
    </row>
    <row r="465" spans="1:2" x14ac:dyDescent="0.2">
      <c r="A465"/>
      <c r="B465"/>
    </row>
    <row r="466" spans="1:2" x14ac:dyDescent="0.2">
      <c r="A466"/>
      <c r="B466"/>
    </row>
    <row r="467" spans="1:2" x14ac:dyDescent="0.2">
      <c r="A467"/>
      <c r="B467"/>
    </row>
    <row r="468" spans="1:2" x14ac:dyDescent="0.2">
      <c r="A468"/>
      <c r="B468"/>
    </row>
    <row r="469" spans="1:2" x14ac:dyDescent="0.2">
      <c r="A469"/>
      <c r="B469"/>
    </row>
    <row r="470" spans="1:2" x14ac:dyDescent="0.2">
      <c r="A470"/>
      <c r="B470"/>
    </row>
    <row r="471" spans="1:2" x14ac:dyDescent="0.2">
      <c r="A471"/>
      <c r="B471"/>
    </row>
    <row r="472" spans="1:2" x14ac:dyDescent="0.2">
      <c r="A472"/>
      <c r="B472"/>
    </row>
    <row r="473" spans="1:2" x14ac:dyDescent="0.2">
      <c r="A473"/>
      <c r="B473"/>
    </row>
    <row r="474" spans="1:2" x14ac:dyDescent="0.2">
      <c r="A474"/>
      <c r="B474"/>
    </row>
    <row r="475" spans="1:2" x14ac:dyDescent="0.2">
      <c r="A475"/>
      <c r="B475"/>
    </row>
    <row r="476" spans="1:2" x14ac:dyDescent="0.2">
      <c r="A476"/>
      <c r="B476"/>
    </row>
    <row r="477" spans="1:2" x14ac:dyDescent="0.2">
      <c r="A477"/>
      <c r="B477"/>
    </row>
    <row r="478" spans="1:2" x14ac:dyDescent="0.2">
      <c r="A478"/>
      <c r="B478"/>
    </row>
    <row r="479" spans="1:2" x14ac:dyDescent="0.2">
      <c r="A479"/>
      <c r="B479"/>
    </row>
    <row r="480" spans="1:2" x14ac:dyDescent="0.2">
      <c r="A480"/>
      <c r="B480"/>
    </row>
    <row r="481" spans="1:2" x14ac:dyDescent="0.2">
      <c r="A481"/>
      <c r="B481"/>
    </row>
    <row r="482" spans="1:2" x14ac:dyDescent="0.2">
      <c r="A482"/>
      <c r="B482"/>
    </row>
    <row r="483" spans="1:2" x14ac:dyDescent="0.2">
      <c r="A483"/>
      <c r="B483"/>
    </row>
    <row r="484" spans="1:2" x14ac:dyDescent="0.2">
      <c r="A484"/>
      <c r="B484"/>
    </row>
    <row r="485" spans="1:2" x14ac:dyDescent="0.2">
      <c r="A485"/>
      <c r="B485"/>
    </row>
    <row r="486" spans="1:2" x14ac:dyDescent="0.2">
      <c r="A486"/>
      <c r="B486"/>
    </row>
    <row r="487" spans="1:2" x14ac:dyDescent="0.2">
      <c r="A487"/>
      <c r="B487"/>
    </row>
    <row r="488" spans="1:2" x14ac:dyDescent="0.2">
      <c r="A488"/>
      <c r="B488"/>
    </row>
    <row r="489" spans="1:2" x14ac:dyDescent="0.2">
      <c r="A489"/>
      <c r="B489"/>
    </row>
    <row r="490" spans="1:2" x14ac:dyDescent="0.2">
      <c r="A490"/>
      <c r="B490"/>
    </row>
    <row r="491" spans="1:2" x14ac:dyDescent="0.2">
      <c r="A491"/>
      <c r="B491"/>
    </row>
    <row r="492" spans="1:2" x14ac:dyDescent="0.2">
      <c r="A492"/>
      <c r="B492"/>
    </row>
    <row r="493" spans="1:2" x14ac:dyDescent="0.2">
      <c r="A493"/>
      <c r="B493"/>
    </row>
    <row r="494" spans="1:2" x14ac:dyDescent="0.2">
      <c r="A494"/>
      <c r="B494"/>
    </row>
    <row r="495" spans="1:2" x14ac:dyDescent="0.2">
      <c r="A495"/>
      <c r="B495"/>
    </row>
    <row r="496" spans="1:2" x14ac:dyDescent="0.2">
      <c r="A496"/>
      <c r="B496"/>
    </row>
    <row r="497" spans="1:2" x14ac:dyDescent="0.2">
      <c r="A497"/>
      <c r="B497"/>
    </row>
    <row r="498" spans="1:2" x14ac:dyDescent="0.2">
      <c r="A498"/>
      <c r="B498"/>
    </row>
    <row r="499" spans="1:2" x14ac:dyDescent="0.2">
      <c r="A499"/>
      <c r="B499"/>
    </row>
    <row r="500" spans="1:2" x14ac:dyDescent="0.2">
      <c r="A500"/>
      <c r="B500"/>
    </row>
    <row r="501" spans="1:2" x14ac:dyDescent="0.2">
      <c r="A501"/>
      <c r="B501"/>
    </row>
    <row r="502" spans="1:2" x14ac:dyDescent="0.2">
      <c r="A502"/>
      <c r="B502"/>
    </row>
    <row r="503" spans="1:2" x14ac:dyDescent="0.2">
      <c r="A503"/>
      <c r="B503"/>
    </row>
    <row r="504" spans="1:2" x14ac:dyDescent="0.2">
      <c r="A504"/>
      <c r="B504"/>
    </row>
    <row r="505" spans="1:2" x14ac:dyDescent="0.2">
      <c r="A505"/>
      <c r="B505"/>
    </row>
    <row r="506" spans="1:2" x14ac:dyDescent="0.2">
      <c r="A506"/>
      <c r="B506"/>
    </row>
    <row r="507" spans="1:2" x14ac:dyDescent="0.2">
      <c r="A507"/>
      <c r="B507"/>
    </row>
    <row r="508" spans="1:2" x14ac:dyDescent="0.2">
      <c r="A508"/>
      <c r="B508"/>
    </row>
    <row r="509" spans="1:2" x14ac:dyDescent="0.2">
      <c r="A509"/>
      <c r="B509"/>
    </row>
    <row r="510" spans="1:2" x14ac:dyDescent="0.2">
      <c r="A510"/>
      <c r="B510"/>
    </row>
    <row r="511" spans="1:2" x14ac:dyDescent="0.2">
      <c r="A511"/>
      <c r="B511"/>
    </row>
    <row r="512" spans="1:2" x14ac:dyDescent="0.2">
      <c r="A512"/>
      <c r="B512"/>
    </row>
    <row r="513" spans="1:2" x14ac:dyDescent="0.2">
      <c r="A513"/>
      <c r="B513"/>
    </row>
    <row r="514" spans="1:2" x14ac:dyDescent="0.2">
      <c r="A514"/>
      <c r="B514"/>
    </row>
    <row r="515" spans="1:2" x14ac:dyDescent="0.2">
      <c r="A515"/>
      <c r="B515"/>
    </row>
    <row r="516" spans="1:2" x14ac:dyDescent="0.2">
      <c r="A516"/>
      <c r="B516"/>
    </row>
    <row r="517" spans="1:2" x14ac:dyDescent="0.2">
      <c r="A517"/>
      <c r="B517"/>
    </row>
    <row r="518" spans="1:2" x14ac:dyDescent="0.2">
      <c r="A518"/>
      <c r="B518"/>
    </row>
    <row r="519" spans="1:2" x14ac:dyDescent="0.2">
      <c r="A519"/>
      <c r="B519"/>
    </row>
    <row r="520" spans="1:2" x14ac:dyDescent="0.2">
      <c r="A520"/>
      <c r="B520"/>
    </row>
    <row r="521" spans="1:2" x14ac:dyDescent="0.2">
      <c r="A521"/>
      <c r="B521"/>
    </row>
    <row r="522" spans="1:2" x14ac:dyDescent="0.2">
      <c r="A522"/>
      <c r="B522"/>
    </row>
    <row r="523" spans="1:2" x14ac:dyDescent="0.2">
      <c r="A523"/>
      <c r="B523"/>
    </row>
    <row r="524" spans="1:2" x14ac:dyDescent="0.2">
      <c r="A524"/>
      <c r="B524"/>
    </row>
    <row r="525" spans="1:2" x14ac:dyDescent="0.2">
      <c r="A525"/>
      <c r="B525"/>
    </row>
    <row r="526" spans="1:2" x14ac:dyDescent="0.2">
      <c r="A526"/>
      <c r="B526"/>
    </row>
    <row r="527" spans="1:2" x14ac:dyDescent="0.2">
      <c r="A527"/>
      <c r="B527"/>
    </row>
    <row r="528" spans="1:2" x14ac:dyDescent="0.2">
      <c r="A528"/>
      <c r="B528"/>
    </row>
    <row r="529" spans="1:2" x14ac:dyDescent="0.2">
      <c r="A529"/>
      <c r="B529"/>
    </row>
    <row r="530" spans="1:2" x14ac:dyDescent="0.2">
      <c r="A530"/>
      <c r="B530"/>
    </row>
    <row r="531" spans="1:2" x14ac:dyDescent="0.2">
      <c r="A531"/>
      <c r="B531"/>
    </row>
    <row r="532" spans="1:2" x14ac:dyDescent="0.2">
      <c r="A532"/>
      <c r="B532"/>
    </row>
    <row r="533" spans="1:2" x14ac:dyDescent="0.2">
      <c r="A533"/>
      <c r="B533"/>
    </row>
    <row r="534" spans="1:2" x14ac:dyDescent="0.2">
      <c r="A534"/>
      <c r="B534"/>
    </row>
    <row r="535" spans="1:2" x14ac:dyDescent="0.2">
      <c r="A535"/>
      <c r="B535"/>
    </row>
    <row r="536" spans="1:2" x14ac:dyDescent="0.2">
      <c r="A536"/>
      <c r="B536"/>
    </row>
    <row r="537" spans="1:2" x14ac:dyDescent="0.2">
      <c r="A537"/>
      <c r="B537"/>
    </row>
    <row r="538" spans="1:2" x14ac:dyDescent="0.2">
      <c r="A538"/>
      <c r="B538"/>
    </row>
    <row r="539" spans="1:2" x14ac:dyDescent="0.2">
      <c r="A539"/>
      <c r="B539"/>
    </row>
    <row r="540" spans="1:2" x14ac:dyDescent="0.2">
      <c r="A540"/>
      <c r="B540"/>
    </row>
    <row r="541" spans="1:2" x14ac:dyDescent="0.2">
      <c r="A541"/>
      <c r="B541"/>
    </row>
    <row r="542" spans="1:2" x14ac:dyDescent="0.2">
      <c r="A542"/>
      <c r="B542"/>
    </row>
    <row r="543" spans="1:2" x14ac:dyDescent="0.2">
      <c r="A543"/>
      <c r="B543"/>
    </row>
    <row r="544" spans="1:2" x14ac:dyDescent="0.2">
      <c r="A544"/>
      <c r="B544"/>
    </row>
    <row r="545" spans="1:2" x14ac:dyDescent="0.2">
      <c r="A545"/>
      <c r="B545"/>
    </row>
    <row r="546" spans="1:2" x14ac:dyDescent="0.2">
      <c r="A546"/>
      <c r="B546"/>
    </row>
    <row r="547" spans="1:2" x14ac:dyDescent="0.2">
      <c r="A547"/>
      <c r="B547"/>
    </row>
    <row r="548" spans="1:2" x14ac:dyDescent="0.2">
      <c r="A548"/>
      <c r="B548"/>
    </row>
    <row r="549" spans="1:2" x14ac:dyDescent="0.2">
      <c r="A549"/>
      <c r="B549"/>
    </row>
    <row r="550" spans="1:2" x14ac:dyDescent="0.2">
      <c r="A550"/>
      <c r="B550"/>
    </row>
    <row r="551" spans="1:2" x14ac:dyDescent="0.2">
      <c r="A551"/>
      <c r="B551"/>
    </row>
    <row r="552" spans="1:2" x14ac:dyDescent="0.2">
      <c r="A552"/>
      <c r="B552"/>
    </row>
    <row r="553" spans="1:2" x14ac:dyDescent="0.2">
      <c r="A553"/>
      <c r="B553"/>
    </row>
    <row r="554" spans="1:2" x14ac:dyDescent="0.2">
      <c r="A554"/>
      <c r="B554"/>
    </row>
    <row r="555" spans="1:2" x14ac:dyDescent="0.2">
      <c r="A555"/>
      <c r="B555"/>
    </row>
    <row r="556" spans="1:2" x14ac:dyDescent="0.2">
      <c r="A556"/>
      <c r="B556"/>
    </row>
    <row r="557" spans="1:2" x14ac:dyDescent="0.2">
      <c r="A557"/>
      <c r="B557"/>
    </row>
    <row r="558" spans="1:2" x14ac:dyDescent="0.2">
      <c r="A558"/>
      <c r="B558"/>
    </row>
    <row r="559" spans="1:2" x14ac:dyDescent="0.2">
      <c r="A559"/>
      <c r="B559"/>
    </row>
    <row r="560" spans="1:2" x14ac:dyDescent="0.2">
      <c r="A560"/>
      <c r="B560"/>
    </row>
    <row r="561" spans="1:2" x14ac:dyDescent="0.2">
      <c r="A561"/>
      <c r="B561"/>
    </row>
    <row r="562" spans="1:2" x14ac:dyDescent="0.2">
      <c r="A562"/>
      <c r="B562"/>
    </row>
    <row r="563" spans="1:2" x14ac:dyDescent="0.2">
      <c r="A563"/>
      <c r="B563"/>
    </row>
    <row r="564" spans="1:2" x14ac:dyDescent="0.2">
      <c r="A564"/>
      <c r="B564"/>
    </row>
    <row r="565" spans="1:2" x14ac:dyDescent="0.2">
      <c r="A565"/>
      <c r="B565"/>
    </row>
    <row r="566" spans="1:2" x14ac:dyDescent="0.2">
      <c r="A566"/>
      <c r="B566"/>
    </row>
    <row r="567" spans="1:2" x14ac:dyDescent="0.2">
      <c r="A567"/>
      <c r="B567"/>
    </row>
    <row r="568" spans="1:2" x14ac:dyDescent="0.2">
      <c r="A568"/>
      <c r="B568"/>
    </row>
    <row r="569" spans="1:2" x14ac:dyDescent="0.2">
      <c r="A569"/>
      <c r="B569"/>
    </row>
    <row r="570" spans="1:2" x14ac:dyDescent="0.2">
      <c r="A570"/>
      <c r="B570"/>
    </row>
    <row r="571" spans="1:2" x14ac:dyDescent="0.2">
      <c r="A571"/>
      <c r="B571"/>
    </row>
    <row r="572" spans="1:2" x14ac:dyDescent="0.2">
      <c r="A572"/>
      <c r="B572"/>
    </row>
    <row r="573" spans="1:2" x14ac:dyDescent="0.2">
      <c r="A573"/>
      <c r="B573"/>
    </row>
    <row r="574" spans="1:2" x14ac:dyDescent="0.2">
      <c r="A574"/>
      <c r="B574"/>
    </row>
    <row r="575" spans="1:2" x14ac:dyDescent="0.2">
      <c r="A575"/>
      <c r="B575"/>
    </row>
    <row r="576" spans="1:2" x14ac:dyDescent="0.2">
      <c r="A576"/>
      <c r="B576"/>
    </row>
    <row r="577" spans="1:2" x14ac:dyDescent="0.2">
      <c r="A577"/>
      <c r="B577"/>
    </row>
    <row r="578" spans="1:2" x14ac:dyDescent="0.2">
      <c r="A578"/>
      <c r="B578"/>
    </row>
    <row r="579" spans="1:2" x14ac:dyDescent="0.2">
      <c r="A579"/>
      <c r="B579"/>
    </row>
    <row r="580" spans="1:2" x14ac:dyDescent="0.2">
      <c r="A580"/>
      <c r="B580"/>
    </row>
    <row r="581" spans="1:2" x14ac:dyDescent="0.2">
      <c r="A581"/>
      <c r="B581"/>
    </row>
    <row r="582" spans="1:2" x14ac:dyDescent="0.2">
      <c r="A582"/>
      <c r="B582"/>
    </row>
    <row r="583" spans="1:2" x14ac:dyDescent="0.2">
      <c r="A583"/>
      <c r="B583"/>
    </row>
    <row r="584" spans="1:2" x14ac:dyDescent="0.2">
      <c r="A584"/>
      <c r="B584"/>
    </row>
    <row r="585" spans="1:2" x14ac:dyDescent="0.2">
      <c r="A585"/>
      <c r="B585"/>
    </row>
    <row r="586" spans="1:2" x14ac:dyDescent="0.2">
      <c r="A586"/>
      <c r="B586"/>
    </row>
    <row r="587" spans="1:2" x14ac:dyDescent="0.2">
      <c r="A587"/>
      <c r="B587"/>
    </row>
    <row r="588" spans="1:2" x14ac:dyDescent="0.2">
      <c r="A588"/>
      <c r="B588"/>
    </row>
    <row r="589" spans="1:2" x14ac:dyDescent="0.2">
      <c r="A589"/>
      <c r="B589"/>
    </row>
    <row r="590" spans="1:2" x14ac:dyDescent="0.2">
      <c r="A590"/>
      <c r="B590"/>
    </row>
    <row r="591" spans="1:2" x14ac:dyDescent="0.2">
      <c r="A591"/>
      <c r="B591"/>
    </row>
    <row r="592" spans="1:2" x14ac:dyDescent="0.2">
      <c r="A592"/>
      <c r="B592"/>
    </row>
    <row r="593" spans="1:2" x14ac:dyDescent="0.2">
      <c r="A593"/>
      <c r="B593"/>
    </row>
    <row r="594" spans="1:2" x14ac:dyDescent="0.2">
      <c r="A594"/>
      <c r="B594"/>
    </row>
    <row r="595" spans="1:2" x14ac:dyDescent="0.2">
      <c r="A595"/>
      <c r="B595"/>
    </row>
    <row r="596" spans="1:2" x14ac:dyDescent="0.2">
      <c r="A596"/>
      <c r="B596"/>
    </row>
    <row r="597" spans="1:2" x14ac:dyDescent="0.2">
      <c r="A597"/>
      <c r="B597"/>
    </row>
    <row r="598" spans="1:2" x14ac:dyDescent="0.2">
      <c r="A598"/>
      <c r="B598"/>
    </row>
    <row r="599" spans="1:2" x14ac:dyDescent="0.2">
      <c r="A599"/>
      <c r="B599"/>
    </row>
    <row r="600" spans="1:2" x14ac:dyDescent="0.2">
      <c r="A600"/>
      <c r="B600"/>
    </row>
    <row r="601" spans="1:2" x14ac:dyDescent="0.2">
      <c r="A601"/>
      <c r="B601"/>
    </row>
    <row r="602" spans="1:2" x14ac:dyDescent="0.2">
      <c r="A602"/>
      <c r="B602"/>
    </row>
    <row r="603" spans="1:2" x14ac:dyDescent="0.2">
      <c r="A603"/>
      <c r="B603"/>
    </row>
    <row r="604" spans="1:2" x14ac:dyDescent="0.2">
      <c r="A604"/>
      <c r="B604"/>
    </row>
    <row r="605" spans="1:2" x14ac:dyDescent="0.2">
      <c r="A605"/>
      <c r="B605"/>
    </row>
    <row r="606" spans="1:2" x14ac:dyDescent="0.2">
      <c r="A606"/>
      <c r="B606"/>
    </row>
    <row r="607" spans="1:2" x14ac:dyDescent="0.2">
      <c r="A607"/>
      <c r="B607"/>
    </row>
    <row r="608" spans="1:2" x14ac:dyDescent="0.2">
      <c r="A608"/>
      <c r="B608"/>
    </row>
    <row r="609" spans="1:2" x14ac:dyDescent="0.2">
      <c r="A609"/>
      <c r="B609"/>
    </row>
    <row r="610" spans="1:2" x14ac:dyDescent="0.2">
      <c r="A610"/>
      <c r="B610"/>
    </row>
    <row r="611" spans="1:2" x14ac:dyDescent="0.2">
      <c r="A611"/>
      <c r="B611"/>
    </row>
    <row r="612" spans="1:2" x14ac:dyDescent="0.2">
      <c r="A612"/>
      <c r="B612"/>
    </row>
    <row r="613" spans="1:2" x14ac:dyDescent="0.2">
      <c r="A613"/>
      <c r="B613"/>
    </row>
    <row r="614" spans="1:2" x14ac:dyDescent="0.2">
      <c r="A614"/>
      <c r="B614"/>
    </row>
    <row r="615" spans="1:2" x14ac:dyDescent="0.2">
      <c r="A615"/>
      <c r="B615"/>
    </row>
    <row r="616" spans="1:2" x14ac:dyDescent="0.2">
      <c r="A616"/>
      <c r="B616"/>
    </row>
    <row r="617" spans="1:2" x14ac:dyDescent="0.2">
      <c r="A617"/>
      <c r="B617"/>
    </row>
    <row r="618" spans="1:2" x14ac:dyDescent="0.2">
      <c r="A618"/>
      <c r="B618"/>
    </row>
    <row r="619" spans="1:2" x14ac:dyDescent="0.2">
      <c r="A619"/>
      <c r="B619"/>
    </row>
    <row r="620" spans="1:2" x14ac:dyDescent="0.2">
      <c r="A620"/>
      <c r="B620"/>
    </row>
    <row r="621" spans="1:2" x14ac:dyDescent="0.2">
      <c r="A621"/>
      <c r="B621"/>
    </row>
    <row r="622" spans="1:2" x14ac:dyDescent="0.2">
      <c r="A622"/>
      <c r="B622"/>
    </row>
    <row r="623" spans="1:2" x14ac:dyDescent="0.2">
      <c r="A623"/>
      <c r="B623"/>
    </row>
    <row r="624" spans="1:2" x14ac:dyDescent="0.2">
      <c r="A624"/>
      <c r="B624"/>
    </row>
    <row r="625" spans="1:2" x14ac:dyDescent="0.2">
      <c r="A625"/>
      <c r="B625"/>
    </row>
    <row r="626" spans="1:2" x14ac:dyDescent="0.2">
      <c r="A626"/>
      <c r="B626"/>
    </row>
    <row r="627" spans="1:2" x14ac:dyDescent="0.2">
      <c r="A627"/>
      <c r="B627"/>
    </row>
    <row r="628" spans="1:2" x14ac:dyDescent="0.2">
      <c r="A628"/>
      <c r="B628"/>
    </row>
    <row r="629" spans="1:2" x14ac:dyDescent="0.2">
      <c r="A629"/>
      <c r="B629"/>
    </row>
    <row r="630" spans="1:2" x14ac:dyDescent="0.2">
      <c r="A630"/>
      <c r="B630"/>
    </row>
    <row r="631" spans="1:2" x14ac:dyDescent="0.2">
      <c r="A631"/>
      <c r="B631"/>
    </row>
    <row r="632" spans="1:2" x14ac:dyDescent="0.2">
      <c r="A632"/>
      <c r="B632"/>
    </row>
    <row r="633" spans="1:2" x14ac:dyDescent="0.2">
      <c r="A633"/>
      <c r="B633"/>
    </row>
    <row r="634" spans="1:2" x14ac:dyDescent="0.2">
      <c r="A634"/>
      <c r="B634"/>
    </row>
    <row r="635" spans="1:2" x14ac:dyDescent="0.2">
      <c r="A635"/>
      <c r="B635"/>
    </row>
    <row r="636" spans="1:2" x14ac:dyDescent="0.2">
      <c r="A636"/>
      <c r="B636"/>
    </row>
    <row r="637" spans="1:2" x14ac:dyDescent="0.2">
      <c r="A637"/>
      <c r="B637"/>
    </row>
    <row r="638" spans="1:2" x14ac:dyDescent="0.2">
      <c r="A638"/>
      <c r="B638"/>
    </row>
    <row r="639" spans="1:2" x14ac:dyDescent="0.2">
      <c r="A639"/>
      <c r="B639"/>
    </row>
    <row r="640" spans="1:2" x14ac:dyDescent="0.2">
      <c r="A640"/>
      <c r="B640"/>
    </row>
    <row r="641" spans="1:2" x14ac:dyDescent="0.2">
      <c r="A641"/>
      <c r="B641"/>
    </row>
    <row r="642" spans="1:2" x14ac:dyDescent="0.2">
      <c r="A642"/>
      <c r="B642"/>
    </row>
    <row r="643" spans="1:2" x14ac:dyDescent="0.2">
      <c r="A643"/>
      <c r="B643"/>
    </row>
    <row r="644" spans="1:2" x14ac:dyDescent="0.2">
      <c r="A644"/>
      <c r="B644"/>
    </row>
    <row r="645" spans="1:2" x14ac:dyDescent="0.2">
      <c r="A645"/>
      <c r="B645"/>
    </row>
    <row r="646" spans="1:2" x14ac:dyDescent="0.2">
      <c r="A646"/>
      <c r="B646"/>
    </row>
    <row r="647" spans="1:2" x14ac:dyDescent="0.2">
      <c r="A647"/>
      <c r="B647"/>
    </row>
    <row r="648" spans="1:2" x14ac:dyDescent="0.2">
      <c r="A648"/>
      <c r="B648"/>
    </row>
    <row r="649" spans="1:2" x14ac:dyDescent="0.2">
      <c r="A649"/>
      <c r="B649"/>
    </row>
    <row r="650" spans="1:2" x14ac:dyDescent="0.2">
      <c r="A650"/>
      <c r="B650"/>
    </row>
    <row r="651" spans="1:2" x14ac:dyDescent="0.2">
      <c r="A651"/>
      <c r="B651"/>
    </row>
    <row r="652" spans="1:2" x14ac:dyDescent="0.2">
      <c r="A652"/>
      <c r="B652"/>
    </row>
    <row r="653" spans="1:2" x14ac:dyDescent="0.2">
      <c r="A653"/>
      <c r="B653"/>
    </row>
    <row r="654" spans="1:2" x14ac:dyDescent="0.2">
      <c r="A654"/>
      <c r="B654"/>
    </row>
    <row r="655" spans="1:2" x14ac:dyDescent="0.2">
      <c r="A655"/>
      <c r="B655"/>
    </row>
    <row r="656" spans="1:2" x14ac:dyDescent="0.2">
      <c r="A656"/>
      <c r="B656"/>
    </row>
    <row r="657" spans="1:2" x14ac:dyDescent="0.2">
      <c r="A657"/>
      <c r="B657"/>
    </row>
    <row r="658" spans="1:2" x14ac:dyDescent="0.2">
      <c r="A658"/>
      <c r="B658"/>
    </row>
    <row r="659" spans="1:2" x14ac:dyDescent="0.2">
      <c r="A659"/>
      <c r="B659"/>
    </row>
    <row r="660" spans="1:2" x14ac:dyDescent="0.2">
      <c r="A660"/>
      <c r="B660"/>
    </row>
    <row r="661" spans="1:2" x14ac:dyDescent="0.2">
      <c r="A661"/>
      <c r="B661"/>
    </row>
    <row r="662" spans="1:2" x14ac:dyDescent="0.2">
      <c r="A662"/>
      <c r="B662"/>
    </row>
    <row r="663" spans="1:2" x14ac:dyDescent="0.2">
      <c r="A663"/>
      <c r="B663"/>
    </row>
    <row r="664" spans="1:2" x14ac:dyDescent="0.2">
      <c r="A664"/>
      <c r="B664"/>
    </row>
    <row r="665" spans="1:2" x14ac:dyDescent="0.2">
      <c r="A665"/>
      <c r="B665"/>
    </row>
    <row r="666" spans="1:2" x14ac:dyDescent="0.2">
      <c r="A666"/>
      <c r="B666"/>
    </row>
    <row r="667" spans="1:2" x14ac:dyDescent="0.2">
      <c r="A667"/>
      <c r="B667"/>
    </row>
    <row r="668" spans="1:2" x14ac:dyDescent="0.2">
      <c r="A668"/>
      <c r="B668"/>
    </row>
    <row r="669" spans="1:2" x14ac:dyDescent="0.2">
      <c r="A669"/>
      <c r="B669"/>
    </row>
    <row r="670" spans="1:2" x14ac:dyDescent="0.2">
      <c r="A670"/>
      <c r="B670"/>
    </row>
    <row r="671" spans="1:2" x14ac:dyDescent="0.2">
      <c r="A671"/>
      <c r="B671"/>
    </row>
    <row r="672" spans="1:2" x14ac:dyDescent="0.2">
      <c r="A672"/>
      <c r="B672"/>
    </row>
    <row r="673" spans="1:2" x14ac:dyDescent="0.2">
      <c r="A673"/>
      <c r="B673"/>
    </row>
    <row r="674" spans="1:2" x14ac:dyDescent="0.2">
      <c r="A674"/>
      <c r="B674"/>
    </row>
    <row r="675" spans="1:2" x14ac:dyDescent="0.2">
      <c r="A675"/>
      <c r="B675"/>
    </row>
    <row r="676" spans="1:2" x14ac:dyDescent="0.2">
      <c r="A676"/>
      <c r="B676"/>
    </row>
    <row r="677" spans="1:2" x14ac:dyDescent="0.2">
      <c r="A677"/>
      <c r="B677"/>
    </row>
    <row r="678" spans="1:2" x14ac:dyDescent="0.2">
      <c r="A678"/>
      <c r="B678"/>
    </row>
    <row r="679" spans="1:2" x14ac:dyDescent="0.2">
      <c r="A679"/>
      <c r="B679"/>
    </row>
    <row r="680" spans="1:2" x14ac:dyDescent="0.2">
      <c r="A680"/>
      <c r="B680"/>
    </row>
    <row r="681" spans="1:2" x14ac:dyDescent="0.2">
      <c r="A681"/>
      <c r="B681"/>
    </row>
    <row r="682" spans="1:2" x14ac:dyDescent="0.2">
      <c r="A682"/>
      <c r="B682"/>
    </row>
    <row r="683" spans="1:2" x14ac:dyDescent="0.2">
      <c r="A683"/>
      <c r="B683"/>
    </row>
    <row r="684" spans="1:2" x14ac:dyDescent="0.2">
      <c r="A684"/>
      <c r="B684"/>
    </row>
    <row r="685" spans="1:2" x14ac:dyDescent="0.2">
      <c r="A685"/>
      <c r="B685"/>
    </row>
    <row r="686" spans="1:2" x14ac:dyDescent="0.2">
      <c r="A686"/>
      <c r="B686"/>
    </row>
    <row r="687" spans="1:2" x14ac:dyDescent="0.2">
      <c r="A687"/>
      <c r="B687"/>
    </row>
    <row r="688" spans="1:2" x14ac:dyDescent="0.2">
      <c r="A688"/>
      <c r="B688"/>
    </row>
    <row r="689" spans="1:2" x14ac:dyDescent="0.2">
      <c r="A689"/>
      <c r="B689"/>
    </row>
    <row r="690" spans="1:2" x14ac:dyDescent="0.2">
      <c r="A690"/>
      <c r="B690"/>
    </row>
    <row r="691" spans="1:2" x14ac:dyDescent="0.2">
      <c r="A691"/>
      <c r="B691"/>
    </row>
    <row r="692" spans="1:2" x14ac:dyDescent="0.2">
      <c r="A692"/>
      <c r="B692"/>
    </row>
    <row r="693" spans="1:2" x14ac:dyDescent="0.2">
      <c r="A693"/>
      <c r="B693"/>
    </row>
    <row r="694" spans="1:2" x14ac:dyDescent="0.2">
      <c r="A694"/>
      <c r="B694"/>
    </row>
    <row r="695" spans="1:2" x14ac:dyDescent="0.2">
      <c r="A695"/>
      <c r="B695"/>
    </row>
    <row r="696" spans="1:2" x14ac:dyDescent="0.2">
      <c r="A696"/>
      <c r="B696"/>
    </row>
    <row r="697" spans="1:2" x14ac:dyDescent="0.2">
      <c r="A697"/>
      <c r="B697"/>
    </row>
    <row r="698" spans="1:2" x14ac:dyDescent="0.2">
      <c r="A698"/>
      <c r="B698"/>
    </row>
    <row r="699" spans="1:2" x14ac:dyDescent="0.2">
      <c r="A699"/>
      <c r="B699"/>
    </row>
    <row r="700" spans="1:2" x14ac:dyDescent="0.2">
      <c r="A700"/>
      <c r="B700"/>
    </row>
    <row r="701" spans="1:2" x14ac:dyDescent="0.2">
      <c r="A701"/>
      <c r="B701"/>
    </row>
    <row r="702" spans="1:2" x14ac:dyDescent="0.2">
      <c r="A702"/>
      <c r="B702"/>
    </row>
    <row r="703" spans="1:2" x14ac:dyDescent="0.2">
      <c r="A703"/>
      <c r="B703"/>
    </row>
    <row r="704" spans="1:2" x14ac:dyDescent="0.2">
      <c r="A704"/>
      <c r="B704"/>
    </row>
    <row r="705" spans="1:2" x14ac:dyDescent="0.2">
      <c r="A705"/>
      <c r="B705"/>
    </row>
    <row r="706" spans="1:2" x14ac:dyDescent="0.2">
      <c r="A706"/>
      <c r="B706"/>
    </row>
    <row r="707" spans="1:2" x14ac:dyDescent="0.2">
      <c r="A707"/>
      <c r="B707"/>
    </row>
    <row r="708" spans="1:2" x14ac:dyDescent="0.2">
      <c r="A708"/>
      <c r="B708"/>
    </row>
    <row r="709" spans="1:2" x14ac:dyDescent="0.2">
      <c r="A709"/>
      <c r="B709"/>
    </row>
    <row r="710" spans="1:2" x14ac:dyDescent="0.2">
      <c r="A710"/>
      <c r="B710"/>
    </row>
    <row r="711" spans="1:2" x14ac:dyDescent="0.2">
      <c r="A711"/>
      <c r="B711"/>
    </row>
    <row r="712" spans="1:2" x14ac:dyDescent="0.2">
      <c r="A712"/>
      <c r="B712"/>
    </row>
    <row r="713" spans="1:2" x14ac:dyDescent="0.2">
      <c r="A713"/>
      <c r="B713"/>
    </row>
    <row r="714" spans="1:2" x14ac:dyDescent="0.2">
      <c r="A714"/>
      <c r="B714"/>
    </row>
    <row r="715" spans="1:2" x14ac:dyDescent="0.2">
      <c r="A715"/>
      <c r="B715"/>
    </row>
    <row r="716" spans="1:2" x14ac:dyDescent="0.2">
      <c r="A716"/>
      <c r="B716"/>
    </row>
    <row r="717" spans="1:2" x14ac:dyDescent="0.2">
      <c r="A717"/>
      <c r="B717"/>
    </row>
    <row r="718" spans="1:2" x14ac:dyDescent="0.2">
      <c r="A718"/>
      <c r="B718"/>
    </row>
    <row r="719" spans="1:2" x14ac:dyDescent="0.2">
      <c r="A719"/>
      <c r="B719"/>
    </row>
    <row r="720" spans="1:2" x14ac:dyDescent="0.2">
      <c r="A720"/>
      <c r="B720"/>
    </row>
    <row r="721" spans="1:2" x14ac:dyDescent="0.2">
      <c r="A721"/>
      <c r="B721"/>
    </row>
    <row r="722" spans="1:2" x14ac:dyDescent="0.2">
      <c r="A722"/>
      <c r="B722"/>
    </row>
    <row r="723" spans="1:2" x14ac:dyDescent="0.2">
      <c r="A723"/>
      <c r="B723"/>
    </row>
    <row r="724" spans="1:2" x14ac:dyDescent="0.2">
      <c r="A724"/>
      <c r="B724"/>
    </row>
    <row r="725" spans="1:2" x14ac:dyDescent="0.2">
      <c r="A725"/>
      <c r="B725"/>
    </row>
    <row r="726" spans="1:2" x14ac:dyDescent="0.2">
      <c r="A726"/>
      <c r="B726"/>
    </row>
    <row r="727" spans="1:2" x14ac:dyDescent="0.2">
      <c r="A727"/>
      <c r="B727"/>
    </row>
    <row r="728" spans="1:2" x14ac:dyDescent="0.2">
      <c r="A728"/>
      <c r="B728"/>
    </row>
    <row r="729" spans="1:2" x14ac:dyDescent="0.2">
      <c r="A729"/>
      <c r="B729"/>
    </row>
    <row r="730" spans="1:2" x14ac:dyDescent="0.2">
      <c r="A730"/>
      <c r="B730"/>
    </row>
    <row r="731" spans="1:2" x14ac:dyDescent="0.2">
      <c r="A731"/>
      <c r="B731"/>
    </row>
    <row r="732" spans="1:2" x14ac:dyDescent="0.2">
      <c r="A732"/>
      <c r="B732"/>
    </row>
    <row r="733" spans="1:2" x14ac:dyDescent="0.2">
      <c r="A733"/>
      <c r="B733"/>
    </row>
    <row r="734" spans="1:2" x14ac:dyDescent="0.2">
      <c r="A734"/>
      <c r="B734"/>
    </row>
    <row r="735" spans="1:2" x14ac:dyDescent="0.2">
      <c r="A735"/>
      <c r="B735"/>
    </row>
    <row r="736" spans="1:2" x14ac:dyDescent="0.2">
      <c r="A736"/>
      <c r="B736"/>
    </row>
    <row r="737" spans="1:2" x14ac:dyDescent="0.2">
      <c r="A737"/>
      <c r="B737"/>
    </row>
    <row r="738" spans="1:2" x14ac:dyDescent="0.2">
      <c r="A738"/>
      <c r="B738"/>
    </row>
    <row r="739" spans="1:2" x14ac:dyDescent="0.2">
      <c r="A739"/>
      <c r="B739"/>
    </row>
    <row r="740" spans="1:2" x14ac:dyDescent="0.2">
      <c r="A740"/>
      <c r="B740"/>
    </row>
    <row r="741" spans="1:2" x14ac:dyDescent="0.2">
      <c r="A741"/>
      <c r="B741"/>
    </row>
    <row r="742" spans="1:2" x14ac:dyDescent="0.2">
      <c r="A742"/>
      <c r="B742"/>
    </row>
    <row r="743" spans="1:2" x14ac:dyDescent="0.2">
      <c r="A743"/>
      <c r="B743"/>
    </row>
    <row r="744" spans="1:2" x14ac:dyDescent="0.2">
      <c r="A744"/>
      <c r="B744"/>
    </row>
    <row r="745" spans="1:2" x14ac:dyDescent="0.2">
      <c r="A745"/>
      <c r="B745"/>
    </row>
    <row r="746" spans="1:2" x14ac:dyDescent="0.2">
      <c r="A746"/>
      <c r="B746"/>
    </row>
    <row r="747" spans="1:2" x14ac:dyDescent="0.2">
      <c r="A747"/>
      <c r="B747"/>
    </row>
    <row r="748" spans="1:2" x14ac:dyDescent="0.2">
      <c r="A748"/>
      <c r="B748"/>
    </row>
    <row r="749" spans="1:2" x14ac:dyDescent="0.2">
      <c r="A749"/>
      <c r="B749"/>
    </row>
    <row r="750" spans="1:2" x14ac:dyDescent="0.2">
      <c r="A750"/>
      <c r="B750"/>
    </row>
    <row r="751" spans="1:2" x14ac:dyDescent="0.2">
      <c r="A751"/>
      <c r="B751"/>
    </row>
    <row r="752" spans="1:2" x14ac:dyDescent="0.2">
      <c r="A752"/>
      <c r="B752"/>
    </row>
    <row r="753" spans="1:2" x14ac:dyDescent="0.2">
      <c r="A753"/>
      <c r="B753"/>
    </row>
    <row r="754" spans="1:2" x14ac:dyDescent="0.2">
      <c r="A754"/>
      <c r="B754"/>
    </row>
    <row r="755" spans="1:2" x14ac:dyDescent="0.2">
      <c r="A755"/>
      <c r="B755"/>
    </row>
    <row r="756" spans="1:2" x14ac:dyDescent="0.2">
      <c r="A756"/>
      <c r="B756"/>
    </row>
    <row r="757" spans="1:2" x14ac:dyDescent="0.2">
      <c r="A757"/>
      <c r="B757"/>
    </row>
    <row r="758" spans="1:2" x14ac:dyDescent="0.2">
      <c r="A758"/>
      <c r="B758"/>
    </row>
    <row r="759" spans="1:2" x14ac:dyDescent="0.2">
      <c r="A759"/>
      <c r="B759"/>
    </row>
    <row r="760" spans="1:2" x14ac:dyDescent="0.2">
      <c r="A760"/>
      <c r="B760"/>
    </row>
    <row r="761" spans="1:2" x14ac:dyDescent="0.2">
      <c r="A761"/>
      <c r="B761"/>
    </row>
    <row r="762" spans="1:2" x14ac:dyDescent="0.2">
      <c r="A762"/>
      <c r="B762"/>
    </row>
    <row r="763" spans="1:2" x14ac:dyDescent="0.2">
      <c r="A763"/>
      <c r="B763"/>
    </row>
    <row r="764" spans="1:2" x14ac:dyDescent="0.2">
      <c r="A764"/>
      <c r="B764"/>
    </row>
    <row r="765" spans="1:2" x14ac:dyDescent="0.2">
      <c r="A765"/>
      <c r="B765"/>
    </row>
    <row r="766" spans="1:2" x14ac:dyDescent="0.2">
      <c r="A766"/>
      <c r="B766"/>
    </row>
    <row r="767" spans="1:2" x14ac:dyDescent="0.2">
      <c r="A767"/>
      <c r="B767"/>
    </row>
    <row r="768" spans="1:2" x14ac:dyDescent="0.2">
      <c r="A768"/>
      <c r="B768"/>
    </row>
    <row r="769" spans="1:2" x14ac:dyDescent="0.2">
      <c r="A769"/>
      <c r="B769"/>
    </row>
    <row r="770" spans="1:2" x14ac:dyDescent="0.2">
      <c r="A770"/>
      <c r="B770"/>
    </row>
    <row r="771" spans="1:2" x14ac:dyDescent="0.2">
      <c r="A771"/>
      <c r="B771"/>
    </row>
    <row r="772" spans="1:2" x14ac:dyDescent="0.2">
      <c r="A772"/>
      <c r="B772"/>
    </row>
    <row r="773" spans="1:2" x14ac:dyDescent="0.2">
      <c r="A773"/>
      <c r="B773"/>
    </row>
    <row r="774" spans="1:2" x14ac:dyDescent="0.2">
      <c r="A774"/>
      <c r="B774"/>
    </row>
    <row r="775" spans="1:2" x14ac:dyDescent="0.2">
      <c r="A775"/>
      <c r="B775"/>
    </row>
    <row r="776" spans="1:2" x14ac:dyDescent="0.2">
      <c r="A776"/>
      <c r="B776"/>
    </row>
    <row r="777" spans="1:2" x14ac:dyDescent="0.2">
      <c r="A777"/>
      <c r="B777"/>
    </row>
    <row r="778" spans="1:2" x14ac:dyDescent="0.2">
      <c r="A778"/>
      <c r="B778"/>
    </row>
    <row r="779" spans="1:2" x14ac:dyDescent="0.2">
      <c r="A779"/>
      <c r="B779"/>
    </row>
    <row r="780" spans="1:2" x14ac:dyDescent="0.2">
      <c r="A780"/>
      <c r="B780"/>
    </row>
    <row r="781" spans="1:2" x14ac:dyDescent="0.2">
      <c r="A781"/>
      <c r="B781"/>
    </row>
    <row r="782" spans="1:2" x14ac:dyDescent="0.2">
      <c r="A782"/>
      <c r="B782"/>
    </row>
    <row r="783" spans="1:2" x14ac:dyDescent="0.2">
      <c r="A783"/>
      <c r="B783"/>
    </row>
    <row r="784" spans="1:2" x14ac:dyDescent="0.2">
      <c r="A784"/>
      <c r="B784"/>
    </row>
    <row r="785" spans="1:2" x14ac:dyDescent="0.2">
      <c r="A785"/>
      <c r="B785"/>
    </row>
    <row r="786" spans="1:2" x14ac:dyDescent="0.2">
      <c r="A786"/>
      <c r="B786"/>
    </row>
    <row r="787" spans="1:2" x14ac:dyDescent="0.2">
      <c r="A787"/>
      <c r="B787"/>
    </row>
    <row r="788" spans="1:2" x14ac:dyDescent="0.2">
      <c r="A788"/>
      <c r="B788"/>
    </row>
    <row r="789" spans="1:2" x14ac:dyDescent="0.2">
      <c r="A789"/>
      <c r="B789"/>
    </row>
    <row r="790" spans="1:2" x14ac:dyDescent="0.2">
      <c r="A790"/>
      <c r="B790"/>
    </row>
    <row r="791" spans="1:2" x14ac:dyDescent="0.2">
      <c r="A791"/>
      <c r="B791"/>
    </row>
    <row r="792" spans="1:2" x14ac:dyDescent="0.2">
      <c r="A792"/>
      <c r="B792"/>
    </row>
    <row r="793" spans="1:2" x14ac:dyDescent="0.2">
      <c r="A793"/>
      <c r="B793"/>
    </row>
    <row r="794" spans="1:2" x14ac:dyDescent="0.2">
      <c r="A794"/>
      <c r="B794"/>
    </row>
    <row r="795" spans="1:2" x14ac:dyDescent="0.2">
      <c r="A795"/>
      <c r="B795"/>
    </row>
    <row r="796" spans="1:2" x14ac:dyDescent="0.2">
      <c r="A796"/>
      <c r="B796"/>
    </row>
    <row r="797" spans="1:2" x14ac:dyDescent="0.2">
      <c r="A797"/>
      <c r="B797"/>
    </row>
    <row r="798" spans="1:2" x14ac:dyDescent="0.2">
      <c r="A798"/>
      <c r="B798"/>
    </row>
    <row r="799" spans="1:2" x14ac:dyDescent="0.2">
      <c r="A799"/>
      <c r="B799"/>
    </row>
    <row r="800" spans="1:2" x14ac:dyDescent="0.2">
      <c r="A800"/>
      <c r="B800"/>
    </row>
    <row r="801" spans="1:2" x14ac:dyDescent="0.2">
      <c r="A801"/>
      <c r="B801"/>
    </row>
    <row r="802" spans="1:2" x14ac:dyDescent="0.2">
      <c r="A802"/>
      <c r="B802"/>
    </row>
    <row r="803" spans="1:2" x14ac:dyDescent="0.2">
      <c r="A803"/>
      <c r="B803"/>
    </row>
    <row r="804" spans="1:2" x14ac:dyDescent="0.2">
      <c r="A804"/>
      <c r="B804"/>
    </row>
    <row r="805" spans="1:2" x14ac:dyDescent="0.2">
      <c r="A805"/>
      <c r="B805"/>
    </row>
    <row r="806" spans="1:2" x14ac:dyDescent="0.2">
      <c r="A806"/>
      <c r="B806"/>
    </row>
    <row r="807" spans="1:2" x14ac:dyDescent="0.2">
      <c r="A807"/>
      <c r="B807"/>
    </row>
    <row r="808" spans="1:2" x14ac:dyDescent="0.2">
      <c r="A808"/>
      <c r="B808"/>
    </row>
    <row r="809" spans="1:2" x14ac:dyDescent="0.2">
      <c r="A809"/>
      <c r="B809"/>
    </row>
    <row r="810" spans="1:2" x14ac:dyDescent="0.2">
      <c r="A810"/>
      <c r="B810"/>
    </row>
    <row r="811" spans="1:2" x14ac:dyDescent="0.2">
      <c r="A811"/>
      <c r="B811"/>
    </row>
    <row r="812" spans="1:2" x14ac:dyDescent="0.2">
      <c r="A812"/>
      <c r="B812"/>
    </row>
    <row r="813" spans="1:2" x14ac:dyDescent="0.2">
      <c r="A813"/>
      <c r="B813"/>
    </row>
    <row r="814" spans="1:2" x14ac:dyDescent="0.2">
      <c r="A814"/>
      <c r="B814"/>
    </row>
    <row r="815" spans="1:2" x14ac:dyDescent="0.2">
      <c r="A815"/>
      <c r="B815"/>
    </row>
    <row r="816" spans="1:2" x14ac:dyDescent="0.2">
      <c r="A816"/>
      <c r="B816"/>
    </row>
    <row r="817" spans="1:2" x14ac:dyDescent="0.2">
      <c r="A817"/>
      <c r="B817"/>
    </row>
    <row r="818" spans="1:2" x14ac:dyDescent="0.2">
      <c r="A818"/>
      <c r="B818"/>
    </row>
    <row r="819" spans="1:2" x14ac:dyDescent="0.2">
      <c r="A819"/>
      <c r="B819"/>
    </row>
    <row r="820" spans="1:2" x14ac:dyDescent="0.2">
      <c r="A820"/>
      <c r="B820"/>
    </row>
    <row r="821" spans="1:2" x14ac:dyDescent="0.2">
      <c r="A821"/>
      <c r="B821"/>
    </row>
    <row r="822" spans="1:2" x14ac:dyDescent="0.2">
      <c r="A822"/>
      <c r="B822"/>
    </row>
    <row r="823" spans="1:2" x14ac:dyDescent="0.2">
      <c r="A823"/>
      <c r="B823"/>
    </row>
    <row r="824" spans="1:2" x14ac:dyDescent="0.2">
      <c r="A824"/>
      <c r="B824"/>
    </row>
    <row r="825" spans="1:2" x14ac:dyDescent="0.2">
      <c r="A825"/>
      <c r="B825"/>
    </row>
    <row r="826" spans="1:2" x14ac:dyDescent="0.2">
      <c r="A826"/>
      <c r="B826"/>
    </row>
    <row r="827" spans="1:2" x14ac:dyDescent="0.2">
      <c r="A827"/>
      <c r="B827"/>
    </row>
    <row r="828" spans="1:2" x14ac:dyDescent="0.2">
      <c r="A828"/>
      <c r="B828"/>
    </row>
    <row r="829" spans="1:2" x14ac:dyDescent="0.2">
      <c r="A829"/>
      <c r="B829"/>
    </row>
    <row r="830" spans="1:2" x14ac:dyDescent="0.2">
      <c r="A830"/>
      <c r="B830"/>
    </row>
    <row r="831" spans="1:2" x14ac:dyDescent="0.2">
      <c r="A831"/>
      <c r="B831"/>
    </row>
    <row r="832" spans="1:2" x14ac:dyDescent="0.2">
      <c r="A832"/>
      <c r="B832"/>
    </row>
    <row r="833" spans="1:2" x14ac:dyDescent="0.2">
      <c r="A833"/>
      <c r="B833"/>
    </row>
    <row r="834" spans="1:2" x14ac:dyDescent="0.2">
      <c r="A834"/>
      <c r="B834"/>
    </row>
    <row r="835" spans="1:2" x14ac:dyDescent="0.2">
      <c r="A835"/>
      <c r="B835"/>
    </row>
    <row r="836" spans="1:2" x14ac:dyDescent="0.2">
      <c r="A836"/>
      <c r="B836"/>
    </row>
    <row r="837" spans="1:2" x14ac:dyDescent="0.2">
      <c r="A837"/>
      <c r="B837"/>
    </row>
    <row r="838" spans="1:2" x14ac:dyDescent="0.2">
      <c r="A838"/>
      <c r="B838"/>
    </row>
    <row r="839" spans="1:2" x14ac:dyDescent="0.2">
      <c r="A839"/>
      <c r="B839"/>
    </row>
    <row r="840" spans="1:2" x14ac:dyDescent="0.2">
      <c r="A840"/>
      <c r="B840"/>
    </row>
    <row r="841" spans="1:2" x14ac:dyDescent="0.2">
      <c r="A841"/>
      <c r="B841"/>
    </row>
    <row r="842" spans="1:2" x14ac:dyDescent="0.2">
      <c r="A842"/>
      <c r="B842"/>
    </row>
    <row r="843" spans="1:2" x14ac:dyDescent="0.2">
      <c r="A843"/>
      <c r="B843"/>
    </row>
    <row r="844" spans="1:2" x14ac:dyDescent="0.2">
      <c r="A844"/>
      <c r="B844"/>
    </row>
    <row r="845" spans="1:2" x14ac:dyDescent="0.2">
      <c r="A845"/>
      <c r="B845"/>
    </row>
    <row r="846" spans="1:2" x14ac:dyDescent="0.2">
      <c r="A846"/>
      <c r="B846"/>
    </row>
    <row r="847" spans="1:2" x14ac:dyDescent="0.2">
      <c r="A847"/>
      <c r="B847"/>
    </row>
    <row r="848" spans="1:2" x14ac:dyDescent="0.2">
      <c r="A848"/>
      <c r="B848"/>
    </row>
    <row r="849" spans="1:2" x14ac:dyDescent="0.2">
      <c r="A849"/>
      <c r="B849"/>
    </row>
    <row r="850" spans="1:2" x14ac:dyDescent="0.2">
      <c r="A850"/>
      <c r="B850"/>
    </row>
    <row r="851" spans="1:2" x14ac:dyDescent="0.2">
      <c r="A851"/>
      <c r="B851"/>
    </row>
    <row r="852" spans="1:2" x14ac:dyDescent="0.2">
      <c r="A852"/>
      <c r="B852"/>
    </row>
    <row r="853" spans="1:2" x14ac:dyDescent="0.2">
      <c r="A853"/>
      <c r="B853"/>
    </row>
    <row r="854" spans="1:2" x14ac:dyDescent="0.2">
      <c r="A854"/>
      <c r="B854"/>
    </row>
    <row r="855" spans="1:2" x14ac:dyDescent="0.2">
      <c r="A855"/>
      <c r="B855"/>
    </row>
    <row r="856" spans="1:2" x14ac:dyDescent="0.2">
      <c r="A856"/>
      <c r="B856"/>
    </row>
    <row r="857" spans="1:2" x14ac:dyDescent="0.2">
      <c r="A857"/>
      <c r="B857"/>
    </row>
    <row r="858" spans="1:2" x14ac:dyDescent="0.2">
      <c r="A858"/>
      <c r="B858"/>
    </row>
    <row r="859" spans="1:2" x14ac:dyDescent="0.2">
      <c r="A859"/>
      <c r="B859"/>
    </row>
    <row r="860" spans="1:2" x14ac:dyDescent="0.2">
      <c r="A860"/>
      <c r="B860"/>
    </row>
    <row r="861" spans="1:2" x14ac:dyDescent="0.2">
      <c r="A861"/>
      <c r="B861"/>
    </row>
    <row r="862" spans="1:2" x14ac:dyDescent="0.2">
      <c r="A862"/>
      <c r="B862"/>
    </row>
    <row r="863" spans="1:2" x14ac:dyDescent="0.2">
      <c r="A863"/>
      <c r="B863"/>
    </row>
    <row r="864" spans="1:2" x14ac:dyDescent="0.2">
      <c r="A864"/>
      <c r="B864"/>
    </row>
    <row r="865" spans="1:2" x14ac:dyDescent="0.2">
      <c r="A865"/>
      <c r="B865"/>
    </row>
    <row r="866" spans="1:2" x14ac:dyDescent="0.2">
      <c r="A866"/>
      <c r="B866"/>
    </row>
    <row r="867" spans="1:2" x14ac:dyDescent="0.2">
      <c r="A867"/>
      <c r="B867"/>
    </row>
    <row r="868" spans="1:2" x14ac:dyDescent="0.2">
      <c r="A868"/>
      <c r="B868"/>
    </row>
    <row r="869" spans="1:2" x14ac:dyDescent="0.2">
      <c r="A869"/>
      <c r="B869"/>
    </row>
    <row r="870" spans="1:2" x14ac:dyDescent="0.2">
      <c r="A870"/>
      <c r="B870"/>
    </row>
    <row r="871" spans="1:2" x14ac:dyDescent="0.2">
      <c r="A871"/>
      <c r="B871"/>
    </row>
    <row r="872" spans="1:2" x14ac:dyDescent="0.2">
      <c r="A872"/>
      <c r="B872"/>
    </row>
    <row r="873" spans="1:2" x14ac:dyDescent="0.2">
      <c r="A873"/>
      <c r="B873"/>
    </row>
    <row r="874" spans="1:2" x14ac:dyDescent="0.2">
      <c r="A874"/>
      <c r="B874"/>
    </row>
    <row r="875" spans="1:2" x14ac:dyDescent="0.2">
      <c r="A875"/>
      <c r="B875"/>
    </row>
    <row r="876" spans="1:2" x14ac:dyDescent="0.2">
      <c r="A876"/>
      <c r="B876"/>
    </row>
    <row r="877" spans="1:2" x14ac:dyDescent="0.2">
      <c r="A877"/>
      <c r="B877"/>
    </row>
    <row r="878" spans="1:2" x14ac:dyDescent="0.2">
      <c r="A878"/>
      <c r="B878"/>
    </row>
    <row r="879" spans="1:2" x14ac:dyDescent="0.2">
      <c r="A879"/>
      <c r="B879"/>
    </row>
    <row r="880" spans="1:2" x14ac:dyDescent="0.2">
      <c r="A880"/>
      <c r="B880"/>
    </row>
    <row r="881" spans="1:2" x14ac:dyDescent="0.2">
      <c r="A881"/>
      <c r="B881"/>
    </row>
    <row r="882" spans="1:2" x14ac:dyDescent="0.2">
      <c r="A882"/>
      <c r="B882"/>
    </row>
    <row r="883" spans="1:2" x14ac:dyDescent="0.2">
      <c r="A883"/>
      <c r="B883"/>
    </row>
    <row r="884" spans="1:2" x14ac:dyDescent="0.2">
      <c r="A884"/>
      <c r="B884"/>
    </row>
    <row r="885" spans="1:2" x14ac:dyDescent="0.2">
      <c r="A885"/>
      <c r="B885"/>
    </row>
    <row r="886" spans="1:2" x14ac:dyDescent="0.2">
      <c r="A886"/>
      <c r="B886"/>
    </row>
    <row r="887" spans="1:2" x14ac:dyDescent="0.2">
      <c r="A887"/>
      <c r="B887"/>
    </row>
    <row r="888" spans="1:2" x14ac:dyDescent="0.2">
      <c r="A888"/>
      <c r="B888"/>
    </row>
    <row r="889" spans="1:2" x14ac:dyDescent="0.2">
      <c r="A889"/>
      <c r="B889"/>
    </row>
    <row r="890" spans="1:2" x14ac:dyDescent="0.2">
      <c r="A890"/>
      <c r="B890"/>
    </row>
    <row r="891" spans="1:2" x14ac:dyDescent="0.2">
      <c r="A891"/>
      <c r="B891"/>
    </row>
    <row r="892" spans="1:2" x14ac:dyDescent="0.2">
      <c r="A892"/>
      <c r="B892"/>
    </row>
    <row r="893" spans="1:2" x14ac:dyDescent="0.2">
      <c r="A893"/>
      <c r="B893"/>
    </row>
    <row r="894" spans="1:2" x14ac:dyDescent="0.2">
      <c r="A894"/>
      <c r="B894"/>
    </row>
    <row r="895" spans="1:2" x14ac:dyDescent="0.2">
      <c r="A895"/>
      <c r="B895"/>
    </row>
    <row r="896" spans="1:2" x14ac:dyDescent="0.2">
      <c r="A896"/>
      <c r="B896"/>
    </row>
    <row r="897" spans="1:2" x14ac:dyDescent="0.2">
      <c r="A897"/>
      <c r="B897"/>
    </row>
    <row r="898" spans="1:2" x14ac:dyDescent="0.2">
      <c r="A898"/>
      <c r="B898"/>
    </row>
    <row r="899" spans="1:2" x14ac:dyDescent="0.2">
      <c r="A899"/>
      <c r="B899"/>
    </row>
    <row r="900" spans="1:2" x14ac:dyDescent="0.2">
      <c r="A900"/>
      <c r="B900"/>
    </row>
    <row r="901" spans="1:2" x14ac:dyDescent="0.2">
      <c r="A901"/>
      <c r="B901"/>
    </row>
    <row r="902" spans="1:2" x14ac:dyDescent="0.2">
      <c r="A902"/>
      <c r="B902"/>
    </row>
    <row r="903" spans="1:2" x14ac:dyDescent="0.2">
      <c r="A903"/>
      <c r="B903"/>
    </row>
    <row r="904" spans="1:2" x14ac:dyDescent="0.2">
      <c r="A904"/>
      <c r="B904"/>
    </row>
    <row r="905" spans="1:2" x14ac:dyDescent="0.2">
      <c r="A905"/>
      <c r="B905"/>
    </row>
    <row r="906" spans="1:2" x14ac:dyDescent="0.2">
      <c r="A906"/>
      <c r="B906"/>
    </row>
    <row r="907" spans="1:2" x14ac:dyDescent="0.2">
      <c r="A907"/>
      <c r="B907"/>
    </row>
    <row r="908" spans="1:2" x14ac:dyDescent="0.2">
      <c r="A908"/>
      <c r="B908"/>
    </row>
    <row r="909" spans="1:2" x14ac:dyDescent="0.2">
      <c r="A909"/>
      <c r="B909"/>
    </row>
    <row r="910" spans="1:2" x14ac:dyDescent="0.2">
      <c r="A910"/>
      <c r="B910"/>
    </row>
    <row r="911" spans="1:2" x14ac:dyDescent="0.2">
      <c r="A911"/>
      <c r="B911"/>
    </row>
    <row r="912" spans="1:2" x14ac:dyDescent="0.2">
      <c r="A912"/>
      <c r="B912"/>
    </row>
    <row r="913" spans="1:2" x14ac:dyDescent="0.2">
      <c r="A913"/>
      <c r="B913"/>
    </row>
    <row r="914" spans="1:2" x14ac:dyDescent="0.2">
      <c r="A914"/>
      <c r="B914"/>
    </row>
    <row r="915" spans="1:2" x14ac:dyDescent="0.2">
      <c r="A915"/>
      <c r="B915"/>
    </row>
    <row r="916" spans="1:2" x14ac:dyDescent="0.2">
      <c r="A916"/>
      <c r="B916"/>
    </row>
    <row r="917" spans="1:2" x14ac:dyDescent="0.2">
      <c r="A917"/>
      <c r="B917"/>
    </row>
    <row r="918" spans="1:2" x14ac:dyDescent="0.2">
      <c r="A918"/>
      <c r="B918"/>
    </row>
    <row r="919" spans="1:2" x14ac:dyDescent="0.2">
      <c r="A919"/>
      <c r="B919"/>
    </row>
    <row r="920" spans="1:2" x14ac:dyDescent="0.2">
      <c r="A920"/>
      <c r="B920"/>
    </row>
    <row r="921" spans="1:2" x14ac:dyDescent="0.2">
      <c r="A921"/>
      <c r="B921"/>
    </row>
    <row r="922" spans="1:2" x14ac:dyDescent="0.2">
      <c r="A922"/>
      <c r="B922"/>
    </row>
    <row r="923" spans="1:2" x14ac:dyDescent="0.2">
      <c r="A923"/>
      <c r="B923"/>
    </row>
    <row r="924" spans="1:2" x14ac:dyDescent="0.2">
      <c r="A924"/>
      <c r="B924"/>
    </row>
    <row r="925" spans="1:2" x14ac:dyDescent="0.2">
      <c r="A925"/>
      <c r="B925"/>
    </row>
    <row r="926" spans="1:2" x14ac:dyDescent="0.2">
      <c r="A926"/>
      <c r="B926"/>
    </row>
    <row r="927" spans="1:2" x14ac:dyDescent="0.2">
      <c r="A927"/>
      <c r="B927"/>
    </row>
    <row r="928" spans="1:2" x14ac:dyDescent="0.2">
      <c r="A928"/>
      <c r="B928"/>
    </row>
    <row r="929" spans="1:2" x14ac:dyDescent="0.2">
      <c r="A929"/>
      <c r="B929"/>
    </row>
    <row r="930" spans="1:2" x14ac:dyDescent="0.2">
      <c r="A930"/>
      <c r="B930"/>
    </row>
    <row r="931" spans="1:2" x14ac:dyDescent="0.2">
      <c r="A931"/>
      <c r="B931"/>
    </row>
    <row r="932" spans="1:2" x14ac:dyDescent="0.2">
      <c r="A932"/>
      <c r="B932"/>
    </row>
    <row r="933" spans="1:2" x14ac:dyDescent="0.2">
      <c r="A933"/>
      <c r="B933"/>
    </row>
    <row r="934" spans="1:2" x14ac:dyDescent="0.2">
      <c r="A934"/>
      <c r="B934"/>
    </row>
    <row r="935" spans="1:2" x14ac:dyDescent="0.2">
      <c r="A935"/>
      <c r="B935"/>
    </row>
    <row r="936" spans="1:2" x14ac:dyDescent="0.2">
      <c r="A936"/>
      <c r="B936"/>
    </row>
    <row r="937" spans="1:2" x14ac:dyDescent="0.2">
      <c r="A937"/>
      <c r="B937"/>
    </row>
    <row r="938" spans="1:2" x14ac:dyDescent="0.2">
      <c r="A938"/>
      <c r="B938"/>
    </row>
    <row r="939" spans="1:2" x14ac:dyDescent="0.2">
      <c r="A939"/>
      <c r="B939"/>
    </row>
    <row r="940" spans="1:2" x14ac:dyDescent="0.2">
      <c r="A940"/>
      <c r="B940"/>
    </row>
    <row r="941" spans="1:2" x14ac:dyDescent="0.2">
      <c r="A941"/>
      <c r="B941"/>
    </row>
    <row r="942" spans="1:2" x14ac:dyDescent="0.2">
      <c r="A942"/>
      <c r="B942"/>
    </row>
    <row r="943" spans="1:2" x14ac:dyDescent="0.2">
      <c r="A943"/>
      <c r="B943"/>
    </row>
    <row r="944" spans="1:2" x14ac:dyDescent="0.2">
      <c r="A944"/>
      <c r="B944"/>
    </row>
    <row r="945" spans="1:2" x14ac:dyDescent="0.2">
      <c r="A945"/>
      <c r="B945"/>
    </row>
    <row r="946" spans="1:2" x14ac:dyDescent="0.2">
      <c r="A946"/>
      <c r="B946"/>
    </row>
    <row r="947" spans="1:2" x14ac:dyDescent="0.2">
      <c r="A947"/>
      <c r="B947"/>
    </row>
    <row r="948" spans="1:2" x14ac:dyDescent="0.2">
      <c r="A948"/>
      <c r="B948"/>
    </row>
    <row r="949" spans="1:2" x14ac:dyDescent="0.2">
      <c r="A949"/>
      <c r="B949"/>
    </row>
    <row r="950" spans="1:2" x14ac:dyDescent="0.2">
      <c r="A950"/>
      <c r="B950"/>
    </row>
    <row r="951" spans="1:2" x14ac:dyDescent="0.2">
      <c r="A951"/>
      <c r="B951"/>
    </row>
    <row r="952" spans="1:2" x14ac:dyDescent="0.2">
      <c r="A952"/>
      <c r="B952"/>
    </row>
    <row r="953" spans="1:2" x14ac:dyDescent="0.2">
      <c r="A953"/>
      <c r="B953"/>
    </row>
    <row r="954" spans="1:2" x14ac:dyDescent="0.2">
      <c r="A954"/>
      <c r="B954"/>
    </row>
    <row r="955" spans="1:2" x14ac:dyDescent="0.2">
      <c r="A955"/>
      <c r="B955"/>
    </row>
    <row r="956" spans="1:2" x14ac:dyDescent="0.2">
      <c r="A956"/>
      <c r="B956"/>
    </row>
    <row r="957" spans="1:2" x14ac:dyDescent="0.2">
      <c r="A957"/>
      <c r="B957"/>
    </row>
    <row r="958" spans="1:2" x14ac:dyDescent="0.2">
      <c r="A958"/>
      <c r="B958"/>
    </row>
    <row r="959" spans="1:2" x14ac:dyDescent="0.2">
      <c r="A959"/>
      <c r="B959"/>
    </row>
    <row r="960" spans="1:2" x14ac:dyDescent="0.2">
      <c r="A960"/>
      <c r="B960"/>
    </row>
    <row r="961" spans="1:2" x14ac:dyDescent="0.2">
      <c r="A961"/>
      <c r="B961"/>
    </row>
    <row r="962" spans="1:2" x14ac:dyDescent="0.2">
      <c r="A962"/>
      <c r="B962"/>
    </row>
    <row r="963" spans="1:2" x14ac:dyDescent="0.2">
      <c r="A963"/>
      <c r="B963"/>
    </row>
    <row r="964" spans="1:2" x14ac:dyDescent="0.2">
      <c r="A964"/>
      <c r="B964"/>
    </row>
    <row r="965" spans="1:2" x14ac:dyDescent="0.2">
      <c r="A965"/>
      <c r="B965"/>
    </row>
    <row r="966" spans="1:2" x14ac:dyDescent="0.2">
      <c r="A966"/>
      <c r="B966"/>
    </row>
    <row r="967" spans="1:2" x14ac:dyDescent="0.2">
      <c r="A967"/>
      <c r="B967"/>
    </row>
    <row r="968" spans="1:2" x14ac:dyDescent="0.2">
      <c r="A968"/>
      <c r="B968"/>
    </row>
    <row r="969" spans="1:2" x14ac:dyDescent="0.2">
      <c r="A969"/>
      <c r="B969"/>
    </row>
    <row r="970" spans="1:2" x14ac:dyDescent="0.2">
      <c r="A970"/>
      <c r="B970"/>
    </row>
    <row r="971" spans="1:2" x14ac:dyDescent="0.2">
      <c r="A971"/>
      <c r="B971"/>
    </row>
    <row r="972" spans="1:2" x14ac:dyDescent="0.2">
      <c r="A972"/>
      <c r="B972"/>
    </row>
    <row r="973" spans="1:2" x14ac:dyDescent="0.2">
      <c r="A973"/>
      <c r="B973"/>
    </row>
    <row r="974" spans="1:2" x14ac:dyDescent="0.2">
      <c r="A974"/>
      <c r="B974"/>
    </row>
    <row r="975" spans="1:2" x14ac:dyDescent="0.2">
      <c r="A975"/>
      <c r="B975"/>
    </row>
    <row r="976" spans="1:2" x14ac:dyDescent="0.2">
      <c r="A976"/>
      <c r="B976"/>
    </row>
    <row r="977" spans="1:2" x14ac:dyDescent="0.2">
      <c r="A977"/>
      <c r="B977"/>
    </row>
    <row r="978" spans="1:2" x14ac:dyDescent="0.2">
      <c r="A978"/>
      <c r="B978"/>
    </row>
    <row r="979" spans="1:2" x14ac:dyDescent="0.2">
      <c r="A979"/>
      <c r="B979"/>
    </row>
    <row r="980" spans="1:2" x14ac:dyDescent="0.2">
      <c r="A980"/>
      <c r="B980"/>
    </row>
    <row r="981" spans="1:2" x14ac:dyDescent="0.2">
      <c r="A981"/>
      <c r="B981"/>
    </row>
    <row r="982" spans="1:2" x14ac:dyDescent="0.2">
      <c r="A982"/>
      <c r="B982"/>
    </row>
    <row r="983" spans="1:2" x14ac:dyDescent="0.2">
      <c r="A983"/>
      <c r="B983"/>
    </row>
    <row r="984" spans="1:2" x14ac:dyDescent="0.2">
      <c r="A984"/>
      <c r="B984"/>
    </row>
    <row r="985" spans="1:2" x14ac:dyDescent="0.2">
      <c r="A985"/>
      <c r="B985"/>
    </row>
    <row r="986" spans="1:2" x14ac:dyDescent="0.2">
      <c r="A986"/>
      <c r="B986"/>
    </row>
    <row r="987" spans="1:2" x14ac:dyDescent="0.2">
      <c r="A987"/>
      <c r="B987"/>
    </row>
    <row r="988" spans="1:2" x14ac:dyDescent="0.2">
      <c r="A988"/>
      <c r="B988"/>
    </row>
    <row r="989" spans="1:2" x14ac:dyDescent="0.2">
      <c r="A989"/>
      <c r="B989"/>
    </row>
    <row r="990" spans="1:2" x14ac:dyDescent="0.2">
      <c r="A990"/>
      <c r="B990"/>
    </row>
    <row r="991" spans="1:2" x14ac:dyDescent="0.2">
      <c r="A991"/>
      <c r="B991"/>
    </row>
    <row r="992" spans="1:2" x14ac:dyDescent="0.2">
      <c r="A992"/>
      <c r="B992"/>
    </row>
    <row r="993" spans="1:2" x14ac:dyDescent="0.2">
      <c r="A993"/>
      <c r="B993"/>
    </row>
    <row r="994" spans="1:2" x14ac:dyDescent="0.2">
      <c r="A994"/>
      <c r="B994"/>
    </row>
    <row r="995" spans="1:2" x14ac:dyDescent="0.2">
      <c r="A995"/>
      <c r="B995"/>
    </row>
    <row r="996" spans="1:2" x14ac:dyDescent="0.2">
      <c r="A996"/>
      <c r="B996"/>
    </row>
    <row r="997" spans="1:2" x14ac:dyDescent="0.2">
      <c r="A997"/>
      <c r="B997"/>
    </row>
    <row r="998" spans="1:2" x14ac:dyDescent="0.2">
      <c r="A998"/>
      <c r="B998"/>
    </row>
    <row r="999" spans="1:2" x14ac:dyDescent="0.2">
      <c r="A999"/>
      <c r="B999"/>
    </row>
  </sheetData>
  <sheetProtection sheet="1" objects="1" scenarios="1"/>
  <pageMargins left="0.7" right="0.7" top="0.75" bottom="0.75" header="0.3" footer="0.3"/>
  <pageSetup paperSize="9"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tabColor theme="9" tint="0.39997558519241921"/>
  </sheetPr>
  <dimension ref="A1:K23"/>
  <sheetViews>
    <sheetView zoomScaleNormal="100" workbookViewId="0">
      <pane ySplit="4" topLeftCell="A5" activePane="bottomLeft" state="frozen"/>
      <selection activeCell="Q35" sqref="P35:Q35"/>
      <selection pane="bottomLeft" activeCell="F14" sqref="F14"/>
    </sheetView>
  </sheetViews>
  <sheetFormatPr defaultRowHeight="15" x14ac:dyDescent="0.2"/>
  <cols>
    <col min="1" max="1" width="18.6640625" style="71" bestFit="1" customWidth="1"/>
    <col min="2" max="2" width="22.33203125" style="71" customWidth="1"/>
    <col min="3" max="3" width="59.1640625" style="69" customWidth="1"/>
    <col min="4" max="4" width="12.83203125" style="69" bestFit="1" customWidth="1"/>
    <col min="5" max="5" width="13.5" style="71" bestFit="1" customWidth="1"/>
    <col min="6" max="6" width="29.6640625" style="71" customWidth="1"/>
    <col min="7" max="7" width="13" style="71" bestFit="1" customWidth="1"/>
    <col min="8" max="8" width="11.1640625" style="71" bestFit="1" customWidth="1"/>
    <col min="9" max="9" width="8.1640625" style="67" bestFit="1" customWidth="1"/>
    <col min="10" max="10" width="8.5" style="71" bestFit="1" customWidth="1"/>
    <col min="11" max="16384" width="9.33203125" style="71"/>
  </cols>
  <sheetData>
    <row r="1" spans="1:11" s="83" customFormat="1" x14ac:dyDescent="0.2">
      <c r="A1" s="82" t="s">
        <v>43</v>
      </c>
      <c r="B1" s="181" t="s">
        <v>15</v>
      </c>
      <c r="C1" s="84" t="s">
        <v>44</v>
      </c>
      <c r="D1" s="182" t="s">
        <v>112</v>
      </c>
      <c r="E1" s="82" t="s">
        <v>209</v>
      </c>
      <c r="F1" s="181" t="s">
        <v>939</v>
      </c>
      <c r="G1" s="82" t="s">
        <v>9</v>
      </c>
      <c r="H1" s="181"/>
      <c r="I1" s="82" t="s">
        <v>262</v>
      </c>
      <c r="J1" s="181" t="b">
        <v>0</v>
      </c>
    </row>
    <row r="2" spans="1:11" s="103" customFormat="1" x14ac:dyDescent="0.25">
      <c r="A2" s="102" t="s">
        <v>366</v>
      </c>
      <c r="B2" s="141" t="s">
        <v>365</v>
      </c>
      <c r="C2" s="141" t="s">
        <v>199</v>
      </c>
      <c r="D2" s="141" t="s">
        <v>363</v>
      </c>
      <c r="F2" s="284" t="s">
        <v>292</v>
      </c>
      <c r="G2" s="285"/>
      <c r="H2" s="285"/>
      <c r="I2" s="285"/>
      <c r="J2" s="285"/>
      <c r="K2" s="286"/>
    </row>
    <row r="3" spans="1:11" s="103" customFormat="1" x14ac:dyDescent="0.25">
      <c r="A3" s="141" t="s">
        <v>404</v>
      </c>
      <c r="B3" s="141" t="s">
        <v>362</v>
      </c>
      <c r="C3" s="141" t="s">
        <v>293</v>
      </c>
      <c r="D3" s="141" t="s">
        <v>364</v>
      </c>
      <c r="F3" s="106" t="s">
        <v>293</v>
      </c>
      <c r="G3" s="107"/>
      <c r="H3" s="107"/>
      <c r="I3" s="107"/>
      <c r="J3" s="107"/>
      <c r="K3" s="107"/>
    </row>
    <row r="4" spans="1:11" s="59" customFormat="1" x14ac:dyDescent="0.2">
      <c r="A4" s="100" t="s">
        <v>6</v>
      </c>
      <c r="B4" s="100" t="s">
        <v>209</v>
      </c>
      <c r="C4" s="100" t="s">
        <v>9</v>
      </c>
      <c r="D4" s="100" t="s">
        <v>45</v>
      </c>
      <c r="E4" s="100" t="s">
        <v>294</v>
      </c>
      <c r="F4" s="108" t="s">
        <v>291</v>
      </c>
      <c r="G4" s="109"/>
      <c r="H4" s="109"/>
      <c r="I4" s="109"/>
      <c r="J4" s="109"/>
      <c r="K4" s="109"/>
    </row>
    <row r="5" spans="1:11" ht="30" x14ac:dyDescent="0.2">
      <c r="A5" s="67" t="s">
        <v>11</v>
      </c>
      <c r="B5" s="67" t="s">
        <v>23</v>
      </c>
      <c r="C5" s="68" t="s">
        <v>115</v>
      </c>
      <c r="E5" s="70"/>
      <c r="F5" s="70"/>
      <c r="G5" s="109"/>
      <c r="H5" s="109"/>
      <c r="I5" s="109"/>
      <c r="J5" s="109"/>
      <c r="K5" s="109"/>
    </row>
    <row r="6" spans="1:11" ht="30" x14ac:dyDescent="0.2">
      <c r="A6" s="67" t="s">
        <v>2</v>
      </c>
      <c r="B6" s="67" t="s">
        <v>66</v>
      </c>
      <c r="C6" s="68" t="s">
        <v>116</v>
      </c>
      <c r="E6" s="70"/>
      <c r="F6" s="70"/>
      <c r="G6" s="109"/>
      <c r="H6" s="109"/>
      <c r="I6" s="109"/>
      <c r="J6" s="109"/>
      <c r="K6" s="109"/>
    </row>
    <row r="7" spans="1:11" ht="30" x14ac:dyDescent="0.2">
      <c r="A7" s="67" t="s">
        <v>7</v>
      </c>
      <c r="B7" s="67" t="s">
        <v>24</v>
      </c>
      <c r="C7" s="68" t="s">
        <v>117</v>
      </c>
      <c r="E7" s="70"/>
      <c r="F7" s="70"/>
      <c r="G7" s="109"/>
      <c r="H7" s="109"/>
      <c r="I7" s="109"/>
      <c r="J7" s="109"/>
      <c r="K7" s="109"/>
    </row>
    <row r="8" spans="1:11" ht="30" x14ac:dyDescent="0.2">
      <c r="A8" s="67" t="s">
        <v>1</v>
      </c>
      <c r="B8" s="67" t="s">
        <v>62</v>
      </c>
      <c r="C8" s="68" t="s">
        <v>118</v>
      </c>
      <c r="E8" s="70"/>
      <c r="F8" s="70"/>
      <c r="G8" s="109"/>
      <c r="H8" s="109"/>
      <c r="I8" s="109"/>
      <c r="J8" s="109"/>
      <c r="K8" s="109"/>
    </row>
    <row r="9" spans="1:11" ht="30" x14ac:dyDescent="0.2">
      <c r="A9" s="67" t="s">
        <v>14</v>
      </c>
      <c r="B9" s="67" t="s">
        <v>68</v>
      </c>
      <c r="C9" s="68" t="s">
        <v>119</v>
      </c>
      <c r="E9" s="70"/>
      <c r="F9" s="70"/>
      <c r="G9" s="109"/>
      <c r="H9" s="109"/>
      <c r="I9" s="109"/>
      <c r="J9" s="109"/>
      <c r="K9" s="109"/>
    </row>
    <row r="10" spans="1:11" ht="30" x14ac:dyDescent="0.2">
      <c r="A10" s="67" t="s">
        <v>3</v>
      </c>
      <c r="B10" s="67" t="s">
        <v>113</v>
      </c>
      <c r="C10" s="68" t="s">
        <v>120</v>
      </c>
      <c r="E10" s="70"/>
      <c r="F10" s="70"/>
      <c r="G10" s="109"/>
      <c r="H10" s="109"/>
      <c r="I10" s="109"/>
      <c r="J10" s="109"/>
      <c r="K10" s="109"/>
    </row>
    <row r="11" spans="1:11" ht="30" x14ac:dyDescent="0.2">
      <c r="A11" s="67" t="s">
        <v>0</v>
      </c>
      <c r="B11" s="67" t="s">
        <v>25</v>
      </c>
      <c r="C11" s="68" t="s">
        <v>121</v>
      </c>
      <c r="E11" s="70"/>
      <c r="F11" s="70"/>
      <c r="G11" s="109"/>
      <c r="H11" s="109"/>
      <c r="I11" s="109"/>
      <c r="J11" s="109"/>
      <c r="K11" s="109"/>
    </row>
    <row r="12" spans="1:11" ht="120" x14ac:dyDescent="0.2">
      <c r="A12" s="67" t="s">
        <v>8</v>
      </c>
      <c r="B12" s="67" t="s">
        <v>114</v>
      </c>
      <c r="C12" s="68" t="s">
        <v>961</v>
      </c>
      <c r="E12" s="70"/>
      <c r="F12" s="70"/>
      <c r="G12" s="109"/>
      <c r="H12" s="109"/>
      <c r="I12" s="109"/>
      <c r="J12" s="109"/>
      <c r="K12" s="109"/>
    </row>
    <row r="13" spans="1:11" ht="120" x14ac:dyDescent="0.2">
      <c r="A13" s="67" t="s">
        <v>12</v>
      </c>
      <c r="B13" s="67" t="s">
        <v>70</v>
      </c>
      <c r="C13" s="68" t="s">
        <v>122</v>
      </c>
      <c r="E13" s="70"/>
      <c r="F13" s="70"/>
      <c r="G13" s="109"/>
      <c r="H13" s="109"/>
      <c r="I13" s="109"/>
      <c r="J13" s="109"/>
      <c r="K13" s="109"/>
    </row>
    <row r="14" spans="1:11" x14ac:dyDescent="0.2">
      <c r="E14" s="69"/>
      <c r="F14" s="69"/>
      <c r="G14" s="69"/>
      <c r="H14" s="69"/>
      <c r="I14" s="72"/>
    </row>
    <row r="15" spans="1:11" x14ac:dyDescent="0.2">
      <c r="E15" s="69"/>
      <c r="F15" s="69"/>
      <c r="G15" s="69"/>
      <c r="H15" s="69"/>
      <c r="I15" s="72"/>
    </row>
    <row r="16" spans="1:11" x14ac:dyDescent="0.2">
      <c r="E16" s="69"/>
      <c r="F16" s="69"/>
      <c r="G16" s="69"/>
      <c r="H16" s="69"/>
      <c r="I16" s="72"/>
    </row>
    <row r="17" spans="5:9" x14ac:dyDescent="0.2">
      <c r="E17" s="69"/>
      <c r="F17" s="69"/>
      <c r="G17" s="69"/>
      <c r="H17" s="69"/>
      <c r="I17" s="72"/>
    </row>
    <row r="18" spans="5:9" x14ac:dyDescent="0.2">
      <c r="E18" s="69"/>
      <c r="F18" s="69"/>
      <c r="G18" s="69"/>
      <c r="H18" s="69"/>
      <c r="I18" s="72"/>
    </row>
    <row r="19" spans="5:9" x14ac:dyDescent="0.2">
      <c r="E19" s="69"/>
      <c r="F19" s="69"/>
      <c r="G19" s="69"/>
      <c r="H19" s="69"/>
      <c r="I19" s="72"/>
    </row>
    <row r="20" spans="5:9" x14ac:dyDescent="0.2">
      <c r="I20" s="72"/>
    </row>
    <row r="21" spans="5:9" x14ac:dyDescent="0.2">
      <c r="I21" s="72"/>
    </row>
    <row r="22" spans="5:9" x14ac:dyDescent="0.2">
      <c r="I22" s="72"/>
    </row>
    <row r="23" spans="5:9" x14ac:dyDescent="0.2">
      <c r="I23" s="72"/>
    </row>
  </sheetData>
  <customSheetViews>
    <customSheetView guid="{AA319F07-CC98-498A-B8F0-88469E3CB718}" showAutoFilter="1">
      <pane xSplit="1" topLeftCell="B1" activePane="topRight" state="frozen"/>
      <selection pane="topRight" activeCell="A6" sqref="A6"/>
      <pageMargins left="0.7" right="0.7" top="0.75" bottom="0.75" header="0.3" footer="0.3"/>
      <pageSetup paperSize="9" orientation="portrait" r:id="rId1"/>
      <autoFilter ref="B1:V1"/>
    </customSheetView>
    <customSheetView guid="{F7C97EE9-0129-4AF7-B3C1-B3102CE6FFA5}" showPageBreaks="1" showAutoFilter="1">
      <pane xSplit="1" topLeftCell="B1" activePane="topRight" state="frozen"/>
      <selection pane="topRight" activeCell="U5" sqref="U5"/>
      <pageMargins left="0.7" right="0.7" top="0.75" bottom="0.75" header="0.3" footer="0.3"/>
      <pageSetup paperSize="9" orientation="portrait" r:id="rId2"/>
      <autoFilter ref="B1:E1"/>
    </customSheetView>
    <customSheetView guid="{E66E0E75-407A-4A45-A7DD-4716A0845D40}" showAutoFilter="1">
      <pane xSplit="1" topLeftCell="B1" activePane="topRight" state="frozen"/>
      <selection pane="topRight"/>
      <pageMargins left="0.7" right="0.7" top="0.75" bottom="0.75" header="0.3" footer="0.3"/>
      <autoFilter ref="B1:E1"/>
    </customSheetView>
    <customSheetView guid="{ACF55590-2DD5-4F64-8513-A5656764A8B4}" showAutoFilter="1">
      <pane xSplit="1" topLeftCell="B1" activePane="topRight" state="frozen"/>
      <selection pane="topRight"/>
      <pageMargins left="0.7" right="0.7" top="0.75" bottom="0.75" header="0.3" footer="0.3"/>
      <autoFilter ref="B1:E1"/>
    </customSheetView>
    <customSheetView guid="{FC4FBBDB-A3CF-4CB2-B1C9-D5DDEB34891E}" showAutoFilter="1">
      <pane xSplit="1" topLeftCell="B1" activePane="topRight" state="frozen"/>
      <selection pane="topRight" activeCell="C10" sqref="C10"/>
      <pageMargins left="0.7" right="0.7" top="0.75" bottom="0.75" header="0.3" footer="0.3"/>
      <autoFilter ref="B1:E1"/>
    </customSheetView>
    <customSheetView guid="{E7F7CB01-84EF-4CA7-B9F6-361080D9FD6D}" showAutoFilter="1">
      <pane xSplit="1" topLeftCell="B1" activePane="topRight" state="frozen"/>
      <selection pane="topRight" activeCell="A6" sqref="A6"/>
      <pageMargins left="0.7" right="0.7" top="0.75" bottom="0.75" header="0.3" footer="0.3"/>
      <pageSetup paperSize="9" orientation="portrait" r:id="rId3"/>
      <autoFilter ref="B1:V1"/>
    </customSheetView>
    <customSheetView guid="{609B000A-3B9D-4F2C-A882-9D8FED21A0B4}" showAutoFilter="1">
      <pane xSplit="1" topLeftCell="B1" activePane="topRight" state="frozen"/>
      <selection pane="topRight" activeCell="A6" sqref="A6"/>
      <pageMargins left="0.7" right="0.7" top="0.75" bottom="0.75" header="0.3" footer="0.3"/>
      <pageSetup paperSize="9" orientation="portrait" r:id="rId4"/>
      <autoFilter ref="B1:V1"/>
    </customSheetView>
  </customSheetViews>
  <mergeCells count="1">
    <mergeCell ref="F2:K2"/>
  </mergeCells>
  <conditionalFormatting sqref="A5:A100">
    <cfRule type="duplicateValues" dxfId="9" priority="1"/>
  </conditionalFormatting>
  <hyperlinks>
    <hyperlink ref="G4:K4" r:id="rId5" display="DEUX@1"/>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dimension ref="A1"/>
  <sheetViews>
    <sheetView workbookViewId="0">
      <selection activeCell="A4" sqref="A4"/>
    </sheetView>
  </sheetViews>
  <sheetFormatPr defaultRowHeight="11.25" x14ac:dyDescent="0.2"/>
  <cols>
    <col min="1" max="1" width="208.1640625" customWidth="1"/>
  </cols>
  <sheetData>
    <row r="1" spans="1:1" ht="409.5" x14ac:dyDescent="0.2">
      <c r="A1" s="49" t="s">
        <v>971</v>
      </c>
    </row>
  </sheetData>
  <pageMargins left="0.7" right="0.7" top="0.75" bottom="0.75" header="0.3" footer="0.3"/>
  <pageSetup paperSize="9" orientation="portrait"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tabColor theme="9" tint="0.39997558519241921"/>
  </sheetPr>
  <dimension ref="A1:N253"/>
  <sheetViews>
    <sheetView zoomScaleNormal="100" workbookViewId="0">
      <pane xSplit="2" ySplit="4" topLeftCell="C5" activePane="bottomRight" state="frozen"/>
      <selection activeCell="Q35" sqref="P35:Q35"/>
      <selection pane="topRight" activeCell="Q35" sqref="P35:Q35"/>
      <selection pane="bottomLeft" activeCell="Q35" sqref="P35:Q35"/>
      <selection pane="bottomRight" activeCell="D1" sqref="D1"/>
    </sheetView>
  </sheetViews>
  <sheetFormatPr defaultRowHeight="12" x14ac:dyDescent="0.2"/>
  <cols>
    <col min="1" max="1" width="13.33203125" style="9" bestFit="1" customWidth="1"/>
    <col min="2" max="2" width="23.5" style="9" bestFit="1" customWidth="1"/>
    <col min="3" max="4" width="21.5" style="9" customWidth="1"/>
    <col min="5" max="5" width="16.5" style="13" customWidth="1"/>
    <col min="6" max="6" width="18.1640625" style="112" customWidth="1"/>
    <col min="7" max="7" width="20.83203125" style="112" customWidth="1"/>
    <col min="8" max="8" width="18.33203125" style="112" customWidth="1"/>
    <col min="9" max="9" width="18" style="112" customWidth="1"/>
    <col min="10" max="10" width="9.33203125" style="4"/>
    <col min="11" max="11" width="9.33203125" style="9"/>
    <col min="13" max="13" width="9.33203125" style="9"/>
    <col min="15" max="16384" width="9.33203125" style="9"/>
  </cols>
  <sheetData>
    <row r="1" spans="1:12" s="86" customFormat="1" ht="15" x14ac:dyDescent="0.25">
      <c r="A1" s="85" t="s">
        <v>43</v>
      </c>
      <c r="B1" s="183" t="s">
        <v>15</v>
      </c>
      <c r="C1" s="87" t="s">
        <v>44</v>
      </c>
      <c r="D1" s="213" t="s">
        <v>132</v>
      </c>
      <c r="E1" s="85" t="s">
        <v>209</v>
      </c>
      <c r="F1" s="183" t="s">
        <v>938</v>
      </c>
      <c r="G1" s="85" t="s">
        <v>9</v>
      </c>
      <c r="I1" s="82" t="s">
        <v>262</v>
      </c>
      <c r="J1" s="181" t="b">
        <v>0</v>
      </c>
    </row>
    <row r="2" spans="1:12" s="103" customFormat="1" ht="15" x14ac:dyDescent="0.25">
      <c r="A2" s="102" t="s">
        <v>366</v>
      </c>
      <c r="B2" s="141" t="s">
        <v>365</v>
      </c>
      <c r="C2" s="141" t="s">
        <v>199</v>
      </c>
      <c r="D2" s="141" t="s">
        <v>363</v>
      </c>
      <c r="F2" s="284" t="s">
        <v>292</v>
      </c>
      <c r="G2" s="285"/>
      <c r="H2" s="285"/>
      <c r="I2" s="286"/>
      <c r="J2" s="104"/>
      <c r="K2" s="105"/>
    </row>
    <row r="3" spans="1:12" s="103" customFormat="1" ht="15" x14ac:dyDescent="0.25">
      <c r="A3" s="141" t="s">
        <v>404</v>
      </c>
      <c r="B3" s="141" t="s">
        <v>362</v>
      </c>
      <c r="C3" s="141" t="s">
        <v>293</v>
      </c>
      <c r="D3" s="141" t="s">
        <v>364</v>
      </c>
      <c r="F3" s="106" t="s">
        <v>293</v>
      </c>
      <c r="G3" s="107"/>
      <c r="H3" s="107"/>
      <c r="I3" s="107"/>
      <c r="J3" s="104"/>
      <c r="K3" s="105"/>
    </row>
    <row r="4" spans="1:12" s="101" customFormat="1" ht="17.25" customHeight="1" x14ac:dyDescent="0.2">
      <c r="A4" s="98" t="s">
        <v>6</v>
      </c>
      <c r="B4" s="98" t="s">
        <v>209</v>
      </c>
      <c r="C4" s="99" t="s">
        <v>9</v>
      </c>
      <c r="D4" s="100" t="s">
        <v>45</v>
      </c>
      <c r="E4" s="100" t="s">
        <v>294</v>
      </c>
      <c r="F4" s="108" t="s">
        <v>291</v>
      </c>
      <c r="G4" s="109"/>
      <c r="H4" s="109"/>
      <c r="I4" s="109"/>
      <c r="L4" s="60"/>
    </row>
    <row r="5" spans="1:12" customFormat="1" ht="15" x14ac:dyDescent="0.25">
      <c r="A5" s="209" t="s">
        <v>271</v>
      </c>
      <c r="B5" s="79" t="s">
        <v>272</v>
      </c>
      <c r="C5" s="9"/>
      <c r="D5" s="9"/>
      <c r="F5" s="111"/>
      <c r="G5" s="110"/>
      <c r="H5" s="110"/>
      <c r="I5" s="110"/>
    </row>
    <row r="6" spans="1:12" customFormat="1" ht="15" x14ac:dyDescent="0.25">
      <c r="A6" s="209" t="s">
        <v>273</v>
      </c>
      <c r="B6" s="79" t="s">
        <v>274</v>
      </c>
      <c r="C6" s="9"/>
      <c r="D6" s="9"/>
      <c r="F6" s="111"/>
      <c r="G6" s="110"/>
      <c r="H6" s="110"/>
      <c r="I6" s="110"/>
    </row>
    <row r="7" spans="1:12" customFormat="1" ht="15" x14ac:dyDescent="0.25">
      <c r="A7" s="209" t="s">
        <v>275</v>
      </c>
      <c r="B7" s="79" t="s">
        <v>276</v>
      </c>
      <c r="C7" s="9"/>
      <c r="D7" s="9"/>
      <c r="F7" s="111"/>
      <c r="G7" s="110"/>
      <c r="H7" s="110"/>
      <c r="I7" s="110"/>
    </row>
    <row r="8" spans="1:12" customFormat="1" ht="15" x14ac:dyDescent="0.25">
      <c r="A8" s="209" t="s">
        <v>460</v>
      </c>
      <c r="B8" s="79" t="s">
        <v>461</v>
      </c>
      <c r="C8" s="9"/>
      <c r="D8" s="9"/>
      <c r="F8" s="111"/>
      <c r="G8" s="110"/>
      <c r="H8" s="110"/>
      <c r="I8" s="110"/>
    </row>
    <row r="9" spans="1:12" customFormat="1" ht="15" x14ac:dyDescent="0.25">
      <c r="A9" s="209" t="s">
        <v>462</v>
      </c>
      <c r="B9" s="79" t="s">
        <v>463</v>
      </c>
      <c r="F9" s="111"/>
      <c r="G9" s="110"/>
      <c r="H9" s="110"/>
      <c r="I9" s="110"/>
    </row>
    <row r="10" spans="1:12" customFormat="1" ht="15" x14ac:dyDescent="0.25">
      <c r="A10" s="209" t="s">
        <v>464</v>
      </c>
      <c r="B10" s="79" t="s">
        <v>465</v>
      </c>
      <c r="F10" s="111"/>
      <c r="G10" s="111"/>
      <c r="H10" s="111"/>
      <c r="I10" s="111"/>
    </row>
    <row r="11" spans="1:12" customFormat="1" ht="15" x14ac:dyDescent="0.25">
      <c r="A11" s="209" t="s">
        <v>466</v>
      </c>
      <c r="B11" s="79" t="s">
        <v>467</v>
      </c>
      <c r="F11" s="111"/>
      <c r="G11" s="111"/>
      <c r="H11" s="111"/>
      <c r="I11" s="111"/>
    </row>
    <row r="12" spans="1:12" customFormat="1" ht="15" x14ac:dyDescent="0.25">
      <c r="A12" s="209" t="s">
        <v>468</v>
      </c>
      <c r="B12" s="79" t="s">
        <v>469</v>
      </c>
      <c r="F12" s="111"/>
      <c r="G12" s="111"/>
      <c r="H12" s="111"/>
      <c r="I12" s="111"/>
    </row>
    <row r="13" spans="1:12" customFormat="1" ht="15" x14ac:dyDescent="0.25">
      <c r="A13" s="209" t="s">
        <v>470</v>
      </c>
      <c r="B13" s="79" t="s">
        <v>471</v>
      </c>
      <c r="F13" s="111"/>
      <c r="G13" s="111"/>
      <c r="H13" s="111"/>
      <c r="I13" s="111"/>
    </row>
    <row r="14" spans="1:12" customFormat="1" ht="15" x14ac:dyDescent="0.25">
      <c r="A14" s="209" t="s">
        <v>472</v>
      </c>
      <c r="B14" s="79" t="s">
        <v>473</v>
      </c>
      <c r="F14" s="111"/>
      <c r="G14" s="111"/>
      <c r="H14" s="111"/>
      <c r="I14" s="111"/>
    </row>
    <row r="15" spans="1:12" customFormat="1" ht="15" x14ac:dyDescent="0.25">
      <c r="A15" s="209" t="s">
        <v>474</v>
      </c>
      <c r="B15" s="79" t="s">
        <v>475</v>
      </c>
      <c r="F15" s="111"/>
      <c r="G15" s="111"/>
      <c r="H15" s="111"/>
      <c r="I15" s="111"/>
    </row>
    <row r="16" spans="1:12" customFormat="1" ht="15" x14ac:dyDescent="0.25">
      <c r="A16" s="209" t="s">
        <v>476</v>
      </c>
      <c r="B16" s="79" t="s">
        <v>477</v>
      </c>
      <c r="F16" s="111"/>
      <c r="G16" s="111"/>
      <c r="H16" s="111"/>
      <c r="I16" s="111"/>
    </row>
    <row r="17" spans="1:14" customFormat="1" ht="15" x14ac:dyDescent="0.25">
      <c r="A17" s="209" t="s">
        <v>478</v>
      </c>
      <c r="B17" s="79" t="s">
        <v>479</v>
      </c>
      <c r="F17" s="111"/>
      <c r="G17" s="111"/>
      <c r="H17" s="111"/>
      <c r="I17" s="111"/>
    </row>
    <row r="18" spans="1:14" customFormat="1" ht="15" x14ac:dyDescent="0.25">
      <c r="A18" s="209" t="s">
        <v>480</v>
      </c>
      <c r="B18" s="79" t="s">
        <v>481</v>
      </c>
      <c r="F18" s="111"/>
      <c r="G18" s="111"/>
      <c r="H18" s="111"/>
      <c r="I18" s="111"/>
    </row>
    <row r="19" spans="1:14" customFormat="1" ht="15" x14ac:dyDescent="0.25">
      <c r="A19" s="209" t="s">
        <v>482</v>
      </c>
      <c r="B19" s="79" t="s">
        <v>483</v>
      </c>
      <c r="F19" s="111"/>
      <c r="G19" s="111"/>
      <c r="H19" s="111"/>
      <c r="I19" s="111"/>
    </row>
    <row r="20" spans="1:14" customFormat="1" ht="15" x14ac:dyDescent="0.25">
      <c r="A20" s="209" t="s">
        <v>484</v>
      </c>
      <c r="B20" s="79" t="s">
        <v>485</v>
      </c>
      <c r="F20" s="111"/>
      <c r="G20" s="111"/>
      <c r="H20" s="111"/>
      <c r="I20" s="111"/>
    </row>
    <row r="21" spans="1:14" customFormat="1" ht="30" x14ac:dyDescent="0.25">
      <c r="A21" s="209" t="s">
        <v>486</v>
      </c>
      <c r="B21" s="79" t="s">
        <v>487</v>
      </c>
      <c r="F21" s="111"/>
      <c r="G21" s="111"/>
      <c r="H21" s="111"/>
      <c r="I21" s="111"/>
    </row>
    <row r="22" spans="1:14" customFormat="1" ht="15" x14ac:dyDescent="0.25">
      <c r="A22" s="209" t="s">
        <v>488</v>
      </c>
      <c r="B22" s="79" t="s">
        <v>489</v>
      </c>
      <c r="F22" s="111"/>
      <c r="G22" s="111"/>
      <c r="H22" s="111"/>
      <c r="I22" s="111"/>
    </row>
    <row r="23" spans="1:14" customFormat="1" ht="15" x14ac:dyDescent="0.25">
      <c r="A23" s="209" t="s">
        <v>490</v>
      </c>
      <c r="B23" s="79" t="s">
        <v>491</v>
      </c>
      <c r="F23" s="111"/>
      <c r="G23" s="111"/>
      <c r="H23" s="111"/>
      <c r="I23" s="111"/>
    </row>
    <row r="24" spans="1:14" customFormat="1" ht="15" x14ac:dyDescent="0.25">
      <c r="A24" s="209" t="s">
        <v>492</v>
      </c>
      <c r="B24" s="79" t="s">
        <v>493</v>
      </c>
      <c r="F24" s="111"/>
      <c r="G24" s="111"/>
      <c r="H24" s="111"/>
      <c r="I24" s="111"/>
    </row>
    <row r="25" spans="1:14" customFormat="1" ht="15" x14ac:dyDescent="0.25">
      <c r="A25" s="209" t="s">
        <v>494</v>
      </c>
      <c r="B25" s="79" t="s">
        <v>495</v>
      </c>
      <c r="F25" s="111"/>
      <c r="G25" s="111"/>
      <c r="H25" s="111"/>
      <c r="I25" s="111"/>
    </row>
    <row r="26" spans="1:14" customFormat="1" ht="15" x14ac:dyDescent="0.25">
      <c r="A26" s="209" t="s">
        <v>496</v>
      </c>
      <c r="B26" s="79" t="s">
        <v>497</v>
      </c>
      <c r="F26" s="111"/>
      <c r="G26" s="111"/>
      <c r="H26" s="111"/>
      <c r="I26" s="111"/>
    </row>
    <row r="27" spans="1:14" customFormat="1" ht="15" x14ac:dyDescent="0.25">
      <c r="A27" s="209" t="s">
        <v>498</v>
      </c>
      <c r="B27" s="79" t="s">
        <v>499</v>
      </c>
      <c r="F27" s="111"/>
      <c r="G27" s="111"/>
      <c r="H27" s="111"/>
      <c r="I27" s="111"/>
    </row>
    <row r="28" spans="1:14" customFormat="1" ht="15" x14ac:dyDescent="0.25">
      <c r="A28" s="209" t="s">
        <v>500</v>
      </c>
      <c r="B28" s="79" t="s">
        <v>501</v>
      </c>
      <c r="F28" s="111"/>
      <c r="G28" s="111"/>
      <c r="H28" s="111"/>
      <c r="I28" s="111"/>
    </row>
    <row r="29" spans="1:14" customFormat="1" ht="15" x14ac:dyDescent="0.25">
      <c r="A29" s="209" t="s">
        <v>502</v>
      </c>
      <c r="B29" s="79" t="s">
        <v>503</v>
      </c>
      <c r="F29" s="111"/>
      <c r="G29" s="111"/>
      <c r="H29" s="111"/>
      <c r="I29" s="111"/>
    </row>
    <row r="30" spans="1:14" customFormat="1" ht="15" x14ac:dyDescent="0.25">
      <c r="A30" s="209" t="s">
        <v>504</v>
      </c>
      <c r="B30" s="79" t="s">
        <v>505</v>
      </c>
      <c r="F30" s="111"/>
      <c r="G30" s="111"/>
      <c r="H30" s="111"/>
      <c r="I30" s="111"/>
    </row>
    <row r="31" spans="1:14" ht="15" x14ac:dyDescent="0.25">
      <c r="A31" s="209" t="s">
        <v>506</v>
      </c>
      <c r="B31" s="79" t="s">
        <v>507</v>
      </c>
      <c r="C31" s="11"/>
      <c r="D31" s="11"/>
      <c r="E31" s="19"/>
      <c r="J31" s="5"/>
      <c r="L31" s="9"/>
      <c r="N31" s="9"/>
    </row>
    <row r="32" spans="1:14" ht="15" x14ac:dyDescent="0.25">
      <c r="A32" s="209" t="s">
        <v>508</v>
      </c>
      <c r="B32" s="79" t="s">
        <v>509</v>
      </c>
      <c r="C32" s="11"/>
      <c r="D32" s="11"/>
      <c r="E32" s="19"/>
      <c r="J32" s="5"/>
      <c r="L32" s="9"/>
      <c r="N32" s="9"/>
    </row>
    <row r="33" spans="1:14" ht="30" x14ac:dyDescent="0.25">
      <c r="A33" s="209" t="s">
        <v>510</v>
      </c>
      <c r="B33" s="79" t="s">
        <v>511</v>
      </c>
      <c r="C33" s="11"/>
      <c r="D33" s="11"/>
      <c r="E33" s="19"/>
      <c r="J33" s="5"/>
      <c r="L33" s="9"/>
      <c r="N33" s="9"/>
    </row>
    <row r="34" spans="1:14" ht="30" x14ac:dyDescent="0.25">
      <c r="A34" s="209" t="s">
        <v>512</v>
      </c>
      <c r="B34" s="79" t="s">
        <v>513</v>
      </c>
      <c r="C34" s="11"/>
      <c r="D34" s="11"/>
      <c r="E34" s="19"/>
      <c r="J34" s="5"/>
      <c r="L34" s="9"/>
      <c r="N34" s="9"/>
    </row>
    <row r="35" spans="1:14" ht="15" x14ac:dyDescent="0.25">
      <c r="A35" s="209" t="s">
        <v>514</v>
      </c>
      <c r="B35" s="79" t="s">
        <v>515</v>
      </c>
      <c r="C35" s="11"/>
      <c r="D35" s="11"/>
      <c r="E35" s="19"/>
      <c r="J35" s="5"/>
      <c r="L35" s="9"/>
      <c r="N35" s="9"/>
    </row>
    <row r="36" spans="1:14" s="12" customFormat="1" ht="15" x14ac:dyDescent="0.25">
      <c r="A36" s="209" t="s">
        <v>516</v>
      </c>
      <c r="B36" s="79" t="s">
        <v>517</v>
      </c>
      <c r="C36" s="11"/>
      <c r="D36" s="11"/>
      <c r="E36" s="19"/>
      <c r="F36" s="113"/>
      <c r="G36" s="114"/>
      <c r="H36" s="115"/>
      <c r="I36" s="114"/>
      <c r="J36" s="5"/>
      <c r="K36" s="18"/>
    </row>
    <row r="37" spans="1:14" s="12" customFormat="1" ht="15" x14ac:dyDescent="0.25">
      <c r="A37" s="209" t="s">
        <v>518</v>
      </c>
      <c r="B37" s="79" t="s">
        <v>519</v>
      </c>
      <c r="C37" s="11"/>
      <c r="D37" s="11"/>
      <c r="E37" s="19"/>
      <c r="F37" s="113"/>
      <c r="G37" s="114"/>
      <c r="H37" s="115"/>
      <c r="I37" s="114"/>
      <c r="J37" s="5"/>
      <c r="K37" s="18"/>
    </row>
    <row r="38" spans="1:14" s="12" customFormat="1" ht="15" x14ac:dyDescent="0.25">
      <c r="A38" s="209" t="s">
        <v>520</v>
      </c>
      <c r="B38" s="79" t="s">
        <v>521</v>
      </c>
      <c r="C38" s="9"/>
      <c r="D38" s="9"/>
      <c r="E38" s="19"/>
      <c r="F38" s="113"/>
      <c r="G38" s="114"/>
      <c r="H38" s="115"/>
      <c r="I38" s="114"/>
      <c r="J38" s="5"/>
      <c r="K38" s="18"/>
    </row>
    <row r="39" spans="1:14" ht="15" x14ac:dyDescent="0.25">
      <c r="A39" s="209" t="s">
        <v>522</v>
      </c>
      <c r="B39" s="79" t="s">
        <v>523</v>
      </c>
      <c r="C39" s="11"/>
      <c r="D39" s="11"/>
      <c r="E39" s="19"/>
      <c r="J39" s="5"/>
      <c r="L39" s="9"/>
      <c r="N39" s="9"/>
    </row>
    <row r="40" spans="1:14" s="12" customFormat="1" ht="15" x14ac:dyDescent="0.25">
      <c r="A40" s="209" t="s">
        <v>524</v>
      </c>
      <c r="B40" s="79" t="s">
        <v>525</v>
      </c>
      <c r="C40" s="11"/>
      <c r="D40" s="11"/>
      <c r="E40" s="19"/>
      <c r="F40" s="113"/>
      <c r="G40" s="114"/>
      <c r="H40" s="115"/>
      <c r="I40" s="114"/>
      <c r="J40" s="5"/>
      <c r="K40" s="18"/>
    </row>
    <row r="41" spans="1:14" s="12" customFormat="1" ht="15" x14ac:dyDescent="0.25">
      <c r="A41" s="209" t="s">
        <v>526</v>
      </c>
      <c r="B41" s="79" t="s">
        <v>527</v>
      </c>
      <c r="C41" s="11"/>
      <c r="D41" s="11"/>
      <c r="E41" s="19"/>
      <c r="F41" s="113"/>
      <c r="G41" s="113"/>
      <c r="H41" s="113"/>
      <c r="I41" s="113"/>
      <c r="J41" s="5"/>
    </row>
    <row r="42" spans="1:14" ht="15" x14ac:dyDescent="0.25">
      <c r="A42" s="209" t="s">
        <v>528</v>
      </c>
      <c r="B42" s="79" t="s">
        <v>529</v>
      </c>
      <c r="C42" s="11"/>
      <c r="D42" s="11"/>
      <c r="E42" s="19"/>
      <c r="J42" s="5"/>
      <c r="L42" s="9"/>
      <c r="N42" s="9"/>
    </row>
    <row r="43" spans="1:14" ht="30" x14ac:dyDescent="0.25">
      <c r="A43" s="209" t="s">
        <v>530</v>
      </c>
      <c r="B43" s="79" t="s">
        <v>531</v>
      </c>
      <c r="C43" s="11"/>
      <c r="D43" s="11"/>
      <c r="E43" s="19"/>
      <c r="J43" s="5"/>
      <c r="L43" s="9"/>
      <c r="N43" s="9"/>
    </row>
    <row r="44" spans="1:14" ht="30" x14ac:dyDescent="0.25">
      <c r="A44" s="209" t="s">
        <v>532</v>
      </c>
      <c r="B44" s="79" t="s">
        <v>533</v>
      </c>
      <c r="C44" s="11"/>
      <c r="D44" s="11"/>
      <c r="E44" s="19"/>
      <c r="J44" s="5"/>
      <c r="L44" s="9"/>
      <c r="N44" s="9"/>
    </row>
    <row r="45" spans="1:14" ht="30" x14ac:dyDescent="0.25">
      <c r="A45" s="209" t="s">
        <v>534</v>
      </c>
      <c r="B45" s="79" t="s">
        <v>535</v>
      </c>
      <c r="C45" s="11"/>
      <c r="D45" s="11"/>
      <c r="E45" s="19"/>
      <c r="J45" s="5"/>
      <c r="L45" s="9"/>
      <c r="N45" s="9"/>
    </row>
    <row r="46" spans="1:14" ht="15" x14ac:dyDescent="0.25">
      <c r="A46" s="209" t="s">
        <v>536</v>
      </c>
      <c r="B46" s="79" t="s">
        <v>537</v>
      </c>
      <c r="C46" s="11"/>
      <c r="D46" s="11"/>
      <c r="E46" s="19"/>
      <c r="J46" s="5"/>
      <c r="L46" s="9"/>
      <c r="N46" s="9"/>
    </row>
    <row r="47" spans="1:14" ht="15" x14ac:dyDescent="0.25">
      <c r="A47" s="209" t="s">
        <v>538</v>
      </c>
      <c r="B47" s="79" t="s">
        <v>539</v>
      </c>
      <c r="C47" s="11"/>
      <c r="D47" s="11"/>
      <c r="E47" s="19"/>
      <c r="J47" s="5"/>
      <c r="L47" s="9"/>
      <c r="N47" s="9"/>
    </row>
    <row r="48" spans="1:14" ht="15" x14ac:dyDescent="0.25">
      <c r="A48" s="209" t="s">
        <v>540</v>
      </c>
      <c r="B48" s="79" t="s">
        <v>541</v>
      </c>
      <c r="C48" s="11"/>
      <c r="D48" s="11"/>
      <c r="E48" s="19"/>
      <c r="J48" s="5"/>
      <c r="L48" s="9"/>
      <c r="N48" s="9"/>
    </row>
    <row r="49" spans="1:14" ht="15" x14ac:dyDescent="0.25">
      <c r="A49" s="209" t="s">
        <v>542</v>
      </c>
      <c r="B49" s="79" t="s">
        <v>543</v>
      </c>
      <c r="C49" s="11"/>
      <c r="D49" s="11"/>
      <c r="E49" s="19"/>
      <c r="J49" s="5"/>
      <c r="L49" s="9"/>
      <c r="N49" s="9"/>
    </row>
    <row r="50" spans="1:14" ht="15" x14ac:dyDescent="0.25">
      <c r="A50" s="209" t="s">
        <v>544</v>
      </c>
      <c r="B50" s="79" t="s">
        <v>545</v>
      </c>
      <c r="C50" s="11"/>
      <c r="D50" s="11"/>
      <c r="E50" s="19"/>
      <c r="J50" s="5"/>
      <c r="L50" s="9"/>
      <c r="N50" s="9"/>
    </row>
    <row r="51" spans="1:14" ht="15" x14ac:dyDescent="0.25">
      <c r="A51" s="209" t="s">
        <v>546</v>
      </c>
      <c r="B51" s="79" t="s">
        <v>547</v>
      </c>
      <c r="C51" s="11"/>
      <c r="D51" s="11"/>
      <c r="E51" s="19"/>
      <c r="J51" s="5"/>
      <c r="L51" s="9"/>
      <c r="N51" s="9"/>
    </row>
    <row r="52" spans="1:14" ht="15" x14ac:dyDescent="0.25">
      <c r="A52" s="209" t="s">
        <v>548</v>
      </c>
      <c r="B52" s="79" t="s">
        <v>549</v>
      </c>
      <c r="C52" s="11"/>
      <c r="D52" s="11"/>
      <c r="E52" s="19"/>
      <c r="J52" s="5"/>
      <c r="L52" s="9"/>
      <c r="N52" s="9"/>
    </row>
    <row r="53" spans="1:14" ht="15" x14ac:dyDescent="0.25">
      <c r="A53" s="209" t="s">
        <v>550</v>
      </c>
      <c r="B53" s="79" t="s">
        <v>551</v>
      </c>
      <c r="C53" s="11"/>
      <c r="D53" s="11"/>
      <c r="E53" s="19"/>
      <c r="J53" s="5"/>
      <c r="L53" s="9"/>
      <c r="N53" s="9"/>
    </row>
    <row r="54" spans="1:14" ht="15" x14ac:dyDescent="0.25">
      <c r="A54" s="209" t="s">
        <v>552</v>
      </c>
      <c r="B54" s="79" t="s">
        <v>553</v>
      </c>
      <c r="C54" s="11"/>
      <c r="D54" s="11"/>
      <c r="E54" s="19"/>
      <c r="J54" s="5"/>
      <c r="L54" s="9"/>
      <c r="N54" s="9"/>
    </row>
    <row r="55" spans="1:14" ht="15" x14ac:dyDescent="0.25">
      <c r="A55" s="209" t="s">
        <v>554</v>
      </c>
      <c r="B55" s="79" t="s">
        <v>555</v>
      </c>
      <c r="C55" s="7"/>
      <c r="D55" s="7"/>
      <c r="E55" s="20"/>
      <c r="J55" s="5"/>
      <c r="L55" s="9"/>
      <c r="N55" s="9"/>
    </row>
    <row r="56" spans="1:14" ht="15" x14ac:dyDescent="0.25">
      <c r="A56" s="209" t="s">
        <v>556</v>
      </c>
      <c r="B56" s="79" t="s">
        <v>557</v>
      </c>
      <c r="C56" s="11"/>
      <c r="D56" s="11"/>
      <c r="E56" s="19"/>
      <c r="J56" s="5"/>
      <c r="L56" s="9"/>
      <c r="N56" s="9"/>
    </row>
    <row r="57" spans="1:14" ht="15" x14ac:dyDescent="0.25">
      <c r="A57" s="209" t="s">
        <v>558</v>
      </c>
      <c r="B57" s="79" t="s">
        <v>559</v>
      </c>
      <c r="C57" s="11"/>
      <c r="D57" s="11"/>
      <c r="E57" s="19"/>
      <c r="J57" s="5"/>
      <c r="L57" s="9"/>
      <c r="N57" s="9"/>
    </row>
    <row r="58" spans="1:14" ht="15" x14ac:dyDescent="0.25">
      <c r="A58" s="209" t="s">
        <v>560</v>
      </c>
      <c r="B58" s="79" t="s">
        <v>561</v>
      </c>
      <c r="C58" s="11"/>
      <c r="D58" s="11"/>
      <c r="E58" s="19"/>
      <c r="J58" s="5"/>
      <c r="L58" s="9"/>
      <c r="N58" s="9"/>
    </row>
    <row r="59" spans="1:14" ht="15" x14ac:dyDescent="0.25">
      <c r="A59" s="209" t="s">
        <v>562</v>
      </c>
      <c r="B59" s="79" t="s">
        <v>563</v>
      </c>
      <c r="C59" s="11"/>
      <c r="D59" s="11"/>
      <c r="E59" s="19"/>
      <c r="J59" s="5"/>
      <c r="L59" s="9"/>
      <c r="N59" s="9"/>
    </row>
    <row r="60" spans="1:14" ht="15" x14ac:dyDescent="0.25">
      <c r="A60" s="209" t="s">
        <v>564</v>
      </c>
      <c r="B60" s="79" t="s">
        <v>565</v>
      </c>
      <c r="C60" s="11"/>
      <c r="D60" s="11"/>
      <c r="E60" s="19"/>
      <c r="J60" s="5"/>
      <c r="L60" s="9"/>
      <c r="N60" s="9"/>
    </row>
    <row r="61" spans="1:14" ht="15" x14ac:dyDescent="0.25">
      <c r="A61" s="209" t="s">
        <v>566</v>
      </c>
      <c r="B61" s="79" t="s">
        <v>567</v>
      </c>
      <c r="C61" s="11"/>
      <c r="D61" s="11"/>
      <c r="E61" s="19"/>
      <c r="J61" s="5"/>
      <c r="L61" s="9"/>
      <c r="N61" s="9"/>
    </row>
    <row r="62" spans="1:14" ht="15" x14ac:dyDescent="0.25">
      <c r="A62" s="209" t="s">
        <v>453</v>
      </c>
      <c r="B62" s="79" t="s">
        <v>568</v>
      </c>
      <c r="C62" s="11"/>
      <c r="D62" s="11"/>
      <c r="E62" s="19"/>
      <c r="J62" s="5"/>
      <c r="L62" s="9"/>
      <c r="N62" s="9"/>
    </row>
    <row r="63" spans="1:14" ht="15" x14ac:dyDescent="0.25">
      <c r="A63" s="209" t="s">
        <v>569</v>
      </c>
      <c r="B63" s="79" t="s">
        <v>570</v>
      </c>
      <c r="C63" s="11"/>
      <c r="D63" s="11"/>
      <c r="E63" s="19"/>
      <c r="J63" s="5"/>
      <c r="L63" s="9"/>
      <c r="N63" s="9"/>
    </row>
    <row r="64" spans="1:14" ht="15" x14ac:dyDescent="0.25">
      <c r="A64" s="209" t="s">
        <v>571</v>
      </c>
      <c r="B64" s="79" t="s">
        <v>572</v>
      </c>
      <c r="C64" s="11"/>
      <c r="D64" s="11"/>
      <c r="E64" s="19"/>
      <c r="J64" s="5"/>
      <c r="L64" s="9"/>
      <c r="N64" s="9"/>
    </row>
    <row r="65" spans="1:14" ht="15" x14ac:dyDescent="0.25">
      <c r="A65" s="209" t="s">
        <v>573</v>
      </c>
      <c r="B65" s="79" t="s">
        <v>574</v>
      </c>
      <c r="C65" s="11"/>
      <c r="D65" s="11"/>
      <c r="E65" s="19"/>
      <c r="J65" s="5"/>
      <c r="L65" s="9"/>
      <c r="N65" s="9"/>
    </row>
    <row r="66" spans="1:14" ht="15" x14ac:dyDescent="0.25">
      <c r="A66" s="209" t="s">
        <v>575</v>
      </c>
      <c r="B66" s="79" t="s">
        <v>576</v>
      </c>
      <c r="C66" s="11"/>
      <c r="D66" s="11"/>
      <c r="E66" s="19"/>
      <c r="J66" s="5"/>
      <c r="L66" s="9"/>
      <c r="N66" s="9"/>
    </row>
    <row r="67" spans="1:14" ht="15" x14ac:dyDescent="0.25">
      <c r="A67" s="209" t="s">
        <v>577</v>
      </c>
      <c r="B67" s="79" t="s">
        <v>578</v>
      </c>
      <c r="C67" s="11"/>
      <c r="D67" s="11"/>
      <c r="E67" s="19"/>
      <c r="J67" s="5"/>
      <c r="L67" s="9"/>
      <c r="N67" s="9"/>
    </row>
    <row r="68" spans="1:14" ht="15" x14ac:dyDescent="0.25">
      <c r="A68" s="209" t="s">
        <v>579</v>
      </c>
      <c r="B68" s="79" t="s">
        <v>580</v>
      </c>
      <c r="C68" s="11"/>
      <c r="D68" s="11"/>
      <c r="E68" s="19"/>
      <c r="J68" s="5"/>
      <c r="L68" s="9"/>
      <c r="N68" s="9"/>
    </row>
    <row r="69" spans="1:14" ht="15" x14ac:dyDescent="0.25">
      <c r="A69" s="209" t="s">
        <v>581</v>
      </c>
      <c r="B69" s="79" t="s">
        <v>582</v>
      </c>
      <c r="C69" s="11"/>
      <c r="D69" s="11"/>
      <c r="E69" s="19"/>
      <c r="J69" s="5"/>
      <c r="L69" s="9"/>
      <c r="N69" s="9"/>
    </row>
    <row r="70" spans="1:14" ht="15" x14ac:dyDescent="0.25">
      <c r="A70" s="209" t="s">
        <v>583</v>
      </c>
      <c r="B70" s="79" t="s">
        <v>584</v>
      </c>
      <c r="C70" s="11"/>
      <c r="D70" s="11"/>
      <c r="E70" s="19"/>
      <c r="J70" s="5"/>
      <c r="L70" s="9"/>
      <c r="N70" s="9"/>
    </row>
    <row r="71" spans="1:14" ht="15" x14ac:dyDescent="0.25">
      <c r="A71" s="209" t="s">
        <v>585</v>
      </c>
      <c r="B71" s="79" t="s">
        <v>586</v>
      </c>
      <c r="C71" s="11"/>
      <c r="D71" s="11"/>
      <c r="E71" s="19"/>
      <c r="J71" s="5"/>
      <c r="L71" s="9"/>
      <c r="N71" s="9"/>
    </row>
    <row r="72" spans="1:14" ht="15" x14ac:dyDescent="0.25">
      <c r="A72" s="209" t="s">
        <v>452</v>
      </c>
      <c r="B72" s="79" t="s">
        <v>587</v>
      </c>
      <c r="C72" s="11"/>
      <c r="D72" s="11"/>
      <c r="E72" s="19"/>
      <c r="J72" s="5"/>
      <c r="L72" s="9"/>
      <c r="N72" s="9"/>
    </row>
    <row r="73" spans="1:14" ht="15" x14ac:dyDescent="0.25">
      <c r="A73" s="209" t="s">
        <v>588</v>
      </c>
      <c r="B73" s="79" t="s">
        <v>589</v>
      </c>
      <c r="C73" s="11"/>
      <c r="D73" s="11"/>
      <c r="E73" s="19"/>
      <c r="J73" s="5"/>
      <c r="L73" s="9"/>
      <c r="N73" s="9"/>
    </row>
    <row r="74" spans="1:14" ht="15" x14ac:dyDescent="0.25">
      <c r="A74" s="209" t="s">
        <v>590</v>
      </c>
      <c r="B74" s="79" t="s">
        <v>591</v>
      </c>
      <c r="C74" s="11"/>
      <c r="D74" s="11"/>
      <c r="E74" s="19"/>
      <c r="J74" s="5"/>
      <c r="L74" s="9"/>
      <c r="N74" s="9"/>
    </row>
    <row r="75" spans="1:14" ht="15" x14ac:dyDescent="0.25">
      <c r="A75" s="209" t="s">
        <v>592</v>
      </c>
      <c r="B75" s="79" t="s">
        <v>593</v>
      </c>
      <c r="C75" s="11"/>
      <c r="D75" s="11"/>
      <c r="E75" s="19"/>
      <c r="J75" s="5"/>
      <c r="L75" s="9"/>
      <c r="N75" s="9"/>
    </row>
    <row r="76" spans="1:14" ht="30" x14ac:dyDescent="0.25">
      <c r="A76" s="209" t="s">
        <v>594</v>
      </c>
      <c r="B76" s="79" t="s">
        <v>595</v>
      </c>
      <c r="C76" s="11"/>
      <c r="D76" s="11"/>
      <c r="E76" s="19"/>
      <c r="J76" s="5"/>
      <c r="L76" s="9"/>
      <c r="N76" s="9"/>
    </row>
    <row r="77" spans="1:14" ht="30" x14ac:dyDescent="0.25">
      <c r="A77" s="209" t="s">
        <v>596</v>
      </c>
      <c r="B77" s="79" t="s">
        <v>597</v>
      </c>
      <c r="C77" s="11"/>
      <c r="D77" s="11"/>
      <c r="E77" s="19"/>
      <c r="J77" s="5"/>
      <c r="L77" s="9"/>
      <c r="N77" s="9"/>
    </row>
    <row r="78" spans="1:14" ht="15" x14ac:dyDescent="0.25">
      <c r="A78" s="209" t="s">
        <v>598</v>
      </c>
      <c r="B78" s="79" t="s">
        <v>599</v>
      </c>
      <c r="C78" s="11"/>
      <c r="D78" s="11"/>
      <c r="E78" s="19"/>
      <c r="J78" s="5"/>
      <c r="L78" s="9"/>
      <c r="N78" s="9"/>
    </row>
    <row r="79" spans="1:14" ht="15" x14ac:dyDescent="0.25">
      <c r="A79" s="209" t="s">
        <v>600</v>
      </c>
      <c r="B79" s="79" t="s">
        <v>601</v>
      </c>
      <c r="C79" s="11"/>
      <c r="D79" s="11"/>
      <c r="E79" s="19"/>
      <c r="J79" s="5"/>
      <c r="L79" s="9"/>
      <c r="N79" s="9"/>
    </row>
    <row r="80" spans="1:14" ht="15" x14ac:dyDescent="0.25">
      <c r="A80" s="209" t="s">
        <v>602</v>
      </c>
      <c r="B80" s="79" t="s">
        <v>603</v>
      </c>
      <c r="C80" s="11"/>
      <c r="D80" s="11"/>
      <c r="E80" s="19"/>
      <c r="J80" s="5"/>
      <c r="L80" s="9"/>
      <c r="N80" s="9"/>
    </row>
    <row r="81" spans="1:14" ht="45" x14ac:dyDescent="0.25">
      <c r="A81" s="209" t="s">
        <v>604</v>
      </c>
      <c r="B81" s="79" t="s">
        <v>605</v>
      </c>
      <c r="C81" s="11"/>
      <c r="D81" s="11"/>
      <c r="E81" s="19"/>
      <c r="J81" s="5"/>
      <c r="L81" s="9"/>
      <c r="N81" s="9"/>
    </row>
    <row r="82" spans="1:14" ht="15" x14ac:dyDescent="0.25">
      <c r="A82" s="209" t="s">
        <v>606</v>
      </c>
      <c r="B82" s="79" t="s">
        <v>607</v>
      </c>
      <c r="C82" s="11"/>
      <c r="D82" s="11"/>
      <c r="E82" s="19"/>
      <c r="J82" s="5"/>
      <c r="L82" s="9"/>
      <c r="N82" s="9"/>
    </row>
    <row r="83" spans="1:14" ht="15" x14ac:dyDescent="0.25">
      <c r="A83" s="209" t="s">
        <v>608</v>
      </c>
      <c r="B83" s="79" t="s">
        <v>609</v>
      </c>
      <c r="C83" s="11"/>
      <c r="D83" s="11"/>
      <c r="E83" s="19"/>
      <c r="J83" s="5"/>
      <c r="L83" s="9"/>
      <c r="N83" s="9"/>
    </row>
    <row r="84" spans="1:14" ht="15" x14ac:dyDescent="0.25">
      <c r="A84" s="209" t="s">
        <v>610</v>
      </c>
      <c r="B84" s="79" t="s">
        <v>611</v>
      </c>
      <c r="C84" s="11"/>
      <c r="D84" s="11"/>
      <c r="J84" s="5"/>
      <c r="L84" s="9"/>
      <c r="N84" s="9"/>
    </row>
    <row r="85" spans="1:14" ht="15" x14ac:dyDescent="0.25">
      <c r="A85" s="209" t="s">
        <v>612</v>
      </c>
      <c r="B85" s="79" t="s">
        <v>613</v>
      </c>
      <c r="C85" s="11"/>
      <c r="D85" s="11"/>
      <c r="E85" s="19"/>
      <c r="J85" s="5"/>
      <c r="L85" s="9"/>
      <c r="N85" s="9"/>
    </row>
    <row r="86" spans="1:14" ht="15" x14ac:dyDescent="0.25">
      <c r="A86" s="209" t="s">
        <v>614</v>
      </c>
      <c r="B86" s="79" t="s">
        <v>615</v>
      </c>
      <c r="C86" s="11"/>
      <c r="D86" s="11"/>
      <c r="E86" s="19"/>
      <c r="J86" s="5"/>
      <c r="L86" s="9"/>
      <c r="N86" s="9"/>
    </row>
    <row r="87" spans="1:14" ht="15" x14ac:dyDescent="0.25">
      <c r="A87" s="209" t="s">
        <v>616</v>
      </c>
      <c r="B87" s="79" t="s">
        <v>617</v>
      </c>
      <c r="C87" s="11"/>
      <c r="D87" s="11"/>
      <c r="E87" s="19"/>
      <c r="J87" s="5"/>
      <c r="L87" s="9"/>
      <c r="N87" s="9"/>
    </row>
    <row r="88" spans="1:14" ht="15" x14ac:dyDescent="0.25">
      <c r="A88" s="209" t="s">
        <v>618</v>
      </c>
      <c r="B88" s="79" t="s">
        <v>619</v>
      </c>
      <c r="C88" s="11"/>
      <c r="D88" s="11"/>
      <c r="E88" s="19"/>
      <c r="J88" s="5"/>
      <c r="L88" s="9"/>
      <c r="N88" s="9"/>
    </row>
    <row r="89" spans="1:14" ht="15" x14ac:dyDescent="0.25">
      <c r="A89" s="209" t="s">
        <v>620</v>
      </c>
      <c r="B89" s="79" t="s">
        <v>621</v>
      </c>
      <c r="C89" s="11"/>
      <c r="D89" s="11"/>
      <c r="E89" s="19"/>
      <c r="J89" s="5"/>
      <c r="L89" s="9"/>
      <c r="N89" s="9"/>
    </row>
    <row r="90" spans="1:14" ht="15" x14ac:dyDescent="0.25">
      <c r="A90" s="209" t="s">
        <v>622</v>
      </c>
      <c r="B90" s="79" t="s">
        <v>623</v>
      </c>
      <c r="C90" s="11"/>
      <c r="D90" s="11"/>
      <c r="E90" s="19"/>
      <c r="J90" s="5"/>
      <c r="L90" s="9"/>
      <c r="N90" s="9"/>
    </row>
    <row r="91" spans="1:14" ht="15" x14ac:dyDescent="0.25">
      <c r="A91" s="209" t="s">
        <v>624</v>
      </c>
      <c r="B91" s="79" t="s">
        <v>625</v>
      </c>
      <c r="C91" s="11"/>
      <c r="D91" s="11"/>
      <c r="E91" s="19"/>
      <c r="J91" s="5"/>
      <c r="L91" s="9"/>
      <c r="N91" s="9"/>
    </row>
    <row r="92" spans="1:14" ht="15" x14ac:dyDescent="0.25">
      <c r="A92" s="209" t="s">
        <v>626</v>
      </c>
      <c r="B92" s="79" t="s">
        <v>627</v>
      </c>
      <c r="C92" s="11"/>
      <c r="D92" s="11"/>
      <c r="E92" s="19"/>
      <c r="J92" s="5"/>
      <c r="L92" s="9"/>
      <c r="N92" s="9"/>
    </row>
    <row r="93" spans="1:14" ht="15" x14ac:dyDescent="0.25">
      <c r="A93" s="209" t="s">
        <v>628</v>
      </c>
      <c r="B93" s="79" t="s">
        <v>629</v>
      </c>
      <c r="C93" s="11"/>
      <c r="D93" s="11"/>
      <c r="E93" s="19"/>
      <c r="J93" s="5"/>
      <c r="L93" s="9"/>
      <c r="N93" s="9"/>
    </row>
    <row r="94" spans="1:14" ht="45" x14ac:dyDescent="0.25">
      <c r="A94" s="209" t="s">
        <v>630</v>
      </c>
      <c r="B94" s="79" t="s">
        <v>631</v>
      </c>
      <c r="C94" s="11"/>
      <c r="D94" s="11"/>
      <c r="E94" s="19"/>
      <c r="J94" s="5"/>
      <c r="L94" s="9"/>
      <c r="N94" s="9"/>
    </row>
    <row r="95" spans="1:14" ht="15" x14ac:dyDescent="0.25">
      <c r="A95" s="209" t="s">
        <v>632</v>
      </c>
      <c r="B95" s="79" t="s">
        <v>633</v>
      </c>
      <c r="C95" s="11"/>
      <c r="D95" s="11"/>
      <c r="E95" s="19"/>
      <c r="J95" s="5"/>
      <c r="L95" s="9"/>
      <c r="N95" s="9"/>
    </row>
    <row r="96" spans="1:14" ht="15" x14ac:dyDescent="0.25">
      <c r="A96" s="209" t="s">
        <v>634</v>
      </c>
      <c r="B96" s="79" t="s">
        <v>635</v>
      </c>
      <c r="C96" s="11"/>
      <c r="D96" s="11"/>
      <c r="E96" s="19"/>
      <c r="J96" s="5"/>
      <c r="L96" s="9"/>
      <c r="N96" s="9"/>
    </row>
    <row r="97" spans="1:14" ht="15" x14ac:dyDescent="0.25">
      <c r="A97" s="209" t="s">
        <v>636</v>
      </c>
      <c r="B97" s="79" t="s">
        <v>637</v>
      </c>
      <c r="C97" s="11"/>
      <c r="D97" s="11"/>
      <c r="E97" s="19"/>
      <c r="J97" s="5"/>
      <c r="L97" s="9"/>
      <c r="N97" s="9"/>
    </row>
    <row r="98" spans="1:14" ht="15" x14ac:dyDescent="0.25">
      <c r="A98" s="209" t="s">
        <v>638</v>
      </c>
      <c r="B98" s="79" t="s">
        <v>639</v>
      </c>
      <c r="C98" s="11"/>
      <c r="D98" s="11"/>
      <c r="E98" s="19"/>
      <c r="J98" s="5"/>
      <c r="L98" s="9"/>
      <c r="N98" s="9"/>
    </row>
    <row r="99" spans="1:14" ht="15" x14ac:dyDescent="0.25">
      <c r="A99" s="209" t="s">
        <v>640</v>
      </c>
      <c r="B99" s="79" t="s">
        <v>641</v>
      </c>
      <c r="C99" s="11"/>
      <c r="D99" s="11"/>
      <c r="E99" s="19"/>
      <c r="J99" s="5"/>
      <c r="L99" s="9"/>
      <c r="N99" s="9"/>
    </row>
    <row r="100" spans="1:14" ht="30" x14ac:dyDescent="0.25">
      <c r="A100" s="209" t="s">
        <v>642</v>
      </c>
      <c r="B100" s="79" t="s">
        <v>643</v>
      </c>
      <c r="C100" s="11"/>
      <c r="D100" s="11"/>
      <c r="E100" s="19"/>
      <c r="J100" s="5"/>
      <c r="L100" s="9"/>
      <c r="N100" s="9"/>
    </row>
    <row r="101" spans="1:14" ht="15" x14ac:dyDescent="0.25">
      <c r="A101" s="209" t="s">
        <v>644</v>
      </c>
      <c r="B101" s="79" t="s">
        <v>645</v>
      </c>
      <c r="C101" s="11"/>
      <c r="D101" s="11"/>
      <c r="E101" s="19"/>
      <c r="J101" s="5"/>
      <c r="L101" s="9"/>
      <c r="N101" s="9"/>
    </row>
    <row r="102" spans="1:14" ht="12" customHeight="1" x14ac:dyDescent="0.25">
      <c r="A102" s="209" t="s">
        <v>646</v>
      </c>
      <c r="B102" s="79" t="s">
        <v>647</v>
      </c>
      <c r="C102" s="11"/>
      <c r="D102" s="11"/>
      <c r="E102" s="19"/>
      <c r="J102" s="5"/>
      <c r="L102" s="9"/>
      <c r="N102" s="9"/>
    </row>
    <row r="103" spans="1:14" ht="12" customHeight="1" x14ac:dyDescent="0.25">
      <c r="A103" s="209" t="s">
        <v>648</v>
      </c>
      <c r="B103" s="79" t="s">
        <v>649</v>
      </c>
      <c r="C103" s="11"/>
      <c r="D103" s="11"/>
      <c r="E103" s="19"/>
      <c r="J103" s="5"/>
      <c r="L103" s="9"/>
      <c r="N103" s="9"/>
    </row>
    <row r="104" spans="1:14" ht="15" x14ac:dyDescent="0.25">
      <c r="A104" s="209" t="s">
        <v>650</v>
      </c>
      <c r="B104" s="79" t="s">
        <v>651</v>
      </c>
      <c r="C104" s="11"/>
      <c r="D104" s="11"/>
      <c r="E104" s="19"/>
      <c r="J104" s="5"/>
      <c r="L104" s="9"/>
      <c r="N104" s="9"/>
    </row>
    <row r="105" spans="1:14" ht="15" x14ac:dyDescent="0.25">
      <c r="A105" s="209" t="s">
        <v>240</v>
      </c>
      <c r="B105" s="79" t="s">
        <v>652</v>
      </c>
      <c r="C105" s="11"/>
      <c r="D105" s="11"/>
      <c r="E105" s="19"/>
      <c r="J105" s="5"/>
      <c r="L105" s="9"/>
      <c r="N105" s="9"/>
    </row>
    <row r="106" spans="1:14" ht="15" x14ac:dyDescent="0.25">
      <c r="A106" s="209" t="s">
        <v>653</v>
      </c>
      <c r="B106" s="79" t="s">
        <v>654</v>
      </c>
      <c r="C106" s="11"/>
      <c r="D106" s="11"/>
      <c r="E106" s="19"/>
      <c r="J106" s="5"/>
      <c r="L106" s="9"/>
      <c r="N106" s="9"/>
    </row>
    <row r="107" spans="1:14" ht="15" x14ac:dyDescent="0.25">
      <c r="A107" s="209" t="s">
        <v>655</v>
      </c>
      <c r="B107" s="79" t="s">
        <v>656</v>
      </c>
      <c r="C107" s="11"/>
      <c r="D107" s="11"/>
      <c r="E107" s="19"/>
      <c r="J107" s="5"/>
      <c r="L107" s="9"/>
      <c r="N107" s="9"/>
    </row>
    <row r="108" spans="1:14" ht="15" x14ac:dyDescent="0.25">
      <c r="A108" s="209" t="s">
        <v>657</v>
      </c>
      <c r="B108" s="79" t="s">
        <v>658</v>
      </c>
      <c r="C108" s="11"/>
      <c r="D108" s="11"/>
      <c r="E108" s="19"/>
      <c r="J108" s="5"/>
      <c r="L108" s="9"/>
      <c r="N108" s="9"/>
    </row>
    <row r="109" spans="1:14" ht="15" x14ac:dyDescent="0.25">
      <c r="A109" s="209" t="s">
        <v>659</v>
      </c>
      <c r="B109" s="79" t="s">
        <v>660</v>
      </c>
      <c r="C109" s="11"/>
      <c r="D109" s="11"/>
      <c r="E109" s="19"/>
      <c r="J109" s="5"/>
      <c r="L109" s="9"/>
      <c r="N109" s="9"/>
    </row>
    <row r="110" spans="1:14" ht="30" x14ac:dyDescent="0.25">
      <c r="A110" s="209" t="s">
        <v>661</v>
      </c>
      <c r="B110" s="79" t="s">
        <v>662</v>
      </c>
      <c r="C110" s="11"/>
      <c r="D110" s="11"/>
      <c r="E110" s="19"/>
      <c r="J110" s="5"/>
      <c r="L110" s="9"/>
      <c r="N110" s="9"/>
    </row>
    <row r="111" spans="1:14" ht="15" x14ac:dyDescent="0.25">
      <c r="A111" s="209" t="s">
        <v>663</v>
      </c>
      <c r="B111" s="79" t="s">
        <v>664</v>
      </c>
      <c r="C111" s="11"/>
      <c r="D111" s="11"/>
      <c r="E111" s="19"/>
      <c r="J111" s="5"/>
      <c r="L111" s="9"/>
      <c r="N111" s="9"/>
    </row>
    <row r="112" spans="1:14" ht="30" x14ac:dyDescent="0.25">
      <c r="A112" s="209" t="s">
        <v>456</v>
      </c>
      <c r="B112" s="79" t="s">
        <v>665</v>
      </c>
      <c r="C112" s="11"/>
      <c r="D112" s="11"/>
      <c r="E112" s="19"/>
      <c r="J112" s="5"/>
      <c r="L112" s="9"/>
      <c r="N112" s="9"/>
    </row>
    <row r="113" spans="1:14" ht="15" x14ac:dyDescent="0.25">
      <c r="A113" s="209" t="s">
        <v>666</v>
      </c>
      <c r="B113" s="79" t="s">
        <v>667</v>
      </c>
      <c r="C113" s="11"/>
      <c r="D113" s="11"/>
      <c r="E113" s="19"/>
      <c r="J113" s="5"/>
      <c r="L113" s="9"/>
      <c r="N113" s="9"/>
    </row>
    <row r="114" spans="1:14" ht="15" x14ac:dyDescent="0.25">
      <c r="A114" s="209" t="s">
        <v>668</v>
      </c>
      <c r="B114" s="79" t="s">
        <v>669</v>
      </c>
      <c r="C114" s="11"/>
      <c r="D114" s="11"/>
      <c r="E114" s="19"/>
      <c r="J114" s="5"/>
      <c r="L114" s="9"/>
      <c r="N114" s="9"/>
    </row>
    <row r="115" spans="1:14" ht="15" x14ac:dyDescent="0.25">
      <c r="A115" s="209" t="s">
        <v>670</v>
      </c>
      <c r="B115" s="79" t="s">
        <v>671</v>
      </c>
      <c r="C115" s="11"/>
      <c r="D115" s="11"/>
      <c r="E115" s="19"/>
      <c r="J115" s="5"/>
      <c r="L115" s="9"/>
      <c r="N115" s="9"/>
    </row>
    <row r="116" spans="1:14" ht="15" x14ac:dyDescent="0.25">
      <c r="A116" s="209" t="s">
        <v>672</v>
      </c>
      <c r="B116" s="79" t="s">
        <v>673</v>
      </c>
      <c r="C116" s="11"/>
      <c r="D116" s="11"/>
      <c r="E116" s="19"/>
      <c r="J116" s="5"/>
      <c r="L116" s="9"/>
      <c r="N116" s="9"/>
    </row>
    <row r="117" spans="1:14" ht="15" x14ac:dyDescent="0.25">
      <c r="A117" s="209" t="s">
        <v>674</v>
      </c>
      <c r="B117" s="79" t="s">
        <v>675</v>
      </c>
      <c r="C117" s="11"/>
      <c r="D117" s="11"/>
      <c r="E117" s="19"/>
      <c r="J117" s="5"/>
      <c r="L117" s="9"/>
      <c r="N117" s="9"/>
    </row>
    <row r="118" spans="1:14" ht="15" x14ac:dyDescent="0.25">
      <c r="A118" s="209" t="s">
        <v>676</v>
      </c>
      <c r="B118" s="79" t="s">
        <v>677</v>
      </c>
      <c r="C118" s="11"/>
      <c r="D118" s="11"/>
      <c r="E118" s="19"/>
      <c r="J118" s="5"/>
      <c r="L118" s="9"/>
      <c r="N118" s="9"/>
    </row>
    <row r="119" spans="1:14" ht="15" x14ac:dyDescent="0.25">
      <c r="A119" s="209" t="s">
        <v>678</v>
      </c>
      <c r="B119" s="79" t="s">
        <v>679</v>
      </c>
      <c r="C119" s="11"/>
      <c r="D119" s="11"/>
      <c r="E119" s="19"/>
      <c r="J119" s="5"/>
      <c r="L119" s="9"/>
      <c r="N119" s="9"/>
    </row>
    <row r="120" spans="1:14" ht="15" x14ac:dyDescent="0.25">
      <c r="A120" s="209" t="s">
        <v>680</v>
      </c>
      <c r="B120" s="79" t="s">
        <v>681</v>
      </c>
      <c r="C120" s="11"/>
      <c r="D120" s="11"/>
      <c r="E120" s="19"/>
      <c r="J120" s="5"/>
      <c r="L120" s="9"/>
      <c r="N120" s="9"/>
    </row>
    <row r="121" spans="1:14" ht="15" x14ac:dyDescent="0.25">
      <c r="A121" s="209" t="s">
        <v>682</v>
      </c>
      <c r="B121" s="79" t="s">
        <v>683</v>
      </c>
      <c r="C121" s="11"/>
      <c r="D121" s="11"/>
      <c r="E121" s="19"/>
      <c r="J121" s="5"/>
      <c r="L121" s="9"/>
      <c r="N121" s="9"/>
    </row>
    <row r="122" spans="1:14" ht="15" x14ac:dyDescent="0.25">
      <c r="A122" s="209" t="s">
        <v>684</v>
      </c>
      <c r="B122" s="79" t="s">
        <v>685</v>
      </c>
      <c r="C122" s="11"/>
      <c r="D122" s="11"/>
      <c r="E122" s="19"/>
      <c r="J122" s="5"/>
      <c r="L122" s="9"/>
      <c r="N122" s="9"/>
    </row>
    <row r="123" spans="1:14" ht="15" x14ac:dyDescent="0.25">
      <c r="A123" s="209" t="s">
        <v>686</v>
      </c>
      <c r="B123" s="79" t="s">
        <v>687</v>
      </c>
      <c r="C123" s="11"/>
      <c r="D123" s="11"/>
      <c r="E123" s="19"/>
      <c r="J123" s="5"/>
      <c r="L123" s="9"/>
      <c r="N123" s="9"/>
    </row>
    <row r="124" spans="1:14" ht="15" x14ac:dyDescent="0.25">
      <c r="A124" s="209" t="s">
        <v>688</v>
      </c>
      <c r="B124" s="79" t="s">
        <v>689</v>
      </c>
      <c r="C124" s="11"/>
      <c r="D124" s="11"/>
      <c r="E124" s="19"/>
      <c r="J124" s="5"/>
      <c r="L124" s="9"/>
      <c r="N124" s="9"/>
    </row>
    <row r="125" spans="1:14" ht="30" x14ac:dyDescent="0.25">
      <c r="A125" s="209" t="s">
        <v>690</v>
      </c>
      <c r="B125" s="79" t="s">
        <v>691</v>
      </c>
      <c r="C125" s="11"/>
      <c r="D125" s="11"/>
      <c r="E125" s="19"/>
      <c r="J125" s="5"/>
      <c r="L125" s="9"/>
      <c r="N125" s="9"/>
    </row>
    <row r="126" spans="1:14" ht="15" x14ac:dyDescent="0.25">
      <c r="A126" s="209" t="s">
        <v>692</v>
      </c>
      <c r="B126" s="79" t="s">
        <v>693</v>
      </c>
      <c r="C126" s="11"/>
      <c r="D126" s="11"/>
      <c r="E126" s="19"/>
      <c r="J126" s="5"/>
      <c r="L126" s="9"/>
      <c r="N126" s="9"/>
    </row>
    <row r="127" spans="1:14" ht="15" x14ac:dyDescent="0.25">
      <c r="A127" s="209" t="s">
        <v>694</v>
      </c>
      <c r="B127" s="79" t="s">
        <v>695</v>
      </c>
      <c r="C127" s="11"/>
      <c r="D127" s="11"/>
      <c r="E127" s="19"/>
      <c r="J127" s="5"/>
      <c r="L127" s="9"/>
      <c r="N127" s="9"/>
    </row>
    <row r="128" spans="1:14" ht="15" x14ac:dyDescent="0.25">
      <c r="A128" s="209" t="s">
        <v>696</v>
      </c>
      <c r="B128" s="79" t="s">
        <v>697</v>
      </c>
      <c r="C128" s="11"/>
      <c r="D128" s="11"/>
      <c r="E128" s="19"/>
      <c r="J128" s="5"/>
      <c r="L128" s="9"/>
      <c r="N128" s="9"/>
    </row>
    <row r="129" spans="1:14" ht="15" x14ac:dyDescent="0.25">
      <c r="A129" s="209" t="s">
        <v>698</v>
      </c>
      <c r="B129" s="79" t="s">
        <v>699</v>
      </c>
      <c r="C129" s="11"/>
      <c r="D129" s="11"/>
      <c r="E129" s="19"/>
      <c r="J129" s="5"/>
      <c r="L129" s="9"/>
      <c r="N129" s="9"/>
    </row>
    <row r="130" spans="1:14" ht="30" x14ac:dyDescent="0.25">
      <c r="A130" s="209" t="s">
        <v>700</v>
      </c>
      <c r="B130" s="79" t="s">
        <v>701</v>
      </c>
      <c r="C130" s="11"/>
      <c r="D130" s="11"/>
      <c r="E130" s="19"/>
      <c r="J130" s="5"/>
      <c r="L130" s="9"/>
      <c r="N130" s="9"/>
    </row>
    <row r="131" spans="1:14" ht="15" x14ac:dyDescent="0.25">
      <c r="A131" s="209" t="s">
        <v>702</v>
      </c>
      <c r="B131" s="79" t="s">
        <v>703</v>
      </c>
      <c r="C131" s="11"/>
      <c r="D131" s="11"/>
      <c r="E131" s="19"/>
      <c r="J131" s="5"/>
      <c r="L131" s="9"/>
      <c r="N131" s="9"/>
    </row>
    <row r="132" spans="1:14" ht="15" x14ac:dyDescent="0.25">
      <c r="A132" s="209" t="s">
        <v>277</v>
      </c>
      <c r="B132" s="79" t="s">
        <v>704</v>
      </c>
      <c r="C132" s="11"/>
      <c r="D132" s="11"/>
      <c r="E132" s="19"/>
      <c r="J132" s="5"/>
      <c r="L132" s="9"/>
      <c r="N132" s="9"/>
    </row>
    <row r="133" spans="1:14" ht="15" x14ac:dyDescent="0.25">
      <c r="A133" s="209" t="s">
        <v>705</v>
      </c>
      <c r="B133" s="79" t="s">
        <v>706</v>
      </c>
      <c r="C133" s="11"/>
      <c r="D133" s="11"/>
      <c r="E133" s="19"/>
      <c r="J133" s="5"/>
      <c r="L133" s="9"/>
      <c r="N133" s="9"/>
    </row>
    <row r="134" spans="1:14" ht="15" x14ac:dyDescent="0.25">
      <c r="A134" s="209" t="s">
        <v>707</v>
      </c>
      <c r="B134" s="79" t="s">
        <v>708</v>
      </c>
      <c r="C134" s="11"/>
      <c r="D134" s="11"/>
      <c r="E134" s="19"/>
      <c r="J134" s="5"/>
      <c r="L134" s="9"/>
      <c r="N134" s="9"/>
    </row>
    <row r="135" spans="1:14" ht="15" x14ac:dyDescent="0.25">
      <c r="A135" s="209" t="s">
        <v>709</v>
      </c>
      <c r="B135" s="79" t="s">
        <v>710</v>
      </c>
      <c r="C135" s="11"/>
      <c r="D135" s="11"/>
      <c r="E135" s="19"/>
      <c r="J135" s="5"/>
      <c r="L135" s="9"/>
      <c r="N135" s="9"/>
    </row>
    <row r="136" spans="1:14" ht="15" x14ac:dyDescent="0.25">
      <c r="A136" s="209" t="s">
        <v>711</v>
      </c>
      <c r="B136" s="79" t="s">
        <v>712</v>
      </c>
      <c r="C136" s="11"/>
      <c r="D136" s="11"/>
      <c r="E136" s="19"/>
      <c r="J136" s="5"/>
      <c r="L136" s="9"/>
      <c r="N136" s="9"/>
    </row>
    <row r="137" spans="1:14" ht="15" x14ac:dyDescent="0.25">
      <c r="A137" s="209" t="s">
        <v>713</v>
      </c>
      <c r="B137" s="79" t="s">
        <v>714</v>
      </c>
      <c r="C137" s="11"/>
      <c r="D137" s="11"/>
      <c r="E137" s="19"/>
      <c r="J137" s="5"/>
      <c r="L137" s="9"/>
      <c r="N137" s="9"/>
    </row>
    <row r="138" spans="1:14" ht="15" x14ac:dyDescent="0.25">
      <c r="A138" s="209" t="s">
        <v>715</v>
      </c>
      <c r="B138" s="79" t="s">
        <v>716</v>
      </c>
      <c r="C138" s="11"/>
      <c r="D138" s="11"/>
      <c r="E138" s="19"/>
      <c r="J138" s="5"/>
      <c r="L138" s="9"/>
      <c r="N138" s="9"/>
    </row>
    <row r="139" spans="1:14" ht="15" x14ac:dyDescent="0.25">
      <c r="A139" s="209" t="s">
        <v>717</v>
      </c>
      <c r="B139" s="79" t="s">
        <v>718</v>
      </c>
      <c r="C139" s="11"/>
      <c r="D139" s="11"/>
      <c r="E139" s="19"/>
      <c r="J139" s="5"/>
      <c r="L139" s="9"/>
      <c r="N139" s="9"/>
    </row>
    <row r="140" spans="1:14" ht="15" x14ac:dyDescent="0.25">
      <c r="A140" s="209" t="s">
        <v>719</v>
      </c>
      <c r="B140" s="79" t="s">
        <v>720</v>
      </c>
      <c r="C140" s="11"/>
      <c r="D140" s="11"/>
      <c r="E140" s="19"/>
      <c r="J140" s="5"/>
      <c r="L140" s="9"/>
      <c r="N140" s="9"/>
    </row>
    <row r="141" spans="1:14" ht="15" x14ac:dyDescent="0.25">
      <c r="A141" s="209" t="s">
        <v>721</v>
      </c>
      <c r="B141" s="79" t="s">
        <v>722</v>
      </c>
      <c r="C141" s="11"/>
      <c r="D141" s="11"/>
      <c r="E141" s="19"/>
      <c r="J141" s="5"/>
      <c r="L141" s="9"/>
      <c r="N141" s="9"/>
    </row>
    <row r="142" spans="1:14" ht="15" x14ac:dyDescent="0.25">
      <c r="A142" s="209" t="s">
        <v>723</v>
      </c>
      <c r="B142" s="79" t="s">
        <v>724</v>
      </c>
      <c r="C142" s="11"/>
      <c r="D142" s="11"/>
      <c r="E142" s="19"/>
      <c r="J142" s="5"/>
      <c r="L142" s="9"/>
      <c r="N142" s="9"/>
    </row>
    <row r="143" spans="1:14" ht="15" x14ac:dyDescent="0.25">
      <c r="A143" s="209" t="s">
        <v>725</v>
      </c>
      <c r="B143" s="79" t="s">
        <v>726</v>
      </c>
      <c r="C143" s="11"/>
      <c r="D143" s="11"/>
      <c r="E143" s="19"/>
      <c r="J143" s="5"/>
      <c r="L143" s="9"/>
      <c r="N143" s="9"/>
    </row>
    <row r="144" spans="1:14" ht="15" x14ac:dyDescent="0.25">
      <c r="A144" s="209" t="s">
        <v>459</v>
      </c>
      <c r="B144" s="79" t="s">
        <v>727</v>
      </c>
      <c r="C144" s="11"/>
      <c r="D144" s="11"/>
      <c r="E144" s="19"/>
      <c r="J144" s="5"/>
      <c r="L144" s="9"/>
      <c r="N144" s="9"/>
    </row>
    <row r="145" spans="1:14" ht="30" x14ac:dyDescent="0.25">
      <c r="A145" s="209" t="s">
        <v>728</v>
      </c>
      <c r="B145" s="79" t="s">
        <v>729</v>
      </c>
      <c r="C145" s="11"/>
      <c r="D145" s="11"/>
      <c r="E145" s="19"/>
      <c r="J145" s="5"/>
      <c r="L145" s="9"/>
      <c r="N145" s="9"/>
    </row>
    <row r="146" spans="1:14" ht="15" x14ac:dyDescent="0.25">
      <c r="A146" s="209" t="s">
        <v>730</v>
      </c>
      <c r="B146" s="79" t="s">
        <v>731</v>
      </c>
      <c r="C146" s="11"/>
      <c r="D146" s="11"/>
      <c r="E146" s="19"/>
      <c r="J146" s="5"/>
      <c r="L146" s="9"/>
      <c r="N146" s="9"/>
    </row>
    <row r="147" spans="1:14" ht="15" x14ac:dyDescent="0.25">
      <c r="A147" s="209" t="s">
        <v>732</v>
      </c>
      <c r="B147" s="79" t="s">
        <v>733</v>
      </c>
      <c r="C147" s="11"/>
      <c r="D147" s="11"/>
      <c r="E147" s="19"/>
      <c r="J147" s="5"/>
      <c r="L147" s="9"/>
      <c r="N147" s="9"/>
    </row>
    <row r="148" spans="1:14" ht="45" x14ac:dyDescent="0.25">
      <c r="A148" s="209" t="s">
        <v>734</v>
      </c>
      <c r="B148" s="79" t="s">
        <v>735</v>
      </c>
      <c r="C148" s="14"/>
      <c r="D148" s="14"/>
      <c r="E148" s="19"/>
      <c r="J148" s="5"/>
      <c r="L148" s="9"/>
      <c r="N148" s="9"/>
    </row>
    <row r="149" spans="1:14" ht="15" x14ac:dyDescent="0.25">
      <c r="A149" s="209" t="s">
        <v>736</v>
      </c>
      <c r="B149" s="79" t="s">
        <v>737</v>
      </c>
      <c r="C149" s="11"/>
      <c r="D149" s="11"/>
      <c r="E149" s="19"/>
      <c r="J149" s="5"/>
      <c r="L149" s="9"/>
      <c r="N149" s="9"/>
    </row>
    <row r="150" spans="1:14" ht="15" x14ac:dyDescent="0.25">
      <c r="A150" s="209" t="s">
        <v>738</v>
      </c>
      <c r="B150" s="79" t="s">
        <v>739</v>
      </c>
      <c r="C150" s="11"/>
      <c r="D150" s="11"/>
      <c r="E150" s="19"/>
      <c r="J150" s="5"/>
      <c r="L150" s="9"/>
      <c r="N150" s="9"/>
    </row>
    <row r="151" spans="1:14" ht="15" x14ac:dyDescent="0.25">
      <c r="A151" s="209" t="s">
        <v>740</v>
      </c>
      <c r="B151" s="79" t="s">
        <v>741</v>
      </c>
      <c r="C151" s="14"/>
      <c r="D151" s="14"/>
      <c r="E151" s="19"/>
      <c r="J151" s="5"/>
      <c r="L151" s="9"/>
      <c r="N151" s="9"/>
    </row>
    <row r="152" spans="1:14" ht="15" x14ac:dyDescent="0.25">
      <c r="A152" s="209" t="s">
        <v>742</v>
      </c>
      <c r="B152" s="79" t="s">
        <v>743</v>
      </c>
      <c r="C152" s="11"/>
      <c r="D152" s="11"/>
      <c r="E152" s="19"/>
      <c r="J152" s="5"/>
      <c r="L152" s="9"/>
      <c r="N152" s="9"/>
    </row>
    <row r="153" spans="1:14" ht="30" x14ac:dyDescent="0.25">
      <c r="A153" s="209" t="s">
        <v>744</v>
      </c>
      <c r="B153" s="79" t="s">
        <v>745</v>
      </c>
      <c r="C153" s="11"/>
      <c r="D153" s="11"/>
      <c r="E153" s="19"/>
      <c r="J153" s="5"/>
      <c r="L153" s="9"/>
      <c r="N153" s="9"/>
    </row>
    <row r="154" spans="1:14" ht="15" x14ac:dyDescent="0.25">
      <c r="A154" s="209" t="s">
        <v>746</v>
      </c>
      <c r="B154" s="79" t="s">
        <v>747</v>
      </c>
      <c r="C154" s="11"/>
      <c r="D154" s="11"/>
      <c r="E154" s="15"/>
      <c r="J154" s="5"/>
      <c r="L154" s="9"/>
      <c r="N154" s="9"/>
    </row>
    <row r="155" spans="1:14" ht="15" x14ac:dyDescent="0.25">
      <c r="A155" s="209" t="s">
        <v>748</v>
      </c>
      <c r="B155" s="79" t="s">
        <v>749</v>
      </c>
      <c r="C155" s="11"/>
      <c r="D155" s="11"/>
      <c r="E155" s="15"/>
      <c r="J155" s="5"/>
      <c r="L155" s="9"/>
      <c r="N155" s="9"/>
    </row>
    <row r="156" spans="1:14" ht="15" x14ac:dyDescent="0.25">
      <c r="A156" s="209" t="s">
        <v>750</v>
      </c>
      <c r="B156" s="79" t="s">
        <v>751</v>
      </c>
      <c r="C156" s="14"/>
      <c r="D156" s="14"/>
      <c r="E156" s="19"/>
      <c r="J156" s="5"/>
      <c r="L156" s="9"/>
      <c r="N156" s="9"/>
    </row>
    <row r="157" spans="1:14" ht="15" x14ac:dyDescent="0.25">
      <c r="A157" s="209" t="s">
        <v>752</v>
      </c>
      <c r="B157" s="79" t="s">
        <v>753</v>
      </c>
      <c r="C157" s="11"/>
      <c r="D157" s="11"/>
      <c r="E157" s="19"/>
      <c r="J157" s="5"/>
      <c r="L157" s="9"/>
      <c r="N157" s="9"/>
    </row>
    <row r="158" spans="1:14" ht="15" x14ac:dyDescent="0.25">
      <c r="A158" s="209" t="s">
        <v>457</v>
      </c>
      <c r="B158" s="79" t="s">
        <v>754</v>
      </c>
      <c r="C158" s="11"/>
      <c r="D158" s="11"/>
      <c r="E158" s="19"/>
      <c r="J158" s="5"/>
      <c r="L158" s="9"/>
      <c r="N158" s="9"/>
    </row>
    <row r="159" spans="1:14" ht="15" x14ac:dyDescent="0.25">
      <c r="A159" s="209" t="s">
        <v>755</v>
      </c>
      <c r="B159" s="79" t="s">
        <v>756</v>
      </c>
      <c r="E159" s="19"/>
      <c r="J159" s="5"/>
      <c r="L159" s="9"/>
      <c r="N159" s="9"/>
    </row>
    <row r="160" spans="1:14" ht="15" x14ac:dyDescent="0.25">
      <c r="A160" s="209" t="s">
        <v>451</v>
      </c>
      <c r="B160" s="79" t="s">
        <v>757</v>
      </c>
      <c r="C160" s="11"/>
      <c r="D160" s="11"/>
      <c r="E160" s="19"/>
      <c r="J160" s="5"/>
      <c r="L160" s="9"/>
      <c r="N160" s="9"/>
    </row>
    <row r="161" spans="1:14" ht="15" x14ac:dyDescent="0.25">
      <c r="A161" s="209" t="s">
        <v>758</v>
      </c>
      <c r="B161" s="79" t="s">
        <v>759</v>
      </c>
      <c r="C161" s="14"/>
      <c r="D161" s="14"/>
      <c r="E161" s="19"/>
      <c r="J161" s="5"/>
      <c r="L161" s="9"/>
      <c r="N161" s="9"/>
    </row>
    <row r="162" spans="1:14" ht="15" x14ac:dyDescent="0.25">
      <c r="A162" s="209" t="s">
        <v>760</v>
      </c>
      <c r="B162" s="79" t="s">
        <v>761</v>
      </c>
      <c r="C162" s="11"/>
      <c r="D162" s="11"/>
      <c r="E162" s="19"/>
      <c r="J162" s="5"/>
      <c r="L162" s="9"/>
      <c r="N162" s="9"/>
    </row>
    <row r="163" spans="1:14" ht="15" x14ac:dyDescent="0.25">
      <c r="A163" s="209" t="s">
        <v>762</v>
      </c>
      <c r="B163" s="79" t="s">
        <v>763</v>
      </c>
      <c r="C163" s="11"/>
      <c r="D163" s="11"/>
      <c r="E163" s="19"/>
      <c r="J163" s="5"/>
      <c r="L163" s="9"/>
      <c r="N163" s="9"/>
    </row>
    <row r="164" spans="1:14" ht="15" x14ac:dyDescent="0.25">
      <c r="A164" s="209" t="s">
        <v>764</v>
      </c>
      <c r="B164" s="79" t="s">
        <v>765</v>
      </c>
      <c r="C164" s="11"/>
      <c r="D164" s="11"/>
      <c r="E164" s="19"/>
      <c r="J164" s="5"/>
      <c r="L164" s="9"/>
      <c r="N164" s="9"/>
    </row>
    <row r="165" spans="1:14" ht="15" x14ac:dyDescent="0.25">
      <c r="A165" s="209" t="s">
        <v>766</v>
      </c>
      <c r="B165" s="79" t="s">
        <v>767</v>
      </c>
      <c r="C165" s="11"/>
      <c r="D165" s="11"/>
      <c r="E165" s="19"/>
      <c r="J165" s="5"/>
      <c r="L165" s="9"/>
      <c r="N165" s="9"/>
    </row>
    <row r="166" spans="1:14" ht="15" x14ac:dyDescent="0.25">
      <c r="A166" s="209" t="s">
        <v>450</v>
      </c>
      <c r="B166" s="79" t="s">
        <v>768</v>
      </c>
      <c r="C166" s="11"/>
      <c r="D166" s="11"/>
      <c r="E166" s="19"/>
      <c r="J166" s="5"/>
      <c r="L166" s="9"/>
      <c r="N166" s="9"/>
    </row>
    <row r="167" spans="1:14" ht="15" x14ac:dyDescent="0.25">
      <c r="A167" s="209" t="s">
        <v>769</v>
      </c>
      <c r="B167" s="79" t="s">
        <v>770</v>
      </c>
      <c r="C167" s="11"/>
      <c r="D167" s="11"/>
      <c r="E167" s="19"/>
      <c r="J167" s="5"/>
      <c r="L167" s="9"/>
      <c r="N167" s="9"/>
    </row>
    <row r="168" spans="1:14" ht="15" x14ac:dyDescent="0.25">
      <c r="A168" s="209" t="s">
        <v>771</v>
      </c>
      <c r="B168" s="79" t="s">
        <v>772</v>
      </c>
      <c r="C168" s="11"/>
      <c r="D168" s="11"/>
      <c r="E168" s="19"/>
      <c r="J168" s="5"/>
      <c r="L168" s="9"/>
      <c r="N168" s="9"/>
    </row>
    <row r="169" spans="1:14" ht="15" x14ac:dyDescent="0.25">
      <c r="A169" s="209" t="s">
        <v>773</v>
      </c>
      <c r="B169" s="79" t="s">
        <v>774</v>
      </c>
      <c r="C169" s="11"/>
      <c r="D169" s="11"/>
      <c r="E169" s="19"/>
      <c r="J169" s="5"/>
      <c r="L169" s="9"/>
      <c r="N169" s="9"/>
    </row>
    <row r="170" spans="1:14" ht="15" x14ac:dyDescent="0.25">
      <c r="A170" s="209" t="s">
        <v>454</v>
      </c>
      <c r="B170" s="79" t="s">
        <v>775</v>
      </c>
      <c r="C170" s="11"/>
      <c r="D170" s="11"/>
      <c r="E170" s="19"/>
      <c r="J170" s="5"/>
      <c r="L170" s="9"/>
      <c r="N170" s="9"/>
    </row>
    <row r="171" spans="1:14" ht="15" x14ac:dyDescent="0.25">
      <c r="A171" s="209" t="s">
        <v>776</v>
      </c>
      <c r="B171" s="79" t="s">
        <v>777</v>
      </c>
      <c r="C171" s="11"/>
      <c r="D171" s="11"/>
      <c r="E171" s="19"/>
      <c r="J171" s="5"/>
      <c r="L171" s="9"/>
      <c r="N171" s="9"/>
    </row>
    <row r="172" spans="1:14" ht="15" x14ac:dyDescent="0.25">
      <c r="A172" s="209" t="s">
        <v>778</v>
      </c>
      <c r="B172" s="79" t="s">
        <v>779</v>
      </c>
      <c r="C172" s="11"/>
      <c r="D172" s="11"/>
      <c r="E172" s="19"/>
      <c r="J172" s="5"/>
      <c r="L172" s="9"/>
      <c r="N172" s="9"/>
    </row>
    <row r="173" spans="1:14" ht="15" x14ac:dyDescent="0.25">
      <c r="A173" s="209" t="s">
        <v>780</v>
      </c>
      <c r="B173" s="79" t="s">
        <v>781</v>
      </c>
      <c r="C173" s="11"/>
      <c r="D173" s="11"/>
      <c r="E173" s="19"/>
      <c r="J173" s="5"/>
      <c r="L173" s="9"/>
      <c r="N173" s="9"/>
    </row>
    <row r="174" spans="1:14" ht="15" x14ac:dyDescent="0.25">
      <c r="A174" s="209" t="s">
        <v>782</v>
      </c>
      <c r="B174" s="79" t="s">
        <v>783</v>
      </c>
      <c r="C174" s="11"/>
      <c r="D174" s="11"/>
      <c r="E174" s="19"/>
      <c r="J174" s="5"/>
      <c r="L174" s="9"/>
      <c r="N174" s="9"/>
    </row>
    <row r="175" spans="1:14" ht="15" x14ac:dyDescent="0.25">
      <c r="A175" s="209" t="s">
        <v>784</v>
      </c>
      <c r="B175" s="79" t="s">
        <v>785</v>
      </c>
      <c r="C175" s="11"/>
      <c r="D175" s="11"/>
      <c r="E175" s="19"/>
      <c r="J175" s="5"/>
      <c r="L175" s="9"/>
      <c r="N175" s="9"/>
    </row>
    <row r="176" spans="1:14" ht="15" x14ac:dyDescent="0.25">
      <c r="A176" s="209" t="s">
        <v>786</v>
      </c>
      <c r="B176" s="79" t="s">
        <v>787</v>
      </c>
      <c r="C176" s="11"/>
      <c r="D176" s="11"/>
      <c r="E176" s="19"/>
      <c r="J176" s="5"/>
      <c r="L176" s="9"/>
      <c r="N176" s="9"/>
    </row>
    <row r="177" spans="1:14" ht="15" x14ac:dyDescent="0.25">
      <c r="A177" s="209" t="s">
        <v>788</v>
      </c>
      <c r="B177" s="79" t="s">
        <v>789</v>
      </c>
      <c r="C177" s="11"/>
      <c r="D177" s="11"/>
      <c r="E177" s="19"/>
      <c r="J177" s="5"/>
      <c r="L177" s="9"/>
      <c r="N177" s="9"/>
    </row>
    <row r="178" spans="1:14" ht="15" x14ac:dyDescent="0.25">
      <c r="A178" s="209" t="s">
        <v>790</v>
      </c>
      <c r="B178" s="79" t="s">
        <v>791</v>
      </c>
      <c r="C178" s="11"/>
      <c r="D178" s="11"/>
      <c r="E178" s="19"/>
      <c r="J178" s="5"/>
      <c r="L178" s="9"/>
      <c r="N178" s="9"/>
    </row>
    <row r="179" spans="1:14" ht="15" x14ac:dyDescent="0.25">
      <c r="A179" s="209" t="s">
        <v>279</v>
      </c>
      <c r="B179" s="79" t="s">
        <v>792</v>
      </c>
      <c r="C179" s="11"/>
      <c r="D179" s="11"/>
      <c r="E179" s="19"/>
      <c r="J179" s="5"/>
      <c r="L179" s="9"/>
      <c r="N179" s="9"/>
    </row>
    <row r="180" spans="1:14" ht="15" x14ac:dyDescent="0.25">
      <c r="A180" s="209" t="s">
        <v>793</v>
      </c>
      <c r="B180" s="79" t="s">
        <v>794</v>
      </c>
      <c r="C180" s="11"/>
      <c r="D180" s="11"/>
      <c r="E180" s="19"/>
      <c r="J180" s="5"/>
      <c r="L180" s="9"/>
      <c r="N180" s="9"/>
    </row>
    <row r="181" spans="1:14" ht="15" x14ac:dyDescent="0.25">
      <c r="A181" s="209" t="s">
        <v>795</v>
      </c>
      <c r="B181" s="79" t="s">
        <v>796</v>
      </c>
      <c r="C181" s="11"/>
      <c r="D181" s="11"/>
      <c r="E181" s="19"/>
      <c r="J181" s="5"/>
      <c r="L181" s="9"/>
      <c r="N181" s="9"/>
    </row>
    <row r="182" spans="1:14" ht="15" x14ac:dyDescent="0.25">
      <c r="A182" s="209" t="s">
        <v>797</v>
      </c>
      <c r="B182" s="79" t="s">
        <v>798</v>
      </c>
      <c r="C182" s="11"/>
      <c r="D182" s="11"/>
      <c r="E182" s="19"/>
      <c r="J182" s="5"/>
      <c r="L182" s="9"/>
      <c r="N182" s="9"/>
    </row>
    <row r="183" spans="1:14" ht="15" x14ac:dyDescent="0.25">
      <c r="A183" s="209" t="s">
        <v>799</v>
      </c>
      <c r="B183" s="79" t="s">
        <v>800</v>
      </c>
      <c r="C183" s="11"/>
      <c r="D183" s="11"/>
      <c r="E183" s="19"/>
      <c r="J183" s="5"/>
      <c r="L183" s="9"/>
      <c r="N183" s="9"/>
    </row>
    <row r="184" spans="1:14" ht="30" x14ac:dyDescent="0.25">
      <c r="A184" s="209" t="s">
        <v>801</v>
      </c>
      <c r="B184" s="79" t="s">
        <v>802</v>
      </c>
      <c r="C184" s="11"/>
      <c r="D184" s="11"/>
      <c r="E184" s="19"/>
      <c r="J184" s="5"/>
      <c r="L184" s="9"/>
      <c r="N184" s="9"/>
    </row>
    <row r="185" spans="1:14" ht="15" x14ac:dyDescent="0.25">
      <c r="A185" s="209" t="s">
        <v>803</v>
      </c>
      <c r="B185" s="79" t="s">
        <v>804</v>
      </c>
      <c r="C185" s="11"/>
      <c r="D185" s="11"/>
      <c r="E185" s="19"/>
      <c r="J185" s="5"/>
      <c r="L185" s="9"/>
      <c r="N185" s="9"/>
    </row>
    <row r="186" spans="1:14" ht="15" x14ac:dyDescent="0.25">
      <c r="A186" s="209" t="s">
        <v>805</v>
      </c>
      <c r="B186" s="79" t="s">
        <v>806</v>
      </c>
      <c r="C186" s="11"/>
      <c r="D186" s="11"/>
      <c r="E186" s="19"/>
      <c r="J186" s="5"/>
      <c r="L186" s="9"/>
      <c r="N186" s="9"/>
    </row>
    <row r="187" spans="1:14" ht="15" x14ac:dyDescent="0.25">
      <c r="A187" s="209" t="s">
        <v>278</v>
      </c>
      <c r="B187" s="79" t="s">
        <v>807</v>
      </c>
      <c r="C187" s="11"/>
      <c r="D187" s="11"/>
      <c r="E187" s="19"/>
      <c r="J187" s="5"/>
      <c r="L187" s="9"/>
      <c r="N187" s="9"/>
    </row>
    <row r="188" spans="1:14" ht="15" x14ac:dyDescent="0.25">
      <c r="A188" s="209" t="s">
        <v>808</v>
      </c>
      <c r="B188" s="79" t="s">
        <v>809</v>
      </c>
      <c r="C188" s="11"/>
      <c r="D188" s="11"/>
      <c r="E188" s="19"/>
      <c r="J188" s="5"/>
      <c r="L188" s="9"/>
      <c r="N188" s="9"/>
    </row>
    <row r="189" spans="1:14" ht="15" x14ac:dyDescent="0.25">
      <c r="A189" s="209" t="s">
        <v>810</v>
      </c>
      <c r="B189" s="79" t="s">
        <v>811</v>
      </c>
      <c r="C189" s="11"/>
      <c r="D189" s="11"/>
      <c r="E189" s="19"/>
      <c r="J189" s="5"/>
      <c r="L189" s="9"/>
      <c r="N189" s="9"/>
    </row>
    <row r="190" spans="1:14" ht="15" x14ac:dyDescent="0.25">
      <c r="A190" s="209" t="s">
        <v>812</v>
      </c>
      <c r="B190" s="79" t="s">
        <v>813</v>
      </c>
      <c r="C190" s="11"/>
      <c r="D190" s="11"/>
      <c r="E190" s="19"/>
      <c r="J190" s="5"/>
      <c r="L190" s="9"/>
      <c r="N190" s="9"/>
    </row>
    <row r="191" spans="1:14" ht="15" x14ac:dyDescent="0.25">
      <c r="A191" s="209" t="s">
        <v>814</v>
      </c>
      <c r="B191" s="79" t="s">
        <v>815</v>
      </c>
      <c r="C191" s="11"/>
      <c r="D191" s="11"/>
      <c r="E191" s="19"/>
      <c r="J191" s="5"/>
      <c r="L191" s="9"/>
      <c r="N191" s="9"/>
    </row>
    <row r="192" spans="1:14" ht="15" x14ac:dyDescent="0.25">
      <c r="A192" s="209" t="s">
        <v>816</v>
      </c>
      <c r="B192" s="79" t="s">
        <v>817</v>
      </c>
      <c r="C192" s="11"/>
      <c r="D192" s="11"/>
      <c r="E192" s="19"/>
      <c r="J192" s="5"/>
      <c r="L192" s="9"/>
      <c r="N192" s="9"/>
    </row>
    <row r="193" spans="1:14" ht="15" x14ac:dyDescent="0.25">
      <c r="A193" s="209" t="s">
        <v>818</v>
      </c>
      <c r="B193" s="79" t="s">
        <v>819</v>
      </c>
      <c r="C193" s="11"/>
      <c r="D193" s="11"/>
      <c r="E193" s="19"/>
      <c r="J193" s="5"/>
      <c r="L193" s="9"/>
      <c r="N193" s="9"/>
    </row>
    <row r="194" spans="1:14" ht="15" x14ac:dyDescent="0.25">
      <c r="A194" s="209" t="s">
        <v>820</v>
      </c>
      <c r="B194" s="79" t="s">
        <v>821</v>
      </c>
      <c r="C194" s="11"/>
      <c r="D194" s="11"/>
      <c r="E194" s="19"/>
      <c r="J194" s="5"/>
      <c r="L194" s="9"/>
      <c r="N194" s="9"/>
    </row>
    <row r="195" spans="1:14" ht="15" x14ac:dyDescent="0.25">
      <c r="A195" s="209" t="s">
        <v>455</v>
      </c>
      <c r="B195" s="79" t="s">
        <v>822</v>
      </c>
      <c r="C195" s="11"/>
      <c r="D195" s="11"/>
      <c r="E195" s="19"/>
      <c r="J195" s="5"/>
      <c r="L195" s="9"/>
      <c r="N195" s="9"/>
    </row>
    <row r="196" spans="1:14" ht="15" x14ac:dyDescent="0.25">
      <c r="A196" s="209" t="s">
        <v>823</v>
      </c>
      <c r="B196" s="79" t="s">
        <v>824</v>
      </c>
      <c r="C196" s="11"/>
      <c r="D196" s="11"/>
      <c r="E196" s="19"/>
      <c r="J196" s="5"/>
      <c r="L196" s="9"/>
      <c r="N196" s="9"/>
    </row>
    <row r="197" spans="1:14" ht="15" x14ac:dyDescent="0.25">
      <c r="A197" s="209" t="s">
        <v>825</v>
      </c>
      <c r="B197" s="79" t="s">
        <v>826</v>
      </c>
      <c r="C197" s="11"/>
      <c r="D197" s="11"/>
      <c r="E197" s="19"/>
      <c r="J197" s="5"/>
      <c r="L197" s="9"/>
      <c r="N197" s="9"/>
    </row>
    <row r="198" spans="1:14" ht="15" x14ac:dyDescent="0.25">
      <c r="A198" s="209" t="s">
        <v>827</v>
      </c>
      <c r="B198" s="79" t="s">
        <v>828</v>
      </c>
      <c r="C198" s="11"/>
      <c r="D198" s="11"/>
      <c r="E198" s="19"/>
      <c r="J198" s="5"/>
      <c r="L198" s="9"/>
      <c r="N198" s="9"/>
    </row>
    <row r="199" spans="1:14" ht="15" x14ac:dyDescent="0.25">
      <c r="A199" s="209" t="s">
        <v>829</v>
      </c>
      <c r="B199" s="79" t="s">
        <v>830</v>
      </c>
      <c r="C199" s="11"/>
      <c r="D199" s="11"/>
      <c r="E199" s="19"/>
      <c r="J199" s="5"/>
      <c r="L199" s="9"/>
      <c r="N199" s="9"/>
    </row>
    <row r="200" spans="1:14" ht="15" x14ac:dyDescent="0.25">
      <c r="A200" s="209" t="s">
        <v>831</v>
      </c>
      <c r="B200" s="79" t="s">
        <v>832</v>
      </c>
      <c r="C200" s="11"/>
      <c r="D200" s="11"/>
      <c r="E200" s="19"/>
      <c r="J200" s="5"/>
      <c r="L200" s="9"/>
      <c r="N200" s="9"/>
    </row>
    <row r="201" spans="1:14" ht="15" x14ac:dyDescent="0.25">
      <c r="A201" s="209" t="s">
        <v>833</v>
      </c>
      <c r="B201" s="79" t="s">
        <v>834</v>
      </c>
      <c r="C201" s="11"/>
      <c r="D201" s="11"/>
      <c r="E201" s="19"/>
      <c r="J201" s="5"/>
      <c r="L201" s="9"/>
      <c r="N201" s="9"/>
    </row>
    <row r="202" spans="1:14" ht="15" x14ac:dyDescent="0.25">
      <c r="A202" s="209" t="s">
        <v>835</v>
      </c>
      <c r="B202" s="79" t="s">
        <v>836</v>
      </c>
      <c r="C202" s="11"/>
      <c r="D202" s="11"/>
      <c r="E202" s="19"/>
      <c r="J202" s="5"/>
      <c r="L202" s="9"/>
      <c r="N202" s="9"/>
    </row>
    <row r="203" spans="1:14" ht="45" x14ac:dyDescent="0.25">
      <c r="A203" s="209" t="s">
        <v>837</v>
      </c>
      <c r="B203" s="79" t="s">
        <v>838</v>
      </c>
      <c r="C203" s="11"/>
      <c r="D203" s="11"/>
      <c r="E203" s="19"/>
      <c r="J203" s="5"/>
      <c r="L203" s="9"/>
      <c r="N203" s="9"/>
    </row>
    <row r="204" spans="1:14" ht="15" x14ac:dyDescent="0.25">
      <c r="A204" s="209" t="s">
        <v>839</v>
      </c>
      <c r="B204" s="79" t="s">
        <v>840</v>
      </c>
      <c r="C204" s="11"/>
      <c r="D204" s="11"/>
      <c r="E204" s="19"/>
      <c r="J204" s="5"/>
      <c r="L204" s="9"/>
      <c r="N204" s="9"/>
    </row>
    <row r="205" spans="1:14" ht="30" x14ac:dyDescent="0.25">
      <c r="A205" s="209" t="s">
        <v>841</v>
      </c>
      <c r="B205" s="79" t="s">
        <v>842</v>
      </c>
      <c r="C205" s="11"/>
      <c r="D205" s="11"/>
      <c r="E205" s="19"/>
      <c r="J205" s="5"/>
      <c r="L205" s="9"/>
      <c r="N205" s="9"/>
    </row>
    <row r="206" spans="1:14" ht="15" x14ac:dyDescent="0.25">
      <c r="A206" s="209" t="s">
        <v>843</v>
      </c>
      <c r="B206" s="79" t="s">
        <v>844</v>
      </c>
      <c r="C206" s="11"/>
      <c r="D206" s="11"/>
      <c r="E206" s="19"/>
      <c r="J206" s="5"/>
      <c r="L206" s="9"/>
      <c r="N206" s="9"/>
    </row>
    <row r="207" spans="1:14" ht="15" x14ac:dyDescent="0.25">
      <c r="A207" s="209" t="s">
        <v>845</v>
      </c>
      <c r="B207" s="79" t="s">
        <v>846</v>
      </c>
      <c r="C207" s="11"/>
      <c r="D207" s="11"/>
      <c r="E207" s="19"/>
      <c r="J207" s="5"/>
      <c r="L207" s="9"/>
      <c r="N207" s="9"/>
    </row>
    <row r="208" spans="1:14" ht="15" x14ac:dyDescent="0.25">
      <c r="A208" s="209" t="s">
        <v>847</v>
      </c>
      <c r="B208" s="79" t="s">
        <v>848</v>
      </c>
      <c r="C208" s="11"/>
      <c r="D208" s="11"/>
      <c r="E208" s="19"/>
      <c r="J208" s="5"/>
      <c r="L208" s="9"/>
      <c r="N208" s="9"/>
    </row>
    <row r="209" spans="1:14" ht="15" x14ac:dyDescent="0.25">
      <c r="A209" s="209" t="s">
        <v>849</v>
      </c>
      <c r="B209" s="79" t="s">
        <v>850</v>
      </c>
      <c r="C209" s="11"/>
      <c r="D209" s="11"/>
      <c r="E209" s="19"/>
      <c r="J209" s="5"/>
      <c r="L209" s="9"/>
      <c r="N209" s="9"/>
    </row>
    <row r="210" spans="1:14" ht="15" x14ac:dyDescent="0.25">
      <c r="A210" s="209" t="s">
        <v>851</v>
      </c>
      <c r="B210" s="79" t="s">
        <v>852</v>
      </c>
      <c r="C210" s="11"/>
      <c r="D210" s="11"/>
      <c r="E210" s="19"/>
      <c r="J210" s="5"/>
      <c r="L210" s="9"/>
      <c r="N210" s="9"/>
    </row>
    <row r="211" spans="1:14" ht="15" x14ac:dyDescent="0.25">
      <c r="A211" s="209" t="s">
        <v>853</v>
      </c>
      <c r="B211" s="79" t="s">
        <v>854</v>
      </c>
      <c r="C211" s="11"/>
      <c r="D211" s="11"/>
      <c r="E211" s="19"/>
      <c r="J211" s="5"/>
      <c r="L211" s="9"/>
      <c r="N211" s="9"/>
    </row>
    <row r="212" spans="1:14" ht="15" x14ac:dyDescent="0.25">
      <c r="A212" s="209" t="s">
        <v>855</v>
      </c>
      <c r="B212" s="79" t="s">
        <v>856</v>
      </c>
      <c r="C212" s="11"/>
      <c r="D212" s="11"/>
      <c r="E212" s="19"/>
      <c r="J212" s="5"/>
      <c r="L212" s="9"/>
      <c r="N212" s="9"/>
    </row>
    <row r="213" spans="1:14" ht="30" x14ac:dyDescent="0.25">
      <c r="A213" s="209" t="s">
        <v>857</v>
      </c>
      <c r="B213" s="79" t="s">
        <v>858</v>
      </c>
      <c r="C213" s="11"/>
      <c r="D213" s="11"/>
      <c r="E213" s="19"/>
      <c r="J213" s="5"/>
      <c r="L213" s="9"/>
      <c r="N213" s="9"/>
    </row>
    <row r="214" spans="1:14" ht="15" x14ac:dyDescent="0.25">
      <c r="A214" s="209" t="s">
        <v>859</v>
      </c>
      <c r="B214" s="79" t="s">
        <v>860</v>
      </c>
      <c r="C214" s="11"/>
      <c r="D214" s="11"/>
      <c r="E214" s="19"/>
      <c r="J214" s="5"/>
      <c r="L214" s="9"/>
      <c r="N214" s="9"/>
    </row>
    <row r="215" spans="1:14" ht="30" x14ac:dyDescent="0.25">
      <c r="A215" s="209" t="s">
        <v>861</v>
      </c>
      <c r="B215" s="79" t="s">
        <v>862</v>
      </c>
      <c r="C215" s="11"/>
      <c r="D215" s="11"/>
      <c r="E215" s="19"/>
      <c r="J215" s="5"/>
      <c r="L215" s="9"/>
      <c r="N215" s="9"/>
    </row>
    <row r="216" spans="1:14" ht="15" x14ac:dyDescent="0.25">
      <c r="A216" s="209" t="s">
        <v>863</v>
      </c>
      <c r="B216" s="79" t="s">
        <v>864</v>
      </c>
      <c r="C216" s="11"/>
      <c r="D216" s="11"/>
      <c r="E216" s="19"/>
      <c r="J216" s="5"/>
      <c r="L216" s="9"/>
      <c r="N216" s="9"/>
    </row>
    <row r="217" spans="1:14" ht="15" x14ac:dyDescent="0.25">
      <c r="A217" s="209" t="s">
        <v>865</v>
      </c>
      <c r="B217" s="79" t="s">
        <v>866</v>
      </c>
      <c r="C217" s="11"/>
      <c r="D217" s="11"/>
      <c r="E217" s="19"/>
      <c r="J217" s="5"/>
      <c r="L217" s="9"/>
      <c r="N217" s="9"/>
    </row>
    <row r="218" spans="1:14" ht="30" x14ac:dyDescent="0.25">
      <c r="A218" s="209" t="s">
        <v>867</v>
      </c>
      <c r="B218" s="79" t="s">
        <v>868</v>
      </c>
      <c r="C218" s="11"/>
      <c r="D218" s="11"/>
      <c r="E218" s="19"/>
      <c r="J218" s="5"/>
      <c r="L218" s="9"/>
      <c r="N218" s="9"/>
    </row>
    <row r="219" spans="1:14" ht="15" x14ac:dyDescent="0.25">
      <c r="A219" s="209" t="s">
        <v>869</v>
      </c>
      <c r="B219" s="79" t="s">
        <v>870</v>
      </c>
      <c r="C219" s="11"/>
      <c r="D219" s="11"/>
      <c r="E219" s="19"/>
      <c r="J219" s="5"/>
      <c r="L219" s="9"/>
      <c r="N219" s="9"/>
    </row>
    <row r="220" spans="1:14" ht="30" x14ac:dyDescent="0.25">
      <c r="A220" s="209" t="s">
        <v>871</v>
      </c>
      <c r="B220" s="79" t="s">
        <v>872</v>
      </c>
      <c r="C220" s="11"/>
      <c r="D220" s="11"/>
      <c r="E220" s="19"/>
      <c r="J220" s="5"/>
      <c r="L220" s="9"/>
      <c r="N220" s="9"/>
    </row>
    <row r="221" spans="1:14" ht="15" x14ac:dyDescent="0.25">
      <c r="A221" s="209" t="s">
        <v>873</v>
      </c>
      <c r="B221" s="79" t="s">
        <v>874</v>
      </c>
      <c r="C221" s="11"/>
      <c r="D221" s="11"/>
      <c r="E221" s="19"/>
      <c r="J221" s="5"/>
      <c r="L221" s="9"/>
      <c r="N221" s="9"/>
    </row>
    <row r="222" spans="1:14" ht="15" x14ac:dyDescent="0.25">
      <c r="A222" s="209" t="s">
        <v>875</v>
      </c>
      <c r="B222" s="79" t="s">
        <v>876</v>
      </c>
      <c r="C222" s="11"/>
      <c r="D222" s="11"/>
      <c r="E222" s="19"/>
      <c r="J222" s="5"/>
      <c r="L222" s="9"/>
      <c r="N222" s="9"/>
    </row>
    <row r="223" spans="1:14" ht="15" x14ac:dyDescent="0.25">
      <c r="A223" s="209" t="s">
        <v>877</v>
      </c>
      <c r="B223" s="79" t="s">
        <v>878</v>
      </c>
      <c r="C223" s="11"/>
      <c r="D223" s="11"/>
      <c r="E223" s="19"/>
      <c r="J223" s="5"/>
      <c r="L223" s="9"/>
      <c r="N223" s="9"/>
    </row>
    <row r="224" spans="1:14" ht="15" x14ac:dyDescent="0.25">
      <c r="A224" s="209" t="s">
        <v>879</v>
      </c>
      <c r="B224" s="79" t="s">
        <v>880</v>
      </c>
      <c r="C224" s="11"/>
      <c r="D224" s="11"/>
      <c r="E224" s="19"/>
      <c r="J224" s="5"/>
      <c r="L224" s="9"/>
      <c r="N224" s="9"/>
    </row>
    <row r="225" spans="1:14" ht="15" x14ac:dyDescent="0.25">
      <c r="A225" s="209" t="s">
        <v>881</v>
      </c>
      <c r="B225" s="79" t="s">
        <v>882</v>
      </c>
      <c r="C225" s="11"/>
      <c r="D225" s="11"/>
      <c r="E225" s="19"/>
      <c r="J225" s="5"/>
      <c r="L225" s="9"/>
      <c r="N225" s="9"/>
    </row>
    <row r="226" spans="1:14" ht="15" x14ac:dyDescent="0.25">
      <c r="A226" s="209" t="s">
        <v>883</v>
      </c>
      <c r="B226" s="79" t="s">
        <v>884</v>
      </c>
      <c r="C226" s="11"/>
      <c r="D226" s="11"/>
      <c r="E226" s="19"/>
      <c r="J226" s="5"/>
      <c r="L226" s="9"/>
      <c r="N226" s="9"/>
    </row>
    <row r="227" spans="1:14" ht="15" x14ac:dyDescent="0.25">
      <c r="A227" s="209" t="s">
        <v>885</v>
      </c>
      <c r="B227" s="79" t="s">
        <v>886</v>
      </c>
      <c r="C227" s="11"/>
      <c r="D227" s="11"/>
      <c r="E227" s="19"/>
      <c r="J227" s="5"/>
      <c r="L227" s="9"/>
      <c r="N227" s="9"/>
    </row>
    <row r="228" spans="1:14" ht="15" x14ac:dyDescent="0.25">
      <c r="A228" s="209" t="s">
        <v>887</v>
      </c>
      <c r="B228" s="79" t="s">
        <v>888</v>
      </c>
      <c r="C228" s="11"/>
      <c r="D228" s="11"/>
      <c r="E228" s="19"/>
      <c r="J228" s="5"/>
      <c r="L228" s="9"/>
      <c r="N228" s="9"/>
    </row>
    <row r="229" spans="1:14" ht="15" x14ac:dyDescent="0.25">
      <c r="A229" s="209" t="s">
        <v>889</v>
      </c>
      <c r="B229" s="79" t="s">
        <v>890</v>
      </c>
      <c r="C229" s="11"/>
      <c r="D229" s="11"/>
      <c r="E229" s="19"/>
      <c r="J229" s="5"/>
      <c r="L229" s="9"/>
      <c r="N229" s="9"/>
    </row>
    <row r="230" spans="1:14" ht="15" x14ac:dyDescent="0.25">
      <c r="A230" s="209" t="s">
        <v>891</v>
      </c>
      <c r="B230" s="79" t="s">
        <v>892</v>
      </c>
      <c r="C230" s="11"/>
      <c r="D230" s="11"/>
      <c r="E230" s="19"/>
      <c r="J230" s="5"/>
      <c r="L230" s="9"/>
      <c r="N230" s="9"/>
    </row>
    <row r="231" spans="1:14" ht="15" x14ac:dyDescent="0.25">
      <c r="A231" s="209" t="s">
        <v>893</v>
      </c>
      <c r="B231" s="79" t="s">
        <v>894</v>
      </c>
      <c r="C231" s="11"/>
      <c r="D231" s="11"/>
      <c r="E231" s="19"/>
      <c r="J231" s="5"/>
      <c r="L231" s="9"/>
      <c r="N231" s="9"/>
    </row>
    <row r="232" spans="1:14" ht="30" x14ac:dyDescent="0.25">
      <c r="A232" s="209" t="s">
        <v>895</v>
      </c>
      <c r="B232" s="79" t="s">
        <v>896</v>
      </c>
      <c r="C232" s="11"/>
      <c r="D232" s="11"/>
      <c r="E232" s="19"/>
      <c r="J232" s="5"/>
      <c r="L232" s="9"/>
      <c r="N232" s="9"/>
    </row>
    <row r="233" spans="1:14" ht="30" x14ac:dyDescent="0.25">
      <c r="A233" s="209" t="s">
        <v>897</v>
      </c>
      <c r="B233" s="79" t="s">
        <v>898</v>
      </c>
      <c r="C233" s="11"/>
      <c r="D233" s="11"/>
      <c r="E233" s="19"/>
      <c r="J233" s="5"/>
      <c r="L233" s="9"/>
      <c r="N233" s="9"/>
    </row>
    <row r="234" spans="1:14" ht="15" x14ac:dyDescent="0.25">
      <c r="A234" s="209" t="s">
        <v>899</v>
      </c>
      <c r="B234" s="79" t="s">
        <v>900</v>
      </c>
      <c r="C234" s="11"/>
      <c r="D234" s="11"/>
      <c r="E234" s="19"/>
      <c r="J234" s="5"/>
      <c r="L234" s="9"/>
      <c r="N234" s="9"/>
    </row>
    <row r="235" spans="1:14" ht="15" x14ac:dyDescent="0.25">
      <c r="A235" s="209" t="s">
        <v>901</v>
      </c>
      <c r="B235" s="79" t="s">
        <v>902</v>
      </c>
      <c r="C235" s="11"/>
      <c r="D235" s="11"/>
      <c r="E235" s="19"/>
      <c r="J235" s="5"/>
      <c r="L235" s="9"/>
      <c r="N235" s="9"/>
    </row>
    <row r="236" spans="1:14" ht="30" x14ac:dyDescent="0.25">
      <c r="A236" s="209" t="s">
        <v>903</v>
      </c>
      <c r="B236" s="79" t="s">
        <v>904</v>
      </c>
      <c r="C236" s="11"/>
      <c r="D236" s="11"/>
      <c r="E236" s="19"/>
      <c r="J236" s="5"/>
      <c r="L236" s="9"/>
      <c r="N236" s="9"/>
    </row>
    <row r="237" spans="1:14" ht="30" x14ac:dyDescent="0.25">
      <c r="A237" s="209" t="s">
        <v>286</v>
      </c>
      <c r="B237" s="79" t="s">
        <v>905</v>
      </c>
      <c r="C237" s="11"/>
      <c r="D237" s="11"/>
      <c r="E237" s="19"/>
      <c r="J237" s="5"/>
      <c r="L237" s="9"/>
      <c r="N237" s="9"/>
    </row>
    <row r="238" spans="1:14" ht="15" x14ac:dyDescent="0.25">
      <c r="A238" s="209" t="s">
        <v>906</v>
      </c>
      <c r="B238" s="79" t="s">
        <v>907</v>
      </c>
      <c r="C238" s="11"/>
      <c r="D238" s="11"/>
      <c r="E238" s="19"/>
      <c r="J238" s="5"/>
      <c r="L238" s="9"/>
      <c r="N238" s="9"/>
    </row>
    <row r="239" spans="1:14" ht="15" x14ac:dyDescent="0.25">
      <c r="A239" s="209" t="s">
        <v>908</v>
      </c>
      <c r="B239" s="79" t="s">
        <v>909</v>
      </c>
      <c r="C239" s="11"/>
      <c r="D239" s="11"/>
      <c r="E239" s="19"/>
      <c r="J239" s="5"/>
      <c r="L239" s="9"/>
      <c r="N239" s="9"/>
    </row>
    <row r="240" spans="1:14" ht="15" x14ac:dyDescent="0.25">
      <c r="A240" s="209" t="s">
        <v>910</v>
      </c>
      <c r="B240" s="79" t="s">
        <v>911</v>
      </c>
      <c r="C240" s="11"/>
      <c r="D240" s="11"/>
      <c r="E240" s="19"/>
      <c r="J240" s="5"/>
      <c r="L240" s="9"/>
      <c r="N240" s="9"/>
    </row>
    <row r="241" spans="1:14" ht="30" x14ac:dyDescent="0.25">
      <c r="A241" s="209" t="s">
        <v>912</v>
      </c>
      <c r="B241" s="79" t="s">
        <v>913</v>
      </c>
      <c r="C241" s="11"/>
      <c r="D241" s="11"/>
      <c r="E241" s="19"/>
      <c r="J241" s="5"/>
      <c r="L241" s="9"/>
      <c r="N241" s="9"/>
    </row>
    <row r="242" spans="1:14" ht="45" x14ac:dyDescent="0.25">
      <c r="A242" s="209" t="s">
        <v>914</v>
      </c>
      <c r="B242" s="79" t="s">
        <v>915</v>
      </c>
      <c r="C242" s="11"/>
      <c r="D242" s="11"/>
      <c r="E242" s="19"/>
      <c r="J242" s="5"/>
      <c r="L242" s="9"/>
      <c r="N242" s="9"/>
    </row>
    <row r="243" spans="1:14" ht="30" x14ac:dyDescent="0.25">
      <c r="A243" s="209" t="s">
        <v>916</v>
      </c>
      <c r="B243" s="79" t="s">
        <v>917</v>
      </c>
      <c r="C243" s="11"/>
      <c r="D243" s="11"/>
      <c r="E243" s="19"/>
      <c r="J243" s="5"/>
      <c r="L243" s="9"/>
      <c r="N243" s="9"/>
    </row>
    <row r="244" spans="1:14" ht="15" x14ac:dyDescent="0.25">
      <c r="A244" s="209" t="s">
        <v>918</v>
      </c>
      <c r="B244" s="79" t="s">
        <v>919</v>
      </c>
      <c r="C244" s="14"/>
      <c r="D244" s="14"/>
      <c r="E244" s="19"/>
      <c r="J244" s="5"/>
      <c r="L244" s="9"/>
      <c r="N244" s="9"/>
    </row>
    <row r="245" spans="1:14" ht="15" x14ac:dyDescent="0.25">
      <c r="A245" s="209" t="s">
        <v>920</v>
      </c>
      <c r="B245" s="79" t="s">
        <v>921</v>
      </c>
      <c r="C245" s="11"/>
      <c r="D245" s="11"/>
      <c r="E245" s="19"/>
      <c r="J245" s="5"/>
      <c r="L245" s="9"/>
      <c r="N245" s="9"/>
    </row>
    <row r="246" spans="1:14" ht="15" x14ac:dyDescent="0.25">
      <c r="A246" s="209" t="s">
        <v>922</v>
      </c>
      <c r="B246" s="79" t="s">
        <v>923</v>
      </c>
      <c r="C246" s="11"/>
      <c r="D246" s="11"/>
      <c r="E246" s="19"/>
      <c r="J246" s="5"/>
      <c r="L246" s="9"/>
      <c r="N246" s="9"/>
    </row>
    <row r="247" spans="1:14" ht="15" x14ac:dyDescent="0.25">
      <c r="A247" s="209" t="s">
        <v>924</v>
      </c>
      <c r="B247" s="79" t="s">
        <v>925</v>
      </c>
      <c r="C247" s="11"/>
      <c r="D247" s="11"/>
      <c r="E247" s="19"/>
      <c r="J247" s="5"/>
      <c r="L247" s="9"/>
      <c r="N247" s="9"/>
    </row>
    <row r="248" spans="1:14" ht="15" x14ac:dyDescent="0.25">
      <c r="A248" s="209" t="s">
        <v>926</v>
      </c>
      <c r="B248" s="79" t="s">
        <v>927</v>
      </c>
      <c r="C248" s="11"/>
      <c r="D248" s="11"/>
      <c r="E248" s="19"/>
      <c r="J248" s="5"/>
      <c r="L248" s="9"/>
      <c r="N248" s="9"/>
    </row>
    <row r="249" spans="1:14" ht="15" x14ac:dyDescent="0.25">
      <c r="A249" s="209" t="s">
        <v>928</v>
      </c>
      <c r="B249" s="79" t="s">
        <v>929</v>
      </c>
      <c r="C249" s="11"/>
      <c r="D249" s="11"/>
      <c r="E249" s="19"/>
      <c r="J249" s="5"/>
      <c r="L249" s="9"/>
      <c r="N249" s="9"/>
    </row>
    <row r="250" spans="1:14" ht="15" x14ac:dyDescent="0.25">
      <c r="A250" s="209" t="s">
        <v>930</v>
      </c>
      <c r="B250" s="79" t="s">
        <v>931</v>
      </c>
      <c r="C250" s="11"/>
      <c r="D250" s="11"/>
      <c r="E250" s="19"/>
      <c r="J250" s="5"/>
      <c r="L250" s="9"/>
      <c r="N250" s="9"/>
    </row>
    <row r="251" spans="1:14" ht="15" x14ac:dyDescent="0.25">
      <c r="A251" s="209" t="s">
        <v>932</v>
      </c>
      <c r="B251" s="79" t="s">
        <v>933</v>
      </c>
      <c r="C251" s="11"/>
      <c r="D251" s="11"/>
      <c r="E251" s="19"/>
      <c r="J251" s="5"/>
      <c r="L251" s="9"/>
      <c r="N251" s="9"/>
    </row>
    <row r="252" spans="1:14" ht="15" x14ac:dyDescent="0.25">
      <c r="A252" s="209" t="s">
        <v>934</v>
      </c>
      <c r="B252" s="79" t="s">
        <v>935</v>
      </c>
      <c r="C252" s="11"/>
      <c r="D252" s="11"/>
      <c r="E252" s="19"/>
      <c r="J252" s="5"/>
      <c r="L252" s="9"/>
      <c r="N252" s="9"/>
    </row>
    <row r="253" spans="1:14" ht="15" x14ac:dyDescent="0.25">
      <c r="A253" s="209" t="s">
        <v>936</v>
      </c>
      <c r="B253" s="79" t="s">
        <v>937</v>
      </c>
      <c r="C253" s="11"/>
      <c r="D253" s="11"/>
      <c r="E253" s="19"/>
      <c r="J253" s="5"/>
      <c r="L253" s="9"/>
      <c r="N253" s="9"/>
    </row>
  </sheetData>
  <customSheetViews>
    <customSheetView guid="{AA319F07-CC98-498A-B8F0-88469E3CB718}" showAutoFilter="1">
      <pane xSplit="2" ySplit="1" topLeftCell="C2" activePane="bottomRight" state="frozen"/>
      <selection pane="bottomRight"/>
      <pageMargins left="0.7" right="0.7" top="0.75" bottom="0.75" header="0.3" footer="0.3"/>
      <pageSetup paperSize="9" orientation="portrait" r:id="rId1"/>
      <autoFilter ref="B1:C1"/>
    </customSheetView>
    <customSheetView guid="{F7C97EE9-0129-4AF7-B3C1-B3102CE6FFA5}" showPageBreaks="1" showAutoFilter="1">
      <pane xSplit="2" ySplit="1" topLeftCell="AJ320" activePane="bottomRight" state="frozen"/>
      <selection pane="bottomRight" activeCell="AS332" sqref="AS332"/>
      <pageMargins left="0.7" right="0.7" top="0.75" bottom="0.75" header="0.3" footer="0.3"/>
      <pageSetup paperSize="9" orientation="portrait" r:id="rId2"/>
      <autoFilter ref="B1:Y1"/>
    </customSheetView>
    <customSheetView guid="{E66E0E75-407A-4A45-A7DD-4716A0845D40}" showAutoFilter="1">
      <pane xSplit="2" ySplit="1" topLeftCell="AM2" activePane="bottomRight" state="frozen"/>
      <selection pane="bottomRight"/>
      <pageMargins left="0.7" right="0.7" top="0.75" bottom="0.75" header="0.3" footer="0.3"/>
      <autoFilter ref="B1:Y1"/>
    </customSheetView>
    <customSheetView guid="{ACF55590-2DD5-4F64-8513-A5656764A8B4}" showAutoFilter="1">
      <pane xSplit="1" ySplit="1" topLeftCell="B2" activePane="bottomRight" state="frozen"/>
      <selection pane="bottomRight"/>
      <pageMargins left="0.7" right="0.7" top="0.75" bottom="0.75" header="0.3" footer="0.3"/>
      <pageSetup paperSize="9" orientation="portrait" r:id="rId3"/>
      <autoFilter ref="B1:Y1"/>
    </customSheetView>
    <customSheetView guid="{FC4FBBDB-A3CF-4CB2-B1C9-D5DDEB34891E}" showAutoFilter="1">
      <pane xSplit="2" ySplit="1" topLeftCell="W497" activePane="bottomRight" state="frozen"/>
      <selection pane="bottomRight" activeCell="AI513" sqref="AI513"/>
      <pageMargins left="0.7" right="0.7" top="0.75" bottom="0.75" header="0.3" footer="0.3"/>
      <autoFilter ref="B1:Y1"/>
    </customSheetView>
    <customSheetView guid="{E7F7CB01-84EF-4CA7-B9F6-361080D9FD6D}" showAutoFilter="1">
      <pane xSplit="1.7049952874646559" ySplit="1" topLeftCell="C2" activePane="bottomRight" state="frozen"/>
      <selection pane="bottomRight"/>
      <pageMargins left="0.7" right="0.7" top="0.75" bottom="0.75" header="0.3" footer="0.3"/>
      <pageSetup paperSize="9" orientation="portrait" r:id="rId4"/>
      <autoFilter ref="B1:C1"/>
    </customSheetView>
    <customSheetView guid="{609B000A-3B9D-4F2C-A882-9D8FED21A0B4}" showAutoFilter="1">
      <pane xSplit="2" ySplit="1" topLeftCell="C2" activePane="bottomRight" state="frozen"/>
      <selection pane="bottomRight"/>
      <pageMargins left="0.7" right="0.7" top="0.75" bottom="0.75" header="0.3" footer="0.3"/>
      <pageSetup paperSize="9" orientation="portrait" r:id="rId5"/>
      <autoFilter ref="B1:C1"/>
    </customSheetView>
  </customSheetViews>
  <mergeCells count="1">
    <mergeCell ref="F2:I2"/>
  </mergeCells>
  <conditionalFormatting sqref="A5:A1623">
    <cfRule type="duplicateValues" dxfId="8" priority="13"/>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6"/>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tabColor theme="9" tint="0.39997558519241921"/>
  </sheetPr>
  <dimension ref="A1:M3599"/>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7" style="9" customWidth="1"/>
    <col min="2" max="2" width="54.83203125" style="9" customWidth="1"/>
    <col min="3" max="3" width="13" style="9" bestFit="1" customWidth="1"/>
    <col min="4" max="4" width="12.83203125" style="13" bestFit="1" customWidth="1"/>
    <col min="5" max="5" width="18.33203125" style="9" bestFit="1" customWidth="1"/>
    <col min="6" max="6" width="11.5" style="9" bestFit="1" customWidth="1"/>
    <col min="7" max="7" width="9.33203125" style="9"/>
    <col min="8" max="8" width="17.33203125" style="9" customWidth="1"/>
    <col min="9" max="9" width="9.33203125" style="4"/>
    <col min="10" max="10" width="9.33203125" style="9"/>
    <col min="12" max="12" width="9.33203125" style="9"/>
    <col min="14" max="16384" width="9.33203125" style="9"/>
  </cols>
  <sheetData>
    <row r="1" spans="1:11" s="86" customFormat="1" ht="15" x14ac:dyDescent="0.25">
      <c r="A1" s="85" t="s">
        <v>43</v>
      </c>
      <c r="B1" s="183" t="s">
        <v>964</v>
      </c>
      <c r="C1" s="87" t="s">
        <v>44</v>
      </c>
      <c r="D1" s="184" t="s">
        <v>132</v>
      </c>
      <c r="E1" s="85" t="s">
        <v>209</v>
      </c>
      <c r="F1" s="183" t="s">
        <v>940</v>
      </c>
      <c r="G1" s="85" t="s">
        <v>9</v>
      </c>
      <c r="H1" s="183"/>
      <c r="I1" s="82" t="s">
        <v>262</v>
      </c>
      <c r="J1" s="181" t="b">
        <v>0</v>
      </c>
    </row>
    <row r="2" spans="1:11" s="103" customFormat="1" ht="15" x14ac:dyDescent="0.25">
      <c r="A2" s="102" t="s">
        <v>366</v>
      </c>
      <c r="B2" s="141" t="s">
        <v>365</v>
      </c>
      <c r="C2" s="141" t="s">
        <v>199</v>
      </c>
      <c r="D2" s="141" t="s">
        <v>403</v>
      </c>
      <c r="F2" s="284" t="s">
        <v>292</v>
      </c>
      <c r="G2" s="285"/>
      <c r="H2" s="285"/>
      <c r="I2" s="286"/>
      <c r="J2" s="104"/>
      <c r="K2" s="105"/>
    </row>
    <row r="3" spans="1:11" s="103" customFormat="1" ht="15" x14ac:dyDescent="0.25">
      <c r="A3" s="141" t="s">
        <v>404</v>
      </c>
      <c r="B3" s="141" t="s">
        <v>362</v>
      </c>
      <c r="C3" s="141" t="s">
        <v>293</v>
      </c>
      <c r="D3" s="141" t="s">
        <v>364</v>
      </c>
      <c r="F3" s="106" t="s">
        <v>293</v>
      </c>
      <c r="G3" s="107"/>
      <c r="H3" s="107"/>
      <c r="I3" s="107"/>
      <c r="J3" s="104"/>
      <c r="K3" s="105"/>
    </row>
    <row r="4" spans="1:11" s="47" customFormat="1" ht="15" x14ac:dyDescent="0.25">
      <c r="A4" s="98" t="s">
        <v>6</v>
      </c>
      <c r="B4" s="98" t="s">
        <v>209</v>
      </c>
      <c r="C4" s="99" t="s">
        <v>9</v>
      </c>
      <c r="D4" s="100" t="s">
        <v>45</v>
      </c>
      <c r="E4" s="100" t="s">
        <v>294</v>
      </c>
      <c r="F4" s="108" t="s">
        <v>291</v>
      </c>
      <c r="G4" s="107"/>
      <c r="H4" s="107"/>
      <c r="I4" s="107"/>
      <c r="J4" s="48"/>
    </row>
    <row r="5" spans="1:11" customFormat="1" ht="15" x14ac:dyDescent="0.25">
      <c r="A5" s="80"/>
      <c r="B5" s="80"/>
      <c r="G5" s="107"/>
      <c r="H5" s="107"/>
      <c r="I5" s="107"/>
    </row>
    <row r="6" spans="1:11" customFormat="1" ht="15" x14ac:dyDescent="0.25">
      <c r="A6" s="80"/>
      <c r="B6" s="80"/>
      <c r="G6" s="107"/>
      <c r="H6" s="107"/>
      <c r="I6" s="107"/>
    </row>
    <row r="7" spans="1:11" customFormat="1" ht="15" x14ac:dyDescent="0.25">
      <c r="A7" s="80"/>
      <c r="B7" s="80"/>
      <c r="G7" s="107"/>
      <c r="H7" s="107"/>
      <c r="I7" s="107"/>
    </row>
    <row r="8" spans="1:11" customFormat="1" ht="15" x14ac:dyDescent="0.25">
      <c r="A8" s="80"/>
      <c r="B8" s="80"/>
      <c r="G8" s="107"/>
      <c r="H8" s="107"/>
      <c r="I8" s="107"/>
    </row>
    <row r="9" spans="1:11" customFormat="1" ht="15" x14ac:dyDescent="0.25">
      <c r="A9" s="80"/>
      <c r="B9" s="80"/>
      <c r="G9" s="107"/>
      <c r="H9" s="107"/>
      <c r="I9" s="107"/>
    </row>
    <row r="10" spans="1:11" customFormat="1" ht="15" x14ac:dyDescent="0.25">
      <c r="A10" s="80"/>
      <c r="B10" s="80"/>
      <c r="G10" s="107"/>
      <c r="H10" s="107"/>
      <c r="I10" s="107"/>
    </row>
    <row r="11" spans="1:11" customFormat="1" ht="15" x14ac:dyDescent="0.25">
      <c r="A11" s="80"/>
      <c r="B11" s="80"/>
      <c r="G11" s="107"/>
      <c r="H11" s="107"/>
      <c r="I11" s="107"/>
    </row>
    <row r="12" spans="1:11" customFormat="1" ht="15" x14ac:dyDescent="0.25">
      <c r="A12" s="80"/>
      <c r="B12" s="80"/>
      <c r="G12" s="107"/>
      <c r="H12" s="107"/>
      <c r="I12" s="107"/>
    </row>
    <row r="13" spans="1:11" customFormat="1" ht="15" x14ac:dyDescent="0.25">
      <c r="A13" s="80"/>
      <c r="B13" s="80"/>
      <c r="G13" s="107"/>
      <c r="H13" s="107"/>
      <c r="I13" s="107"/>
    </row>
    <row r="14" spans="1:11" customFormat="1" ht="15" x14ac:dyDescent="0.25">
      <c r="A14" s="80"/>
      <c r="B14" s="80"/>
      <c r="G14" s="107"/>
      <c r="H14" s="107"/>
      <c r="I14" s="107"/>
    </row>
    <row r="15" spans="1:11" customFormat="1" ht="15" x14ac:dyDescent="0.25">
      <c r="A15" s="80"/>
      <c r="B15" s="80"/>
      <c r="G15" s="107"/>
      <c r="H15" s="107"/>
      <c r="I15" s="107"/>
    </row>
    <row r="16" spans="1:11" customFormat="1" ht="15" x14ac:dyDescent="0.25">
      <c r="A16" s="80"/>
      <c r="B16" s="80"/>
      <c r="G16" s="107"/>
      <c r="H16" s="107"/>
      <c r="I16" s="107"/>
    </row>
    <row r="17" spans="1:9" customFormat="1" ht="15" x14ac:dyDescent="0.25">
      <c r="A17" s="80"/>
      <c r="B17" s="80"/>
      <c r="G17" s="107"/>
      <c r="H17" s="107"/>
      <c r="I17" s="107"/>
    </row>
    <row r="18" spans="1:9" customFormat="1" ht="15" x14ac:dyDescent="0.25">
      <c r="A18" s="80"/>
      <c r="B18" s="80"/>
      <c r="G18" s="107"/>
      <c r="H18" s="107"/>
      <c r="I18" s="107"/>
    </row>
    <row r="19" spans="1:9" customFormat="1" ht="15" x14ac:dyDescent="0.25">
      <c r="A19" s="80"/>
      <c r="B19" s="80"/>
      <c r="G19" s="107"/>
      <c r="H19" s="107"/>
      <c r="I19" s="107"/>
    </row>
    <row r="20" spans="1:9" customFormat="1" ht="15" x14ac:dyDescent="0.25">
      <c r="A20" s="80"/>
      <c r="B20" s="80"/>
      <c r="G20" s="107"/>
      <c r="H20" s="107"/>
      <c r="I20" s="107"/>
    </row>
    <row r="21" spans="1:9" customFormat="1" ht="15" x14ac:dyDescent="0.25">
      <c r="A21" s="80"/>
      <c r="B21" s="80"/>
      <c r="G21" s="107"/>
      <c r="H21" s="107"/>
      <c r="I21" s="107"/>
    </row>
    <row r="22" spans="1:9" customFormat="1" ht="15" x14ac:dyDescent="0.25">
      <c r="A22" s="80"/>
      <c r="B22" s="80"/>
      <c r="G22" s="107"/>
      <c r="H22" s="107"/>
      <c r="I22" s="107"/>
    </row>
    <row r="23" spans="1:9" customFormat="1" ht="15" x14ac:dyDescent="0.25">
      <c r="A23" s="80"/>
      <c r="B23" s="80"/>
      <c r="G23" s="107"/>
      <c r="H23" s="107"/>
      <c r="I23" s="107"/>
    </row>
    <row r="24" spans="1:9" customFormat="1" ht="15" x14ac:dyDescent="0.25">
      <c r="A24" s="80"/>
      <c r="B24" s="80"/>
      <c r="G24" s="107"/>
      <c r="H24" s="107"/>
      <c r="I24" s="107"/>
    </row>
    <row r="25" spans="1:9" customFormat="1" ht="15" x14ac:dyDescent="0.25">
      <c r="A25" s="80"/>
      <c r="B25" s="80"/>
      <c r="G25" s="107"/>
      <c r="H25" s="107"/>
      <c r="I25" s="107"/>
    </row>
    <row r="26" spans="1:9" customFormat="1" ht="15" x14ac:dyDescent="0.25">
      <c r="A26" s="80"/>
      <c r="B26" s="80"/>
      <c r="G26" s="107"/>
      <c r="H26" s="107"/>
      <c r="I26" s="107"/>
    </row>
    <row r="27" spans="1:9" customFormat="1" ht="15" x14ac:dyDescent="0.25">
      <c r="A27" s="80"/>
      <c r="B27" s="80"/>
      <c r="G27" s="107"/>
      <c r="H27" s="107"/>
      <c r="I27" s="107"/>
    </row>
    <row r="28" spans="1:9" customFormat="1" ht="15" x14ac:dyDescent="0.25">
      <c r="A28" s="80"/>
      <c r="B28" s="80"/>
      <c r="G28" s="107"/>
      <c r="H28" s="107"/>
      <c r="I28" s="107"/>
    </row>
    <row r="29" spans="1:9" customFormat="1" ht="15" x14ac:dyDescent="0.25">
      <c r="A29" s="80"/>
      <c r="B29" s="80"/>
      <c r="G29" s="107"/>
      <c r="H29" s="107"/>
      <c r="I29" s="107"/>
    </row>
    <row r="30" spans="1:9" ht="15" x14ac:dyDescent="0.25">
      <c r="A30" s="80"/>
      <c r="B30" s="80"/>
      <c r="C30" s="11"/>
      <c r="D30" s="19"/>
      <c r="G30" s="107"/>
      <c r="H30" s="107"/>
      <c r="I30" s="107"/>
    </row>
    <row r="31" spans="1:9" ht="15" x14ac:dyDescent="0.25">
      <c r="A31" s="80"/>
      <c r="B31" s="80"/>
      <c r="C31" s="11"/>
      <c r="D31" s="19"/>
      <c r="G31" s="107"/>
      <c r="H31" s="107"/>
      <c r="I31" s="107"/>
    </row>
    <row r="32" spans="1:9" ht="15" x14ac:dyDescent="0.25">
      <c r="A32" s="80"/>
      <c r="B32" s="80"/>
      <c r="C32" s="11"/>
      <c r="D32" s="19"/>
      <c r="G32" s="107"/>
      <c r="H32" s="107"/>
      <c r="I32" s="107"/>
    </row>
    <row r="33" spans="1:10" ht="15" x14ac:dyDescent="0.25">
      <c r="A33" s="80"/>
      <c r="B33" s="80"/>
      <c r="C33" s="11"/>
      <c r="D33" s="19"/>
      <c r="G33" s="107"/>
      <c r="H33" s="107"/>
      <c r="I33" s="107"/>
    </row>
    <row r="34" spans="1:10" ht="15" x14ac:dyDescent="0.25">
      <c r="A34" s="80"/>
      <c r="B34" s="80"/>
      <c r="C34" s="11"/>
      <c r="D34" s="19"/>
      <c r="G34" s="107"/>
      <c r="H34" s="107"/>
      <c r="I34" s="107"/>
    </row>
    <row r="35" spans="1:10" s="12" customFormat="1" ht="15" x14ac:dyDescent="0.25">
      <c r="A35" s="80"/>
      <c r="B35" s="80"/>
      <c r="C35" s="11"/>
      <c r="D35" s="19"/>
      <c r="F35" s="10"/>
      <c r="G35" s="107"/>
      <c r="H35" s="107"/>
      <c r="I35" s="107"/>
      <c r="J35" s="18"/>
    </row>
    <row r="36" spans="1:10" s="12" customFormat="1" ht="15" x14ac:dyDescent="0.25">
      <c r="A36" s="80"/>
      <c r="B36" s="80"/>
      <c r="C36" s="11"/>
      <c r="D36" s="19"/>
      <c r="F36" s="10"/>
      <c r="G36" s="107"/>
      <c r="H36" s="107"/>
      <c r="I36" s="107"/>
      <c r="J36" s="18"/>
    </row>
    <row r="37" spans="1:10" s="12" customFormat="1" ht="15" x14ac:dyDescent="0.25">
      <c r="A37" s="80"/>
      <c r="B37" s="80"/>
      <c r="C37" s="9"/>
      <c r="D37" s="19"/>
      <c r="F37" s="10"/>
      <c r="G37" s="107"/>
      <c r="H37" s="107"/>
      <c r="I37" s="107"/>
      <c r="J37" s="18"/>
    </row>
    <row r="38" spans="1:10" x14ac:dyDescent="0.2">
      <c r="A38" s="11"/>
      <c r="B38" s="11"/>
      <c r="C38" s="11"/>
      <c r="D38" s="19"/>
      <c r="I38" s="27"/>
    </row>
    <row r="39" spans="1:10" x14ac:dyDescent="0.2">
      <c r="A39" s="11"/>
      <c r="B39" s="11"/>
      <c r="C39" s="11"/>
      <c r="D39" s="19"/>
      <c r="I39" s="27"/>
    </row>
    <row r="40" spans="1:10" x14ac:dyDescent="0.2">
      <c r="A40" s="11"/>
      <c r="B40" s="11"/>
      <c r="C40" s="11"/>
      <c r="D40" s="19"/>
      <c r="I40" s="27"/>
    </row>
    <row r="41" spans="1:10" x14ac:dyDescent="0.2">
      <c r="A41" s="11"/>
      <c r="B41" s="11"/>
      <c r="C41" s="11"/>
      <c r="D41" s="19"/>
      <c r="I41" s="27"/>
    </row>
    <row r="42" spans="1:10" x14ac:dyDescent="0.2">
      <c r="A42" s="11"/>
      <c r="B42" s="11"/>
      <c r="C42" s="11"/>
      <c r="D42" s="19"/>
      <c r="I42" s="27"/>
    </row>
    <row r="43" spans="1:10" x14ac:dyDescent="0.2">
      <c r="A43" s="11"/>
      <c r="B43" s="11"/>
      <c r="C43" s="11"/>
      <c r="D43" s="19"/>
      <c r="I43" s="27"/>
    </row>
    <row r="44" spans="1:10" x14ac:dyDescent="0.2">
      <c r="A44" s="11"/>
      <c r="B44" s="11"/>
      <c r="C44" s="11"/>
      <c r="D44" s="19"/>
      <c r="I44" s="27"/>
    </row>
    <row r="45" spans="1:10" x14ac:dyDescent="0.2">
      <c r="A45" s="11"/>
      <c r="B45" s="11"/>
      <c r="C45" s="11"/>
      <c r="D45" s="19"/>
      <c r="I45" s="27"/>
    </row>
    <row r="46" spans="1:10" x14ac:dyDescent="0.2">
      <c r="A46" s="11"/>
      <c r="B46" s="11"/>
      <c r="C46" s="11"/>
      <c r="D46" s="19"/>
      <c r="I46" s="27"/>
    </row>
    <row r="47" spans="1:10" x14ac:dyDescent="0.2">
      <c r="A47" s="11"/>
      <c r="B47" s="11"/>
      <c r="C47" s="11"/>
      <c r="D47" s="19"/>
      <c r="I47" s="27"/>
    </row>
    <row r="48" spans="1:10"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D57" s="19"/>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ht="12" customHeight="1" x14ac:dyDescent="0.2">
      <c r="A71" s="11"/>
      <c r="B71" s="11"/>
      <c r="C71" s="11"/>
      <c r="D71" s="19"/>
      <c r="I71" s="27"/>
    </row>
    <row r="72" spans="1:9" ht="12" customHeight="1" x14ac:dyDescent="0.2">
      <c r="A72" s="11"/>
      <c r="B72" s="11"/>
      <c r="C72" s="11"/>
      <c r="D72" s="19"/>
      <c r="I72" s="27"/>
    </row>
    <row r="73" spans="1:9" x14ac:dyDescent="0.2">
      <c r="A73" s="11"/>
      <c r="B73" s="11"/>
      <c r="C73" s="11"/>
      <c r="D73" s="19"/>
      <c r="I73" s="27"/>
    </row>
    <row r="74" spans="1:9" x14ac:dyDescent="0.2">
      <c r="A74" s="11"/>
      <c r="B74" s="11"/>
      <c r="C74" s="11"/>
      <c r="D74" s="19"/>
      <c r="I74" s="27"/>
    </row>
    <row r="75" spans="1:9" x14ac:dyDescent="0.2">
      <c r="A75" s="11"/>
      <c r="B75" s="11"/>
      <c r="C75" s="11"/>
      <c r="D75" s="19"/>
      <c r="I75" s="27"/>
    </row>
    <row r="76" spans="1:9"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4"/>
      <c r="C117" s="14"/>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4"/>
      <c r="C120" s="14"/>
      <c r="D120" s="19"/>
      <c r="I120" s="27"/>
    </row>
    <row r="121" spans="1:9" x14ac:dyDescent="0.2">
      <c r="A121" s="11"/>
      <c r="B121" s="11"/>
      <c r="C121" s="11"/>
      <c r="D121" s="19"/>
      <c r="I121" s="27"/>
    </row>
    <row r="122" spans="1:9" x14ac:dyDescent="0.2">
      <c r="A122" s="11"/>
      <c r="B122" s="11"/>
      <c r="C122" s="11"/>
      <c r="D122" s="19"/>
      <c r="I122" s="27"/>
    </row>
    <row r="123" spans="1:9" x14ac:dyDescent="0.2">
      <c r="A123" s="11"/>
      <c r="B123" s="11"/>
      <c r="C123" s="11"/>
      <c r="D123" s="15"/>
      <c r="I123" s="27"/>
    </row>
    <row r="124" spans="1:9" x14ac:dyDescent="0.2">
      <c r="A124" s="11"/>
      <c r="B124" s="11"/>
      <c r="C124" s="11"/>
      <c r="D124" s="15"/>
      <c r="I124" s="27"/>
    </row>
    <row r="125" spans="1:9" x14ac:dyDescent="0.2">
      <c r="A125" s="11"/>
      <c r="B125" s="14"/>
      <c r="C125" s="14"/>
      <c r="D125" s="19"/>
      <c r="I125" s="27"/>
    </row>
    <row r="126" spans="1:9" x14ac:dyDescent="0.2">
      <c r="A126" s="11"/>
      <c r="B126" s="11"/>
      <c r="C126" s="11"/>
      <c r="D126" s="19"/>
      <c r="I126" s="27"/>
    </row>
    <row r="127" spans="1:9" x14ac:dyDescent="0.2">
      <c r="A127" s="11"/>
      <c r="B127" s="11"/>
      <c r="C127" s="11"/>
      <c r="D127" s="19"/>
      <c r="I127" s="27"/>
    </row>
    <row r="128" spans="1:9" x14ac:dyDescent="0.2">
      <c r="A128" s="16"/>
      <c r="D128" s="19"/>
      <c r="I128" s="27"/>
    </row>
    <row r="129" spans="1:9" x14ac:dyDescent="0.2">
      <c r="A129" s="11"/>
      <c r="B129" s="11"/>
      <c r="C129" s="11"/>
      <c r="D129" s="19"/>
      <c r="I129" s="27"/>
    </row>
    <row r="130" spans="1:9" x14ac:dyDescent="0.2">
      <c r="A130" s="11"/>
      <c r="B130" s="14"/>
      <c r="C130" s="14"/>
      <c r="D130" s="19"/>
      <c r="I130" s="27"/>
    </row>
    <row r="131" spans="1:9" x14ac:dyDescent="0.2">
      <c r="A131" s="11"/>
      <c r="B131" s="11"/>
      <c r="C131" s="11"/>
      <c r="D131" s="19"/>
      <c r="I131" s="27"/>
    </row>
    <row r="132" spans="1:9" x14ac:dyDescent="0.2">
      <c r="A132" s="11"/>
      <c r="B132" s="11"/>
      <c r="C132" s="11"/>
      <c r="D132" s="19"/>
      <c r="I132" s="27"/>
    </row>
    <row r="133" spans="1:9" x14ac:dyDescent="0.2">
      <c r="A133" s="11"/>
      <c r="B133" s="11"/>
      <c r="C133" s="11"/>
      <c r="D133" s="19"/>
      <c r="I133" s="27"/>
    </row>
    <row r="134" spans="1:9" x14ac:dyDescent="0.2">
      <c r="A134" s="11"/>
      <c r="B134" s="11"/>
      <c r="C134" s="11"/>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4"/>
      <c r="C213" s="14"/>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1"/>
      <c r="C217" s="11"/>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4"/>
      <c r="C237" s="14"/>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4"/>
      <c r="C248" s="14"/>
      <c r="D248" s="19"/>
      <c r="I248" s="27"/>
    </row>
    <row r="249" spans="1:9" x14ac:dyDescent="0.2">
      <c r="A249" s="11"/>
      <c r="B249" s="11"/>
      <c r="C249" s="11"/>
      <c r="D249" s="19"/>
      <c r="I249" s="27"/>
    </row>
    <row r="250" spans="1:9" x14ac:dyDescent="0.2">
      <c r="A250" s="11"/>
      <c r="B250" s="11"/>
      <c r="C250" s="11"/>
      <c r="D250" s="19"/>
      <c r="I250" s="27"/>
    </row>
    <row r="251" spans="1:9" x14ac:dyDescent="0.2">
      <c r="A251" s="11"/>
      <c r="B251" s="14"/>
      <c r="C251" s="14"/>
      <c r="D251" s="19"/>
      <c r="I251" s="27"/>
    </row>
    <row r="252" spans="1:9" x14ac:dyDescent="0.2">
      <c r="A252" s="11"/>
      <c r="B252" s="11"/>
      <c r="C252" s="11"/>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1"/>
      <c r="C255" s="11"/>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4"/>
      <c r="C266" s="14"/>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4"/>
      <c r="C276" s="14"/>
      <c r="D276" s="19"/>
      <c r="I276" s="27"/>
    </row>
    <row r="277" spans="1:9" x14ac:dyDescent="0.2">
      <c r="A277" s="11"/>
      <c r="B277" s="11"/>
      <c r="C277" s="11"/>
      <c r="D277" s="19"/>
      <c r="I277" s="27"/>
    </row>
    <row r="278" spans="1:9" x14ac:dyDescent="0.2">
      <c r="A278" s="11"/>
      <c r="B278" s="11"/>
      <c r="C278" s="11"/>
      <c r="D278" s="19"/>
      <c r="I278" s="27"/>
    </row>
    <row r="279" spans="1:9" x14ac:dyDescent="0.2">
      <c r="A279" s="11"/>
      <c r="B279" s="11"/>
      <c r="C279" s="11"/>
      <c r="D279" s="19"/>
      <c r="I279" s="27"/>
    </row>
    <row r="280" spans="1:9" x14ac:dyDescent="0.2">
      <c r="A280" s="11"/>
      <c r="B280" s="11"/>
      <c r="C280" s="11"/>
      <c r="D280" s="19"/>
      <c r="I280" s="27"/>
    </row>
    <row r="281" spans="1:9" x14ac:dyDescent="0.2">
      <c r="A281" s="11"/>
      <c r="B281" s="11"/>
      <c r="C281" s="11"/>
      <c r="D281" s="19"/>
      <c r="I281" s="27"/>
    </row>
    <row r="282" spans="1:9" x14ac:dyDescent="0.2">
      <c r="A282" s="11"/>
      <c r="B282" s="11"/>
      <c r="C282" s="11"/>
      <c r="D282" s="15"/>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9"/>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4"/>
      <c r="C293" s="14"/>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1"/>
      <c r="C297" s="11"/>
      <c r="D297" s="19"/>
      <c r="I297" s="27"/>
    </row>
    <row r="298" spans="1:9" x14ac:dyDescent="0.2">
      <c r="A298" s="11"/>
      <c r="B298" s="11"/>
      <c r="C298" s="11"/>
      <c r="D298" s="19"/>
      <c r="I298" s="27"/>
    </row>
    <row r="299" spans="1:9" x14ac:dyDescent="0.2">
      <c r="A299" s="11"/>
      <c r="B299" s="8"/>
      <c r="C299" s="8"/>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11"/>
      <c r="C303" s="11"/>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4"/>
      <c r="C455" s="14"/>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B463" s="11"/>
      <c r="C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4"/>
      <c r="C467" s="14"/>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4"/>
      <c r="C470" s="14"/>
      <c r="D470" s="19"/>
      <c r="I470" s="27"/>
    </row>
    <row r="471" spans="1:9" x14ac:dyDescent="0.2">
      <c r="A471" s="11"/>
      <c r="B471" s="11"/>
      <c r="C471" s="11"/>
      <c r="D471" s="19"/>
      <c r="I471" s="27"/>
    </row>
    <row r="472" spans="1:9" x14ac:dyDescent="0.2">
      <c r="A472" s="11"/>
      <c r="B472" s="14"/>
      <c r="C472" s="14"/>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1"/>
      <c r="C476" s="11"/>
      <c r="D476" s="19"/>
      <c r="I476" s="27"/>
    </row>
    <row r="477" spans="1:9" x14ac:dyDescent="0.2">
      <c r="A477" s="11"/>
      <c r="B477" s="14"/>
      <c r="C477" s="14"/>
      <c r="D477" s="19"/>
      <c r="I477" s="27"/>
    </row>
    <row r="478" spans="1:9" x14ac:dyDescent="0.2">
      <c r="A478" s="11"/>
      <c r="B478" s="11"/>
      <c r="C478" s="11"/>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1"/>
      <c r="C481" s="11"/>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4"/>
      <c r="C546" s="14"/>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1"/>
      <c r="C550" s="11"/>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4"/>
      <c r="C557" s="14"/>
      <c r="D557" s="19"/>
      <c r="I557" s="27"/>
    </row>
    <row r="558" spans="1:9" x14ac:dyDescent="0.2">
      <c r="A558" s="11"/>
      <c r="B558" s="11"/>
      <c r="C558" s="11"/>
      <c r="D558" s="19"/>
      <c r="I558" s="27"/>
    </row>
    <row r="559" spans="1:9" x14ac:dyDescent="0.2">
      <c r="A559" s="11"/>
      <c r="B559" s="14"/>
      <c r="C559" s="14"/>
      <c r="D559" s="19"/>
      <c r="I559" s="27"/>
    </row>
    <row r="560" spans="1:9" x14ac:dyDescent="0.2">
      <c r="A560" s="11"/>
      <c r="B560" s="11"/>
      <c r="C560" s="11"/>
      <c r="D560" s="19"/>
      <c r="I560" s="27"/>
    </row>
    <row r="561" spans="1:9" x14ac:dyDescent="0.2">
      <c r="A561" s="11"/>
      <c r="B561" s="11"/>
      <c r="C561" s="11"/>
      <c r="D561" s="19"/>
      <c r="I561" s="27"/>
    </row>
    <row r="562" spans="1:9" x14ac:dyDescent="0.2">
      <c r="A562" s="11"/>
      <c r="B562" s="14"/>
      <c r="C562" s="14"/>
      <c r="D562" s="19"/>
      <c r="I562" s="27"/>
    </row>
    <row r="563" spans="1:9" x14ac:dyDescent="0.2">
      <c r="A563" s="11"/>
      <c r="B563" s="11"/>
      <c r="C563" s="11"/>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D568" s="19"/>
      <c r="I568" s="27"/>
    </row>
    <row r="569" spans="1:9" x14ac:dyDescent="0.2">
      <c r="A569" s="11"/>
      <c r="B569" s="11"/>
      <c r="C569" s="11"/>
      <c r="D569" s="19"/>
      <c r="I569" s="27"/>
    </row>
    <row r="570" spans="1:9" x14ac:dyDescent="0.2">
      <c r="A570" s="11"/>
      <c r="B570" s="11"/>
      <c r="C570" s="11"/>
      <c r="D570" s="19"/>
      <c r="I570" s="27"/>
    </row>
    <row r="571" spans="1:9" x14ac:dyDescent="0.2">
      <c r="A571" s="11"/>
      <c r="B571" s="11"/>
      <c r="C571" s="11"/>
      <c r="D571" s="19"/>
      <c r="I571" s="27"/>
    </row>
    <row r="572" spans="1:9" x14ac:dyDescent="0.2">
      <c r="A572" s="11"/>
      <c r="B572" s="14"/>
      <c r="C572" s="14"/>
      <c r="D572" s="19"/>
      <c r="I572" s="27"/>
    </row>
    <row r="573" spans="1:9" x14ac:dyDescent="0.2">
      <c r="A573" s="11"/>
      <c r="B573" s="11"/>
      <c r="C573" s="11"/>
      <c r="D573" s="19"/>
      <c r="I573" s="27"/>
    </row>
    <row r="574" spans="1:9" x14ac:dyDescent="0.2">
      <c r="A574" s="11"/>
      <c r="B574" s="14"/>
      <c r="C574" s="14"/>
      <c r="D574" s="19"/>
      <c r="I574" s="27"/>
    </row>
    <row r="575" spans="1:9" x14ac:dyDescent="0.2">
      <c r="A575" s="11"/>
      <c r="B575" s="11"/>
      <c r="C575" s="11"/>
      <c r="D575" s="19"/>
      <c r="I575" s="27"/>
    </row>
    <row r="576" spans="1:9" x14ac:dyDescent="0.2">
      <c r="A576" s="11"/>
      <c r="B576" s="11"/>
      <c r="C576" s="11"/>
      <c r="D576" s="19"/>
      <c r="I576" s="27"/>
    </row>
    <row r="577" spans="1:9" x14ac:dyDescent="0.2">
      <c r="A577" s="11"/>
      <c r="B577" s="11"/>
      <c r="C577" s="11"/>
      <c r="D577" s="19"/>
      <c r="I577" s="27"/>
    </row>
    <row r="578" spans="1:9" x14ac:dyDescent="0.2">
      <c r="A578" s="11"/>
      <c r="B578" s="11"/>
      <c r="C578" s="11"/>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7"/>
      <c r="B621" s="11"/>
      <c r="C621" s="11"/>
      <c r="D621" s="19"/>
      <c r="I621" s="27"/>
    </row>
    <row r="622" spans="1:9" x14ac:dyDescent="0.2">
      <c r="A622" s="17"/>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1"/>
      <c r="B625" s="11"/>
      <c r="C625" s="11"/>
      <c r="D625" s="19"/>
      <c r="I625" s="27"/>
    </row>
    <row r="626" spans="1:9" x14ac:dyDescent="0.2">
      <c r="A626" s="11"/>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8"/>
      <c r="C644" s="8"/>
      <c r="D644" s="19"/>
      <c r="I644" s="27"/>
    </row>
    <row r="645" spans="1:9" x14ac:dyDescent="0.2">
      <c r="A645" s="11"/>
      <c r="B645" s="11"/>
      <c r="C645" s="11"/>
      <c r="D645" s="19"/>
      <c r="I645" s="27"/>
    </row>
    <row r="646" spans="1:9" x14ac:dyDescent="0.2">
      <c r="A646" s="11"/>
      <c r="B646" s="11"/>
      <c r="C646" s="11"/>
      <c r="D646" s="19"/>
      <c r="I646" s="27"/>
    </row>
    <row r="647" spans="1:9" x14ac:dyDescent="0.2">
      <c r="A647" s="7"/>
      <c r="B647" s="7"/>
      <c r="C647" s="7"/>
      <c r="D647" s="21"/>
      <c r="I647" s="27"/>
    </row>
    <row r="648" spans="1:9" x14ac:dyDescent="0.2">
      <c r="A648" s="11"/>
      <c r="B648" s="11"/>
      <c r="C648" s="11"/>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0"/>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11"/>
      <c r="B655" s="11"/>
      <c r="C655" s="11"/>
      <c r="D655" s="19"/>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7"/>
      <c r="C669" s="17"/>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1"/>
      <c r="C673" s="11"/>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D682" s="19"/>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7"/>
      <c r="B686" s="7"/>
      <c r="C686" s="7"/>
      <c r="D686" s="20"/>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11"/>
      <c r="B690" s="11"/>
      <c r="C690" s="11"/>
      <c r="D690" s="19"/>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1602" spans="9:9" x14ac:dyDescent="0.2">
      <c r="I1602" s="23"/>
    </row>
    <row r="1612" spans="9:9" x14ac:dyDescent="0.2">
      <c r="I1612" s="23"/>
    </row>
    <row r="1632" spans="9:9" x14ac:dyDescent="0.2">
      <c r="I1632" s="23"/>
    </row>
    <row r="1648" spans="9:9" x14ac:dyDescent="0.2">
      <c r="I1648" s="23"/>
    </row>
    <row r="1663" spans="9:9" x14ac:dyDescent="0.2">
      <c r="I1663" s="23"/>
    </row>
    <row r="1681" spans="9:9" x14ac:dyDescent="0.2">
      <c r="I1681" s="23"/>
    </row>
    <row r="1696" spans="9:9" x14ac:dyDescent="0.2">
      <c r="I1696" s="23"/>
    </row>
    <row r="1704" spans="9:9" x14ac:dyDescent="0.2">
      <c r="I1704" s="23"/>
    </row>
    <row r="1723" spans="9:9" x14ac:dyDescent="0.2">
      <c r="I1723" s="23"/>
    </row>
    <row r="1740" spans="9:9" x14ac:dyDescent="0.2">
      <c r="I1740" s="23"/>
    </row>
    <row r="1755" spans="9:9" x14ac:dyDescent="0.2">
      <c r="I1755" s="23"/>
    </row>
    <row r="1783" spans="9:9" x14ac:dyDescent="0.2">
      <c r="I1783" s="23"/>
    </row>
    <row r="3599" spans="9:9" x14ac:dyDescent="0.2">
      <c r="I3599" s="23"/>
    </row>
  </sheetData>
  <mergeCells count="1">
    <mergeCell ref="F2:I2"/>
  </mergeCells>
  <conditionalFormatting sqref="A5:A5000">
    <cfRule type="duplicateValues" dxfId="7"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DSD 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tabColor theme="9" tint="0.39997558519241921"/>
  </sheetPr>
  <dimension ref="A1:M3603"/>
  <sheetViews>
    <sheetView zoomScaleNormal="100" workbookViewId="0">
      <pane ySplit="4" topLeftCell="A5" activePane="bottomLeft" state="frozen"/>
      <selection activeCell="Q35" sqref="P35:Q35"/>
      <selection pane="bottomLeft" activeCell="B1" sqref="B1"/>
    </sheetView>
  </sheetViews>
  <sheetFormatPr defaultRowHeight="12" x14ac:dyDescent="0.2"/>
  <cols>
    <col min="1" max="1" width="19.5" style="9" bestFit="1" customWidth="1"/>
    <col min="2" max="2" width="36.33203125" style="9" bestFit="1" customWidth="1"/>
    <col min="3" max="3" width="13" style="9" bestFit="1" customWidth="1"/>
    <col min="4" max="4" width="12.83203125" style="13" bestFit="1" customWidth="1"/>
    <col min="5" max="5" width="13.5" style="9" bestFit="1" customWidth="1"/>
    <col min="6" max="8" width="9.33203125" style="9"/>
    <col min="9" max="9" width="9.33203125" style="4"/>
    <col min="10" max="10" width="9.33203125" style="9"/>
    <col min="12" max="12" width="9.33203125" style="9"/>
    <col min="14" max="16384" width="9.33203125" style="9"/>
  </cols>
  <sheetData>
    <row r="1" spans="1:10" s="86" customFormat="1" ht="15" x14ac:dyDescent="0.25">
      <c r="A1" s="85" t="s">
        <v>43</v>
      </c>
      <c r="B1" s="183" t="s">
        <v>964</v>
      </c>
      <c r="C1" s="87" t="s">
        <v>44</v>
      </c>
      <c r="D1" s="184" t="s">
        <v>132</v>
      </c>
      <c r="E1" s="85" t="s">
        <v>209</v>
      </c>
      <c r="F1" s="183" t="s">
        <v>941</v>
      </c>
      <c r="G1" s="85" t="s">
        <v>9</v>
      </c>
      <c r="H1" s="183" t="s">
        <v>211</v>
      </c>
      <c r="I1" s="82" t="s">
        <v>262</v>
      </c>
      <c r="J1" s="181" t="b">
        <v>0</v>
      </c>
    </row>
    <row r="2" spans="1:10" s="43" customFormat="1" ht="15" x14ac:dyDescent="0.25">
      <c r="A2" s="102" t="s">
        <v>366</v>
      </c>
      <c r="B2" s="141" t="s">
        <v>365</v>
      </c>
      <c r="C2" s="141" t="s">
        <v>199</v>
      </c>
      <c r="D2" s="141" t="s">
        <v>363</v>
      </c>
      <c r="E2" s="42"/>
      <c r="F2" s="284" t="s">
        <v>292</v>
      </c>
      <c r="G2" s="285"/>
      <c r="H2" s="285"/>
      <c r="I2" s="286"/>
      <c r="J2" s="66"/>
    </row>
    <row r="3" spans="1:10" s="43" customFormat="1" ht="30" x14ac:dyDescent="0.25">
      <c r="A3" s="141" t="s">
        <v>404</v>
      </c>
      <c r="B3" s="141" t="s">
        <v>362</v>
      </c>
      <c r="C3" s="141" t="s">
        <v>293</v>
      </c>
      <c r="D3" s="141" t="s">
        <v>364</v>
      </c>
      <c r="E3" s="42"/>
      <c r="F3" s="106" t="s">
        <v>293</v>
      </c>
      <c r="G3" s="107"/>
      <c r="H3" s="107"/>
      <c r="I3" s="107"/>
      <c r="J3" s="66"/>
    </row>
    <row r="4" spans="1:10" s="47" customFormat="1" ht="15" x14ac:dyDescent="0.25">
      <c r="A4" s="32" t="s">
        <v>6</v>
      </c>
      <c r="B4" s="32" t="s">
        <v>209</v>
      </c>
      <c r="C4" s="44" t="s">
        <v>9</v>
      </c>
      <c r="D4" s="45" t="s">
        <v>45</v>
      </c>
      <c r="E4" s="46" t="s">
        <v>294</v>
      </c>
      <c r="F4" s="108" t="s">
        <v>291</v>
      </c>
      <c r="G4" s="107"/>
      <c r="H4" s="107"/>
      <c r="I4" s="107"/>
      <c r="J4" s="48"/>
    </row>
    <row r="5" spans="1:10" x14ac:dyDescent="0.2">
      <c r="A5" s="11"/>
      <c r="B5" s="11"/>
      <c r="C5" s="11"/>
      <c r="D5" s="19"/>
      <c r="I5" s="27"/>
    </row>
    <row r="6" spans="1:10" x14ac:dyDescent="0.2">
      <c r="A6" s="11"/>
      <c r="B6" s="11"/>
      <c r="C6" s="11"/>
      <c r="D6" s="19"/>
      <c r="I6" s="27"/>
    </row>
    <row r="7" spans="1:10" x14ac:dyDescent="0.2">
      <c r="A7" s="11"/>
      <c r="B7" s="11"/>
      <c r="C7" s="11"/>
      <c r="D7" s="19"/>
      <c r="I7" s="27"/>
    </row>
    <row r="8" spans="1:10" x14ac:dyDescent="0.2">
      <c r="A8" s="11"/>
      <c r="B8" s="11"/>
      <c r="C8" s="11"/>
      <c r="D8" s="19"/>
      <c r="I8" s="27"/>
    </row>
    <row r="9" spans="1:10" s="12" customFormat="1" x14ac:dyDescent="0.2">
      <c r="A9" s="11"/>
      <c r="B9" s="11"/>
      <c r="C9" s="11"/>
      <c r="D9" s="19"/>
      <c r="F9" s="10"/>
      <c r="G9" s="6"/>
      <c r="H9" s="10"/>
      <c r="I9" s="27"/>
      <c r="J9" s="18"/>
    </row>
    <row r="10" spans="1:10" s="12" customFormat="1" x14ac:dyDescent="0.2">
      <c r="A10" s="11"/>
      <c r="B10" s="11"/>
      <c r="C10" s="11"/>
      <c r="D10" s="19"/>
      <c r="F10" s="10"/>
      <c r="G10" s="6"/>
      <c r="H10" s="10"/>
      <c r="I10" s="27"/>
      <c r="J10" s="18"/>
    </row>
    <row r="11" spans="1:10" s="12" customFormat="1" x14ac:dyDescent="0.2">
      <c r="A11" s="11"/>
      <c r="B11" s="9"/>
      <c r="C11" s="9"/>
      <c r="D11" s="19"/>
      <c r="F11" s="10"/>
      <c r="G11" s="6"/>
      <c r="H11" s="10"/>
      <c r="I11" s="27"/>
      <c r="J11" s="18"/>
    </row>
    <row r="12" spans="1:10" x14ac:dyDescent="0.2">
      <c r="A12" s="11"/>
      <c r="B12" s="11"/>
      <c r="C12" s="11"/>
      <c r="D12" s="19"/>
      <c r="I12" s="27"/>
    </row>
    <row r="13" spans="1:10" s="12" customFormat="1" x14ac:dyDescent="0.2">
      <c r="A13" s="11"/>
      <c r="B13" s="11"/>
      <c r="C13" s="11"/>
      <c r="D13" s="19"/>
      <c r="F13" s="10"/>
      <c r="G13" s="6"/>
      <c r="H13" s="10"/>
      <c r="I13" s="27"/>
      <c r="J13" s="18"/>
    </row>
    <row r="14" spans="1:10" s="12" customFormat="1" x14ac:dyDescent="0.2">
      <c r="A14" s="11"/>
      <c r="B14" s="11"/>
      <c r="C14" s="11"/>
      <c r="D14" s="19"/>
      <c r="I14" s="27"/>
    </row>
    <row r="15" spans="1:10" x14ac:dyDescent="0.2">
      <c r="A15" s="11"/>
      <c r="B15" s="11"/>
      <c r="C15" s="11"/>
      <c r="D15" s="19"/>
      <c r="I15" s="27"/>
    </row>
    <row r="16" spans="1:10" x14ac:dyDescent="0.2">
      <c r="A16" s="11"/>
      <c r="B16" s="11"/>
      <c r="C16" s="11"/>
      <c r="D16" s="19"/>
      <c r="I16" s="27"/>
    </row>
    <row r="17" spans="1:9" x14ac:dyDescent="0.2">
      <c r="A17" s="11"/>
      <c r="B17" s="11"/>
      <c r="C17" s="11"/>
      <c r="D17" s="19"/>
      <c r="I17" s="27"/>
    </row>
    <row r="18" spans="1:9" x14ac:dyDescent="0.2">
      <c r="A18" s="11"/>
      <c r="B18" s="11"/>
      <c r="C18" s="11"/>
      <c r="D18" s="19"/>
      <c r="I18" s="27"/>
    </row>
    <row r="19" spans="1:9" x14ac:dyDescent="0.2">
      <c r="A19" s="11"/>
      <c r="B19" s="11"/>
      <c r="C19" s="11"/>
      <c r="D19" s="19"/>
      <c r="I19" s="27"/>
    </row>
    <row r="20" spans="1:9" x14ac:dyDescent="0.2">
      <c r="A20" s="11"/>
      <c r="B20" s="11"/>
      <c r="C20" s="11"/>
      <c r="D20" s="19"/>
      <c r="I20" s="27"/>
    </row>
    <row r="21" spans="1:9" x14ac:dyDescent="0.2">
      <c r="A21" s="11"/>
      <c r="B21" s="11"/>
      <c r="C21" s="11"/>
      <c r="D21" s="19"/>
      <c r="I21" s="27"/>
    </row>
    <row r="22" spans="1:9" x14ac:dyDescent="0.2">
      <c r="A22" s="11"/>
      <c r="B22" s="11"/>
      <c r="C22" s="11"/>
      <c r="D22" s="19"/>
      <c r="I22" s="27"/>
    </row>
    <row r="23" spans="1:9" x14ac:dyDescent="0.2">
      <c r="A23" s="11"/>
      <c r="B23" s="11"/>
      <c r="C23" s="11"/>
      <c r="D23" s="19"/>
      <c r="I23" s="27"/>
    </row>
    <row r="24" spans="1:9" x14ac:dyDescent="0.2">
      <c r="A24" s="11"/>
      <c r="B24" s="11"/>
      <c r="C24" s="11"/>
      <c r="D24" s="19"/>
      <c r="I24" s="27"/>
    </row>
    <row r="25" spans="1:9" x14ac:dyDescent="0.2">
      <c r="A25" s="11"/>
      <c r="B25" s="11"/>
      <c r="C25" s="11"/>
      <c r="D25" s="19"/>
      <c r="I25" s="27"/>
    </row>
    <row r="26" spans="1:9" x14ac:dyDescent="0.2">
      <c r="A26" s="11"/>
      <c r="B26" s="11"/>
      <c r="C26" s="11"/>
      <c r="D26" s="19"/>
      <c r="I26" s="27"/>
    </row>
    <row r="27" spans="1:9" x14ac:dyDescent="0.2">
      <c r="A27" s="11"/>
      <c r="B27" s="11"/>
      <c r="C27" s="11"/>
      <c r="D27" s="19"/>
      <c r="I27" s="27"/>
    </row>
    <row r="28" spans="1:9" x14ac:dyDescent="0.2">
      <c r="A28" s="7"/>
      <c r="B28" s="7"/>
      <c r="C28" s="7"/>
      <c r="D28" s="20"/>
      <c r="I28" s="27"/>
    </row>
    <row r="29" spans="1:9" x14ac:dyDescent="0.2">
      <c r="A29" s="11"/>
      <c r="B29" s="11"/>
      <c r="C29" s="11"/>
      <c r="D29" s="19"/>
      <c r="I29" s="27"/>
    </row>
    <row r="30" spans="1:9" x14ac:dyDescent="0.2">
      <c r="A30" s="11"/>
      <c r="B30" s="11"/>
      <c r="C30" s="11"/>
      <c r="D30" s="19"/>
      <c r="I30" s="27"/>
    </row>
    <row r="31" spans="1:9" x14ac:dyDescent="0.2">
      <c r="A31" s="11"/>
      <c r="B31" s="11"/>
      <c r="C31" s="11"/>
      <c r="D31" s="19"/>
      <c r="I31" s="27"/>
    </row>
    <row r="32" spans="1:9" x14ac:dyDescent="0.2">
      <c r="A32" s="11"/>
      <c r="B32" s="11"/>
      <c r="C32" s="11"/>
      <c r="D32" s="19"/>
      <c r="I32" s="27"/>
    </row>
    <row r="33" spans="1:9" x14ac:dyDescent="0.2">
      <c r="A33" s="11"/>
      <c r="B33" s="11"/>
      <c r="C33" s="11"/>
      <c r="D33" s="19"/>
      <c r="I33" s="27"/>
    </row>
    <row r="34" spans="1:9" x14ac:dyDescent="0.2">
      <c r="A34" s="11"/>
      <c r="B34" s="11"/>
      <c r="C34" s="11"/>
      <c r="D34" s="19"/>
      <c r="I34" s="27"/>
    </row>
    <row r="35" spans="1:9" x14ac:dyDescent="0.2">
      <c r="A35" s="11"/>
      <c r="B35" s="11"/>
      <c r="C35" s="11"/>
      <c r="D35" s="19"/>
      <c r="I35" s="27"/>
    </row>
    <row r="36" spans="1:9" x14ac:dyDescent="0.2">
      <c r="A36" s="11"/>
      <c r="B36" s="11"/>
      <c r="C36" s="11"/>
      <c r="D36" s="19"/>
      <c r="I36" s="27"/>
    </row>
    <row r="37" spans="1:9" x14ac:dyDescent="0.2">
      <c r="A37" s="11"/>
      <c r="B37" s="11"/>
      <c r="C37" s="11"/>
      <c r="D37" s="19"/>
      <c r="I37" s="27"/>
    </row>
    <row r="38" spans="1:9" x14ac:dyDescent="0.2">
      <c r="A38" s="11"/>
      <c r="B38" s="11"/>
      <c r="C38" s="11"/>
      <c r="D38" s="19"/>
      <c r="I38" s="27"/>
    </row>
    <row r="39" spans="1:9" x14ac:dyDescent="0.2">
      <c r="A39" s="11"/>
      <c r="B39" s="11"/>
      <c r="C39" s="11"/>
      <c r="D39" s="19"/>
      <c r="I39" s="27"/>
    </row>
    <row r="40" spans="1:9" x14ac:dyDescent="0.2">
      <c r="A40" s="11"/>
      <c r="B40" s="11"/>
      <c r="C40" s="11"/>
      <c r="D40" s="19"/>
      <c r="I40" s="27"/>
    </row>
    <row r="41" spans="1:9" x14ac:dyDescent="0.2">
      <c r="A41" s="11"/>
      <c r="B41" s="11"/>
      <c r="C41" s="11"/>
      <c r="D41" s="19"/>
      <c r="I41" s="27"/>
    </row>
    <row r="42" spans="1:9" x14ac:dyDescent="0.2">
      <c r="A42" s="11"/>
      <c r="B42" s="11"/>
      <c r="C42" s="11"/>
      <c r="D42" s="19"/>
      <c r="I42" s="27"/>
    </row>
    <row r="43" spans="1:9" x14ac:dyDescent="0.2">
      <c r="A43" s="11"/>
      <c r="B43" s="11"/>
      <c r="C43" s="11"/>
      <c r="D43" s="19"/>
      <c r="I43" s="27"/>
    </row>
    <row r="44" spans="1:9" x14ac:dyDescent="0.2">
      <c r="A44" s="11"/>
      <c r="B44" s="11"/>
      <c r="C44" s="11"/>
      <c r="D44" s="19"/>
      <c r="I44" s="27"/>
    </row>
    <row r="45" spans="1:9" x14ac:dyDescent="0.2">
      <c r="A45" s="11"/>
      <c r="B45" s="11"/>
      <c r="C45" s="11"/>
      <c r="D45" s="19"/>
      <c r="I45" s="27"/>
    </row>
    <row r="46" spans="1:9" x14ac:dyDescent="0.2">
      <c r="A46" s="11"/>
      <c r="B46" s="11"/>
      <c r="C46" s="11"/>
      <c r="D46" s="19"/>
      <c r="I46" s="27"/>
    </row>
    <row r="47" spans="1:9" x14ac:dyDescent="0.2">
      <c r="A47" s="11"/>
      <c r="B47" s="11"/>
      <c r="C47" s="11"/>
      <c r="D47" s="19"/>
      <c r="I47" s="27"/>
    </row>
    <row r="48" spans="1:9" x14ac:dyDescent="0.2">
      <c r="A48" s="11"/>
      <c r="B48" s="11"/>
      <c r="C48" s="11"/>
      <c r="D48" s="19"/>
      <c r="I48" s="27"/>
    </row>
    <row r="49" spans="1:9" x14ac:dyDescent="0.2">
      <c r="A49" s="11"/>
      <c r="B49" s="11"/>
      <c r="C49" s="11"/>
      <c r="D49" s="19"/>
      <c r="I49" s="27"/>
    </row>
    <row r="50" spans="1:9" x14ac:dyDescent="0.2">
      <c r="A50" s="11"/>
      <c r="B50" s="11"/>
      <c r="C50" s="11"/>
      <c r="D50" s="19"/>
      <c r="I50" s="27"/>
    </row>
    <row r="51" spans="1:9" x14ac:dyDescent="0.2">
      <c r="A51" s="11"/>
      <c r="B51" s="11"/>
      <c r="C51" s="11"/>
      <c r="D51" s="19"/>
      <c r="I51" s="27"/>
    </row>
    <row r="52" spans="1:9" x14ac:dyDescent="0.2">
      <c r="A52" s="11"/>
      <c r="B52" s="11"/>
      <c r="C52" s="11"/>
      <c r="D52" s="19"/>
      <c r="I52" s="27"/>
    </row>
    <row r="53" spans="1:9" x14ac:dyDescent="0.2">
      <c r="A53" s="11"/>
      <c r="B53" s="11"/>
      <c r="C53" s="11"/>
      <c r="D53" s="19"/>
      <c r="I53" s="27"/>
    </row>
    <row r="54" spans="1:9" x14ac:dyDescent="0.2">
      <c r="A54" s="11"/>
      <c r="B54" s="11"/>
      <c r="C54" s="11"/>
      <c r="D54" s="19"/>
      <c r="I54" s="27"/>
    </row>
    <row r="55" spans="1:9" x14ac:dyDescent="0.2">
      <c r="A55" s="11"/>
      <c r="B55" s="11"/>
      <c r="C55" s="11"/>
      <c r="D55" s="19"/>
      <c r="I55" s="27"/>
    </row>
    <row r="56" spans="1:9" x14ac:dyDescent="0.2">
      <c r="A56" s="11"/>
      <c r="B56" s="11"/>
      <c r="C56" s="11"/>
      <c r="D56" s="19"/>
      <c r="I56" s="27"/>
    </row>
    <row r="57" spans="1:9" x14ac:dyDescent="0.2">
      <c r="A57" s="11"/>
      <c r="B57" s="11"/>
      <c r="C57" s="11"/>
      <c r="I57" s="27"/>
    </row>
    <row r="58" spans="1:9" x14ac:dyDescent="0.2">
      <c r="A58" s="11"/>
      <c r="B58" s="11"/>
      <c r="C58" s="11"/>
      <c r="D58" s="19"/>
      <c r="I58" s="27"/>
    </row>
    <row r="59" spans="1:9" x14ac:dyDescent="0.2">
      <c r="A59" s="11"/>
      <c r="B59" s="11"/>
      <c r="C59" s="11"/>
      <c r="D59" s="19"/>
      <c r="I59" s="27"/>
    </row>
    <row r="60" spans="1:9" x14ac:dyDescent="0.2">
      <c r="A60" s="11"/>
      <c r="B60" s="11"/>
      <c r="C60" s="11"/>
      <c r="D60" s="19"/>
      <c r="I60" s="27"/>
    </row>
    <row r="61" spans="1:9" x14ac:dyDescent="0.2">
      <c r="A61" s="11"/>
      <c r="B61" s="11"/>
      <c r="C61" s="11"/>
      <c r="D61" s="19"/>
      <c r="I61" s="27"/>
    </row>
    <row r="62" spans="1:9" x14ac:dyDescent="0.2">
      <c r="A62" s="11"/>
      <c r="B62" s="11"/>
      <c r="C62" s="11"/>
      <c r="D62" s="19"/>
      <c r="I62" s="27"/>
    </row>
    <row r="63" spans="1:9" x14ac:dyDescent="0.2">
      <c r="A63" s="11"/>
      <c r="B63" s="11"/>
      <c r="C63" s="11"/>
      <c r="D63" s="19"/>
      <c r="I63" s="27"/>
    </row>
    <row r="64" spans="1:9" x14ac:dyDescent="0.2">
      <c r="A64" s="11"/>
      <c r="B64" s="11"/>
      <c r="C64" s="11"/>
      <c r="D64" s="19"/>
      <c r="I64" s="27"/>
    </row>
    <row r="65" spans="1:9" x14ac:dyDescent="0.2">
      <c r="A65" s="11"/>
      <c r="B65" s="11"/>
      <c r="C65" s="11"/>
      <c r="D65" s="19"/>
      <c r="I65" s="27"/>
    </row>
    <row r="66" spans="1:9" x14ac:dyDescent="0.2">
      <c r="A66" s="11"/>
      <c r="B66" s="11"/>
      <c r="C66" s="11"/>
      <c r="D66" s="19"/>
      <c r="I66" s="27"/>
    </row>
    <row r="67" spans="1:9" x14ac:dyDescent="0.2">
      <c r="A67" s="11"/>
      <c r="B67" s="11"/>
      <c r="C67" s="11"/>
      <c r="D67" s="19"/>
      <c r="I67" s="27"/>
    </row>
    <row r="68" spans="1:9" x14ac:dyDescent="0.2">
      <c r="A68" s="11"/>
      <c r="B68" s="11"/>
      <c r="C68" s="11"/>
      <c r="D68" s="19"/>
      <c r="I68" s="27"/>
    </row>
    <row r="69" spans="1:9" x14ac:dyDescent="0.2">
      <c r="A69" s="11"/>
      <c r="B69" s="11"/>
      <c r="C69" s="11"/>
      <c r="D69" s="19"/>
      <c r="I69" s="27"/>
    </row>
    <row r="70" spans="1:9" x14ac:dyDescent="0.2">
      <c r="A70" s="11"/>
      <c r="B70" s="11"/>
      <c r="C70" s="11"/>
      <c r="D70" s="19"/>
      <c r="I70" s="27"/>
    </row>
    <row r="71" spans="1:9" x14ac:dyDescent="0.2">
      <c r="A71" s="11"/>
      <c r="B71" s="11"/>
      <c r="C71" s="11"/>
      <c r="D71" s="19"/>
      <c r="I71" s="27"/>
    </row>
    <row r="72" spans="1:9" x14ac:dyDescent="0.2">
      <c r="A72" s="11"/>
      <c r="B72" s="11"/>
      <c r="C72" s="11"/>
      <c r="D72" s="19"/>
      <c r="I72" s="27"/>
    </row>
    <row r="73" spans="1:9" x14ac:dyDescent="0.2">
      <c r="A73" s="11"/>
      <c r="B73" s="11"/>
      <c r="C73" s="11"/>
      <c r="D73" s="19"/>
      <c r="I73" s="27"/>
    </row>
    <row r="74" spans="1:9" x14ac:dyDescent="0.2">
      <c r="A74" s="11"/>
      <c r="B74" s="11"/>
      <c r="C74" s="11"/>
      <c r="D74" s="19"/>
      <c r="I74" s="27"/>
    </row>
    <row r="75" spans="1:9" ht="12" customHeight="1" x14ac:dyDescent="0.2">
      <c r="A75" s="11"/>
      <c r="B75" s="11"/>
      <c r="C75" s="11"/>
      <c r="D75" s="19"/>
      <c r="I75" s="27"/>
    </row>
    <row r="76" spans="1:9" ht="12" customHeight="1" x14ac:dyDescent="0.2">
      <c r="A76" s="11"/>
      <c r="B76" s="11"/>
      <c r="C76" s="11"/>
      <c r="D76" s="19"/>
      <c r="I76" s="27"/>
    </row>
    <row r="77" spans="1:9" x14ac:dyDescent="0.2">
      <c r="A77" s="11"/>
      <c r="B77" s="11"/>
      <c r="C77" s="11"/>
      <c r="D77" s="19"/>
      <c r="I77" s="27"/>
    </row>
    <row r="78" spans="1:9" x14ac:dyDescent="0.2">
      <c r="A78" s="11"/>
      <c r="B78" s="11"/>
      <c r="C78" s="11"/>
      <c r="D78" s="19"/>
      <c r="I78" s="27"/>
    </row>
    <row r="79" spans="1:9" x14ac:dyDescent="0.2">
      <c r="A79" s="11"/>
      <c r="B79" s="11"/>
      <c r="C79" s="11"/>
      <c r="D79" s="19"/>
      <c r="I79" s="27"/>
    </row>
    <row r="80" spans="1:9" x14ac:dyDescent="0.2">
      <c r="A80" s="11"/>
      <c r="B80" s="11"/>
      <c r="C80" s="11"/>
      <c r="D80" s="19"/>
      <c r="I80" s="27"/>
    </row>
    <row r="81" spans="1:9" x14ac:dyDescent="0.2">
      <c r="A81" s="11"/>
      <c r="B81" s="11"/>
      <c r="C81" s="11"/>
      <c r="D81" s="19"/>
      <c r="I81" s="27"/>
    </row>
    <row r="82" spans="1:9" x14ac:dyDescent="0.2">
      <c r="A82" s="11"/>
      <c r="B82" s="11"/>
      <c r="C82" s="11"/>
      <c r="D82" s="19"/>
      <c r="I82" s="27"/>
    </row>
    <row r="83" spans="1:9" x14ac:dyDescent="0.2">
      <c r="A83" s="11"/>
      <c r="B83" s="11"/>
      <c r="C83" s="11"/>
      <c r="D83" s="19"/>
      <c r="I83" s="27"/>
    </row>
    <row r="84" spans="1:9" x14ac:dyDescent="0.2">
      <c r="A84" s="11"/>
      <c r="B84" s="11"/>
      <c r="C84" s="11"/>
      <c r="D84" s="19"/>
      <c r="I84" s="27"/>
    </row>
    <row r="85" spans="1:9" x14ac:dyDescent="0.2">
      <c r="A85" s="11"/>
      <c r="B85" s="11"/>
      <c r="C85" s="11"/>
      <c r="D85" s="19"/>
      <c r="I85" s="27"/>
    </row>
    <row r="86" spans="1:9" x14ac:dyDescent="0.2">
      <c r="A86" s="11"/>
      <c r="B86" s="11"/>
      <c r="C86" s="11"/>
      <c r="D86" s="19"/>
      <c r="I86" s="27"/>
    </row>
    <row r="87" spans="1:9" x14ac:dyDescent="0.2">
      <c r="A87" s="11"/>
      <c r="B87" s="11"/>
      <c r="C87" s="11"/>
      <c r="D87" s="19"/>
      <c r="I87" s="27"/>
    </row>
    <row r="88" spans="1:9" x14ac:dyDescent="0.2">
      <c r="A88" s="11"/>
      <c r="B88" s="11"/>
      <c r="C88" s="11"/>
      <c r="D88" s="19"/>
      <c r="I88" s="27"/>
    </row>
    <row r="89" spans="1:9" x14ac:dyDescent="0.2">
      <c r="A89" s="11"/>
      <c r="B89" s="11"/>
      <c r="C89" s="11"/>
      <c r="D89" s="19"/>
      <c r="I89" s="27"/>
    </row>
    <row r="90" spans="1:9" x14ac:dyDescent="0.2">
      <c r="A90" s="11"/>
      <c r="B90" s="11"/>
      <c r="C90" s="11"/>
      <c r="D90" s="19"/>
      <c r="I90" s="27"/>
    </row>
    <row r="91" spans="1:9" x14ac:dyDescent="0.2">
      <c r="A91" s="11"/>
      <c r="B91" s="11"/>
      <c r="C91" s="11"/>
      <c r="D91" s="19"/>
      <c r="I91" s="27"/>
    </row>
    <row r="92" spans="1:9" x14ac:dyDescent="0.2">
      <c r="A92" s="11"/>
      <c r="B92" s="11"/>
      <c r="C92" s="11"/>
      <c r="D92" s="19"/>
      <c r="I92" s="27"/>
    </row>
    <row r="93" spans="1:9" x14ac:dyDescent="0.2">
      <c r="A93" s="11"/>
      <c r="B93" s="11"/>
      <c r="C93" s="11"/>
      <c r="D93" s="19"/>
      <c r="I93" s="27"/>
    </row>
    <row r="94" spans="1:9" x14ac:dyDescent="0.2">
      <c r="A94" s="11"/>
      <c r="B94" s="11"/>
      <c r="C94" s="11"/>
      <c r="D94" s="19"/>
      <c r="I94" s="27"/>
    </row>
    <row r="95" spans="1:9" x14ac:dyDescent="0.2">
      <c r="A95" s="11"/>
      <c r="B95" s="11"/>
      <c r="C95" s="11"/>
      <c r="D95" s="19"/>
      <c r="I95" s="27"/>
    </row>
    <row r="96" spans="1:9" x14ac:dyDescent="0.2">
      <c r="A96" s="11"/>
      <c r="B96" s="11"/>
      <c r="C96" s="11"/>
      <c r="D96" s="19"/>
      <c r="I96" s="27"/>
    </row>
    <row r="97" spans="1:9" x14ac:dyDescent="0.2">
      <c r="A97" s="11"/>
      <c r="B97" s="11"/>
      <c r="C97" s="11"/>
      <c r="D97" s="19"/>
      <c r="I97" s="27"/>
    </row>
    <row r="98" spans="1:9" x14ac:dyDescent="0.2">
      <c r="A98" s="11"/>
      <c r="B98" s="11"/>
      <c r="C98" s="11"/>
      <c r="D98" s="19"/>
      <c r="I98" s="27"/>
    </row>
    <row r="99" spans="1:9" x14ac:dyDescent="0.2">
      <c r="A99" s="11"/>
      <c r="B99" s="11"/>
      <c r="C99" s="11"/>
      <c r="D99" s="19"/>
      <c r="I99" s="27"/>
    </row>
    <row r="100" spans="1:9" x14ac:dyDescent="0.2">
      <c r="A100" s="11"/>
      <c r="B100" s="11"/>
      <c r="C100" s="11"/>
      <c r="D100" s="19"/>
      <c r="I100" s="27"/>
    </row>
    <row r="101" spans="1:9" x14ac:dyDescent="0.2">
      <c r="A101" s="11"/>
      <c r="B101" s="11"/>
      <c r="C101" s="11"/>
      <c r="D101" s="19"/>
      <c r="I101" s="27"/>
    </row>
    <row r="102" spans="1:9" x14ac:dyDescent="0.2">
      <c r="A102" s="11"/>
      <c r="B102" s="11"/>
      <c r="C102" s="11"/>
      <c r="D102" s="19"/>
      <c r="I102" s="27"/>
    </row>
    <row r="103" spans="1:9" x14ac:dyDescent="0.2">
      <c r="A103" s="11"/>
      <c r="B103" s="11"/>
      <c r="C103" s="11"/>
      <c r="D103" s="19"/>
      <c r="I103" s="27"/>
    </row>
    <row r="104" spans="1:9" x14ac:dyDescent="0.2">
      <c r="A104" s="11"/>
      <c r="B104" s="11"/>
      <c r="C104" s="11"/>
      <c r="D104" s="19"/>
      <c r="I104" s="27"/>
    </row>
    <row r="105" spans="1:9" x14ac:dyDescent="0.2">
      <c r="A105" s="11"/>
      <c r="B105" s="11"/>
      <c r="C105" s="11"/>
      <c r="D105" s="19"/>
      <c r="I105" s="27"/>
    </row>
    <row r="106" spans="1:9" x14ac:dyDescent="0.2">
      <c r="A106" s="11"/>
      <c r="B106" s="11"/>
      <c r="C106" s="11"/>
      <c r="D106" s="19"/>
      <c r="I106" s="27"/>
    </row>
    <row r="107" spans="1:9" x14ac:dyDescent="0.2">
      <c r="A107" s="11"/>
      <c r="B107" s="11"/>
      <c r="C107" s="11"/>
      <c r="D107" s="19"/>
      <c r="I107" s="27"/>
    </row>
    <row r="108" spans="1:9" x14ac:dyDescent="0.2">
      <c r="A108" s="11"/>
      <c r="B108" s="11"/>
      <c r="C108" s="11"/>
      <c r="D108" s="19"/>
      <c r="I108" s="27"/>
    </row>
    <row r="109" spans="1:9" x14ac:dyDescent="0.2">
      <c r="A109" s="11"/>
      <c r="B109" s="11"/>
      <c r="C109" s="11"/>
      <c r="D109" s="19"/>
      <c r="I109" s="27"/>
    </row>
    <row r="110" spans="1:9" x14ac:dyDescent="0.2">
      <c r="A110" s="11"/>
      <c r="B110" s="11"/>
      <c r="C110" s="11"/>
      <c r="D110" s="19"/>
      <c r="I110" s="27"/>
    </row>
    <row r="111" spans="1:9" x14ac:dyDescent="0.2">
      <c r="A111" s="11"/>
      <c r="B111" s="11"/>
      <c r="C111" s="11"/>
      <c r="D111" s="19"/>
      <c r="I111" s="27"/>
    </row>
    <row r="112" spans="1:9" x14ac:dyDescent="0.2">
      <c r="A112" s="11"/>
      <c r="B112" s="11"/>
      <c r="C112" s="11"/>
      <c r="D112" s="19"/>
      <c r="I112" s="27"/>
    </row>
    <row r="113" spans="1:9" x14ac:dyDescent="0.2">
      <c r="A113" s="11"/>
      <c r="B113" s="11"/>
      <c r="C113" s="11"/>
      <c r="D113" s="19"/>
      <c r="I113" s="27"/>
    </row>
    <row r="114" spans="1:9" x14ac:dyDescent="0.2">
      <c r="A114" s="11"/>
      <c r="B114" s="11"/>
      <c r="C114" s="11"/>
      <c r="D114" s="19"/>
      <c r="I114" s="27"/>
    </row>
    <row r="115" spans="1:9" x14ac:dyDescent="0.2">
      <c r="A115" s="11"/>
      <c r="B115" s="11"/>
      <c r="C115" s="11"/>
      <c r="D115" s="19"/>
      <c r="I115" s="27"/>
    </row>
    <row r="116" spans="1:9" x14ac:dyDescent="0.2">
      <c r="A116" s="11"/>
      <c r="B116" s="11"/>
      <c r="C116" s="11"/>
      <c r="D116" s="19"/>
      <c r="I116" s="27"/>
    </row>
    <row r="117" spans="1:9" x14ac:dyDescent="0.2">
      <c r="A117" s="11"/>
      <c r="B117" s="11"/>
      <c r="C117" s="11"/>
      <c r="D117" s="19"/>
      <c r="I117" s="27"/>
    </row>
    <row r="118" spans="1:9" x14ac:dyDescent="0.2">
      <c r="A118" s="11"/>
      <c r="B118" s="11"/>
      <c r="C118" s="11"/>
      <c r="D118" s="19"/>
      <c r="I118" s="27"/>
    </row>
    <row r="119" spans="1:9" x14ac:dyDescent="0.2">
      <c r="A119" s="11"/>
      <c r="B119" s="11"/>
      <c r="C119" s="11"/>
      <c r="D119" s="19"/>
      <c r="I119" s="27"/>
    </row>
    <row r="120" spans="1:9" x14ac:dyDescent="0.2">
      <c r="A120" s="11"/>
      <c r="B120" s="11"/>
      <c r="C120" s="11"/>
      <c r="D120" s="19"/>
      <c r="I120" s="27"/>
    </row>
    <row r="121" spans="1:9" x14ac:dyDescent="0.2">
      <c r="A121" s="11"/>
      <c r="B121" s="14"/>
      <c r="C121" s="14"/>
      <c r="D121" s="19"/>
      <c r="I121" s="27"/>
    </row>
    <row r="122" spans="1:9" x14ac:dyDescent="0.2">
      <c r="A122" s="11"/>
      <c r="B122" s="11"/>
      <c r="C122" s="11"/>
      <c r="D122" s="19"/>
      <c r="I122" s="27"/>
    </row>
    <row r="123" spans="1:9" x14ac:dyDescent="0.2">
      <c r="A123" s="11"/>
      <c r="B123" s="11"/>
      <c r="C123" s="11"/>
      <c r="D123" s="19"/>
      <c r="I123" s="27"/>
    </row>
    <row r="124" spans="1:9" x14ac:dyDescent="0.2">
      <c r="A124" s="11"/>
      <c r="B124" s="14"/>
      <c r="C124" s="14"/>
      <c r="D124" s="19"/>
      <c r="I124" s="27"/>
    </row>
    <row r="125" spans="1:9" x14ac:dyDescent="0.2">
      <c r="A125" s="11"/>
      <c r="B125" s="11"/>
      <c r="C125" s="11"/>
      <c r="D125" s="19"/>
      <c r="I125" s="27"/>
    </row>
    <row r="126" spans="1:9" x14ac:dyDescent="0.2">
      <c r="A126" s="11"/>
      <c r="B126" s="11"/>
      <c r="C126" s="11"/>
      <c r="D126" s="19"/>
      <c r="I126" s="27"/>
    </row>
    <row r="127" spans="1:9" x14ac:dyDescent="0.2">
      <c r="A127" s="11"/>
      <c r="B127" s="11"/>
      <c r="C127" s="11"/>
      <c r="D127" s="15"/>
      <c r="I127" s="27"/>
    </row>
    <row r="128" spans="1:9" x14ac:dyDescent="0.2">
      <c r="A128" s="11"/>
      <c r="B128" s="11"/>
      <c r="C128" s="11"/>
      <c r="D128" s="15"/>
      <c r="I128" s="27"/>
    </row>
    <row r="129" spans="1:9" x14ac:dyDescent="0.2">
      <c r="A129" s="11"/>
      <c r="B129" s="14"/>
      <c r="C129" s="14"/>
      <c r="D129" s="19"/>
      <c r="I129" s="27"/>
    </row>
    <row r="130" spans="1:9" x14ac:dyDescent="0.2">
      <c r="A130" s="11"/>
      <c r="B130" s="11"/>
      <c r="C130" s="11"/>
      <c r="D130" s="19"/>
      <c r="I130" s="27"/>
    </row>
    <row r="131" spans="1:9" x14ac:dyDescent="0.2">
      <c r="A131" s="11"/>
      <c r="B131" s="11"/>
      <c r="C131" s="11"/>
      <c r="D131" s="19"/>
      <c r="I131" s="27"/>
    </row>
    <row r="132" spans="1:9" x14ac:dyDescent="0.2">
      <c r="A132" s="16"/>
      <c r="D132" s="19"/>
      <c r="I132" s="27"/>
    </row>
    <row r="133" spans="1:9" x14ac:dyDescent="0.2">
      <c r="A133" s="11"/>
      <c r="B133" s="11"/>
      <c r="C133" s="11"/>
      <c r="D133" s="19"/>
      <c r="I133" s="27"/>
    </row>
    <row r="134" spans="1:9" x14ac:dyDescent="0.2">
      <c r="A134" s="11"/>
      <c r="B134" s="14"/>
      <c r="C134" s="14"/>
      <c r="D134" s="19"/>
      <c r="I134" s="27"/>
    </row>
    <row r="135" spans="1:9" x14ac:dyDescent="0.2">
      <c r="A135" s="11"/>
      <c r="B135" s="11"/>
      <c r="C135" s="11"/>
      <c r="D135" s="19"/>
      <c r="I135" s="27"/>
    </row>
    <row r="136" spans="1:9" x14ac:dyDescent="0.2">
      <c r="A136" s="11"/>
      <c r="B136" s="11"/>
      <c r="C136" s="11"/>
      <c r="D136" s="19"/>
      <c r="I136" s="27"/>
    </row>
    <row r="137" spans="1:9" x14ac:dyDescent="0.2">
      <c r="A137" s="11"/>
      <c r="B137" s="11"/>
      <c r="C137" s="11"/>
      <c r="D137" s="19"/>
      <c r="I137" s="27"/>
    </row>
    <row r="138" spans="1:9" x14ac:dyDescent="0.2">
      <c r="A138" s="11"/>
      <c r="B138" s="11"/>
      <c r="C138" s="11"/>
      <c r="D138" s="19"/>
      <c r="I138" s="27"/>
    </row>
    <row r="139" spans="1:9" x14ac:dyDescent="0.2">
      <c r="A139" s="11"/>
      <c r="B139" s="11"/>
      <c r="C139" s="11"/>
      <c r="D139" s="19"/>
      <c r="I139" s="27"/>
    </row>
    <row r="140" spans="1:9" x14ac:dyDescent="0.2">
      <c r="A140" s="11"/>
      <c r="B140" s="11"/>
      <c r="C140" s="11"/>
      <c r="D140" s="19"/>
      <c r="I140" s="27"/>
    </row>
    <row r="141" spans="1:9" x14ac:dyDescent="0.2">
      <c r="A141" s="11"/>
      <c r="B141" s="11"/>
      <c r="C141" s="11"/>
      <c r="D141" s="19"/>
      <c r="I141" s="27"/>
    </row>
    <row r="142" spans="1:9" x14ac:dyDescent="0.2">
      <c r="A142" s="11"/>
      <c r="B142" s="11"/>
      <c r="C142" s="11"/>
      <c r="D142" s="19"/>
      <c r="I142" s="27"/>
    </row>
    <row r="143" spans="1:9" x14ac:dyDescent="0.2">
      <c r="A143" s="11"/>
      <c r="B143" s="11"/>
      <c r="C143" s="11"/>
      <c r="D143" s="19"/>
      <c r="I143" s="27"/>
    </row>
    <row r="144" spans="1:9" x14ac:dyDescent="0.2">
      <c r="A144" s="11"/>
      <c r="B144" s="11"/>
      <c r="C144" s="11"/>
      <c r="D144" s="19"/>
      <c r="I144" s="27"/>
    </row>
    <row r="145" spans="1:9" x14ac:dyDescent="0.2">
      <c r="A145" s="11"/>
      <c r="B145" s="11"/>
      <c r="C145" s="11"/>
      <c r="D145" s="19"/>
      <c r="I145" s="27"/>
    </row>
    <row r="146" spans="1:9" x14ac:dyDescent="0.2">
      <c r="A146" s="11"/>
      <c r="B146" s="11"/>
      <c r="C146" s="11"/>
      <c r="D146" s="19"/>
      <c r="I146" s="27"/>
    </row>
    <row r="147" spans="1:9" x14ac:dyDescent="0.2">
      <c r="A147" s="11"/>
      <c r="B147" s="11"/>
      <c r="C147" s="11"/>
      <c r="D147" s="19"/>
      <c r="I147" s="27"/>
    </row>
    <row r="148" spans="1:9" x14ac:dyDescent="0.2">
      <c r="A148" s="11"/>
      <c r="B148" s="11"/>
      <c r="C148" s="11"/>
      <c r="D148" s="19"/>
      <c r="I148" s="27"/>
    </row>
    <row r="149" spans="1:9" x14ac:dyDescent="0.2">
      <c r="A149" s="11"/>
      <c r="B149" s="11"/>
      <c r="C149" s="11"/>
      <c r="D149" s="19"/>
      <c r="I149" s="27"/>
    </row>
    <row r="150" spans="1:9" x14ac:dyDescent="0.2">
      <c r="A150" s="11"/>
      <c r="B150" s="11"/>
      <c r="C150" s="11"/>
      <c r="D150" s="19"/>
      <c r="I150" s="27"/>
    </row>
    <row r="151" spans="1:9" x14ac:dyDescent="0.2">
      <c r="A151" s="11"/>
      <c r="B151" s="11"/>
      <c r="C151" s="11"/>
      <c r="D151" s="19"/>
      <c r="I151" s="27"/>
    </row>
    <row r="152" spans="1:9" x14ac:dyDescent="0.2">
      <c r="A152" s="11"/>
      <c r="B152" s="11"/>
      <c r="C152" s="11"/>
      <c r="D152" s="19"/>
      <c r="I152" s="27"/>
    </row>
    <row r="153" spans="1:9" x14ac:dyDescent="0.2">
      <c r="A153" s="11"/>
      <c r="B153" s="11"/>
      <c r="C153" s="11"/>
      <c r="D153" s="19"/>
      <c r="I153" s="27"/>
    </row>
    <row r="154" spans="1:9" x14ac:dyDescent="0.2">
      <c r="A154" s="11"/>
      <c r="B154" s="11"/>
      <c r="C154" s="11"/>
      <c r="D154" s="19"/>
      <c r="I154" s="27"/>
    </row>
    <row r="155" spans="1:9" x14ac:dyDescent="0.2">
      <c r="A155" s="11"/>
      <c r="B155" s="11"/>
      <c r="C155" s="11"/>
      <c r="D155" s="19"/>
      <c r="I155" s="27"/>
    </row>
    <row r="156" spans="1:9" x14ac:dyDescent="0.2">
      <c r="A156" s="11"/>
      <c r="B156" s="11"/>
      <c r="C156" s="11"/>
      <c r="D156" s="19"/>
      <c r="I156" s="27"/>
    </row>
    <row r="157" spans="1:9" x14ac:dyDescent="0.2">
      <c r="A157" s="11"/>
      <c r="B157" s="11"/>
      <c r="C157" s="11"/>
      <c r="D157" s="19"/>
      <c r="I157" s="27"/>
    </row>
    <row r="158" spans="1:9" x14ac:dyDescent="0.2">
      <c r="A158" s="11"/>
      <c r="B158" s="11"/>
      <c r="C158" s="11"/>
      <c r="D158" s="19"/>
      <c r="I158" s="27"/>
    </row>
    <row r="159" spans="1:9" x14ac:dyDescent="0.2">
      <c r="A159" s="11"/>
      <c r="B159" s="11"/>
      <c r="C159" s="11"/>
      <c r="D159" s="19"/>
      <c r="I159" s="27"/>
    </row>
    <row r="160" spans="1:9" x14ac:dyDescent="0.2">
      <c r="A160" s="11"/>
      <c r="B160" s="11"/>
      <c r="C160" s="11"/>
      <c r="D160" s="19"/>
      <c r="I160" s="27"/>
    </row>
    <row r="161" spans="1:9" x14ac:dyDescent="0.2">
      <c r="A161" s="11"/>
      <c r="B161" s="11"/>
      <c r="C161" s="11"/>
      <c r="D161" s="19"/>
      <c r="I161" s="27"/>
    </row>
    <row r="162" spans="1:9" x14ac:dyDescent="0.2">
      <c r="A162" s="11"/>
      <c r="B162" s="11"/>
      <c r="C162" s="11"/>
      <c r="D162" s="19"/>
      <c r="I162" s="27"/>
    </row>
    <row r="163" spans="1:9" x14ac:dyDescent="0.2">
      <c r="A163" s="11"/>
      <c r="B163" s="11"/>
      <c r="C163" s="11"/>
      <c r="D163" s="19"/>
      <c r="I163" s="27"/>
    </row>
    <row r="164" spans="1:9" x14ac:dyDescent="0.2">
      <c r="A164" s="11"/>
      <c r="B164" s="11"/>
      <c r="C164" s="11"/>
      <c r="D164" s="19"/>
      <c r="I164" s="27"/>
    </row>
    <row r="165" spans="1:9" x14ac:dyDescent="0.2">
      <c r="A165" s="11"/>
      <c r="B165" s="11"/>
      <c r="C165" s="11"/>
      <c r="D165" s="19"/>
      <c r="I165" s="27"/>
    </row>
    <row r="166" spans="1:9" x14ac:dyDescent="0.2">
      <c r="A166" s="11"/>
      <c r="B166" s="11"/>
      <c r="C166" s="11"/>
      <c r="D166" s="19"/>
      <c r="I166" s="27"/>
    </row>
    <row r="167" spans="1:9" x14ac:dyDescent="0.2">
      <c r="A167" s="11"/>
      <c r="B167" s="11"/>
      <c r="C167" s="11"/>
      <c r="D167" s="19"/>
      <c r="I167" s="27"/>
    </row>
    <row r="168" spans="1:9" x14ac:dyDescent="0.2">
      <c r="A168" s="11"/>
      <c r="B168" s="11"/>
      <c r="C168" s="11"/>
      <c r="D168" s="19"/>
      <c r="I168" s="27"/>
    </row>
    <row r="169" spans="1:9" x14ac:dyDescent="0.2">
      <c r="A169" s="11"/>
      <c r="B169" s="11"/>
      <c r="C169" s="11"/>
      <c r="D169" s="19"/>
      <c r="I169" s="27"/>
    </row>
    <row r="170" spans="1:9" x14ac:dyDescent="0.2">
      <c r="A170" s="11"/>
      <c r="B170" s="11"/>
      <c r="C170" s="11"/>
      <c r="D170" s="19"/>
      <c r="I170" s="27"/>
    </row>
    <row r="171" spans="1:9" x14ac:dyDescent="0.2">
      <c r="A171" s="11"/>
      <c r="B171" s="11"/>
      <c r="C171" s="11"/>
      <c r="D171" s="19"/>
      <c r="I171" s="27"/>
    </row>
    <row r="172" spans="1:9" x14ac:dyDescent="0.2">
      <c r="A172" s="11"/>
      <c r="B172" s="11"/>
      <c r="C172" s="11"/>
      <c r="D172" s="19"/>
      <c r="I172" s="27"/>
    </row>
    <row r="173" spans="1:9" x14ac:dyDescent="0.2">
      <c r="A173" s="11"/>
      <c r="B173" s="11"/>
      <c r="C173" s="11"/>
      <c r="D173" s="19"/>
      <c r="I173" s="27"/>
    </row>
    <row r="174" spans="1:9" x14ac:dyDescent="0.2">
      <c r="A174" s="11"/>
      <c r="B174" s="11"/>
      <c r="C174" s="11"/>
      <c r="D174" s="19"/>
      <c r="I174" s="27"/>
    </row>
    <row r="175" spans="1:9" x14ac:dyDescent="0.2">
      <c r="A175" s="11"/>
      <c r="B175" s="11"/>
      <c r="C175" s="11"/>
      <c r="D175" s="19"/>
      <c r="I175" s="27"/>
    </row>
    <row r="176" spans="1:9" x14ac:dyDescent="0.2">
      <c r="A176" s="11"/>
      <c r="B176" s="11"/>
      <c r="C176" s="11"/>
      <c r="D176" s="19"/>
      <c r="I176" s="27"/>
    </row>
    <row r="177" spans="1:9" x14ac:dyDescent="0.2">
      <c r="A177" s="11"/>
      <c r="B177" s="11"/>
      <c r="C177" s="11"/>
      <c r="D177" s="19"/>
      <c r="I177" s="27"/>
    </row>
    <row r="178" spans="1:9" x14ac:dyDescent="0.2">
      <c r="A178" s="11"/>
      <c r="B178" s="11"/>
      <c r="C178" s="11"/>
      <c r="D178" s="19"/>
      <c r="I178" s="27"/>
    </row>
    <row r="179" spans="1:9" x14ac:dyDescent="0.2">
      <c r="A179" s="11"/>
      <c r="B179" s="11"/>
      <c r="C179" s="11"/>
      <c r="D179" s="19"/>
      <c r="I179" s="27"/>
    </row>
    <row r="180" spans="1:9" x14ac:dyDescent="0.2">
      <c r="A180" s="11"/>
      <c r="B180" s="11"/>
      <c r="C180" s="11"/>
      <c r="D180" s="19"/>
      <c r="I180" s="27"/>
    </row>
    <row r="181" spans="1:9" x14ac:dyDescent="0.2">
      <c r="A181" s="11"/>
      <c r="B181" s="11"/>
      <c r="C181" s="11"/>
      <c r="D181" s="19"/>
      <c r="I181" s="27"/>
    </row>
    <row r="182" spans="1:9" x14ac:dyDescent="0.2">
      <c r="A182" s="11"/>
      <c r="B182" s="11"/>
      <c r="C182" s="11"/>
      <c r="D182" s="19"/>
      <c r="I182" s="27"/>
    </row>
    <row r="183" spans="1:9" x14ac:dyDescent="0.2">
      <c r="A183" s="11"/>
      <c r="B183" s="11"/>
      <c r="C183" s="11"/>
      <c r="D183" s="19"/>
      <c r="I183" s="27"/>
    </row>
    <row r="184" spans="1:9" x14ac:dyDescent="0.2">
      <c r="A184" s="11"/>
      <c r="B184" s="11"/>
      <c r="C184" s="11"/>
      <c r="D184" s="19"/>
      <c r="I184" s="27"/>
    </row>
    <row r="185" spans="1:9" x14ac:dyDescent="0.2">
      <c r="A185" s="11"/>
      <c r="B185" s="11"/>
      <c r="C185" s="11"/>
      <c r="D185" s="19"/>
      <c r="I185" s="27"/>
    </row>
    <row r="186" spans="1:9" x14ac:dyDescent="0.2">
      <c r="A186" s="11"/>
      <c r="B186" s="11"/>
      <c r="C186" s="11"/>
      <c r="D186" s="19"/>
      <c r="I186" s="27"/>
    </row>
    <row r="187" spans="1:9" x14ac:dyDescent="0.2">
      <c r="A187" s="11"/>
      <c r="B187" s="11"/>
      <c r="C187" s="11"/>
      <c r="D187" s="19"/>
      <c r="I187" s="27"/>
    </row>
    <row r="188" spans="1:9" x14ac:dyDescent="0.2">
      <c r="A188" s="11"/>
      <c r="B188" s="11"/>
      <c r="C188" s="11"/>
      <c r="D188" s="19"/>
      <c r="I188" s="27"/>
    </row>
    <row r="189" spans="1:9" x14ac:dyDescent="0.2">
      <c r="A189" s="11"/>
      <c r="B189" s="11"/>
      <c r="C189" s="11"/>
      <c r="D189" s="19"/>
      <c r="I189" s="27"/>
    </row>
    <row r="190" spans="1:9" x14ac:dyDescent="0.2">
      <c r="A190" s="11"/>
      <c r="B190" s="11"/>
      <c r="C190" s="11"/>
      <c r="D190" s="19"/>
      <c r="I190" s="27"/>
    </row>
    <row r="191" spans="1:9" x14ac:dyDescent="0.2">
      <c r="A191" s="11"/>
      <c r="B191" s="11"/>
      <c r="C191" s="11"/>
      <c r="D191" s="19"/>
      <c r="I191" s="27"/>
    </row>
    <row r="192" spans="1:9" x14ac:dyDescent="0.2">
      <c r="A192" s="11"/>
      <c r="B192" s="11"/>
      <c r="C192" s="11"/>
      <c r="D192" s="19"/>
      <c r="I192" s="27"/>
    </row>
    <row r="193" spans="1:9" x14ac:dyDescent="0.2">
      <c r="A193" s="11"/>
      <c r="B193" s="11"/>
      <c r="C193" s="11"/>
      <c r="D193" s="19"/>
      <c r="I193" s="27"/>
    </row>
    <row r="194" spans="1:9" x14ac:dyDescent="0.2">
      <c r="A194" s="11"/>
      <c r="B194" s="11"/>
      <c r="C194" s="11"/>
      <c r="D194" s="19"/>
      <c r="I194" s="27"/>
    </row>
    <row r="195" spans="1:9" x14ac:dyDescent="0.2">
      <c r="A195" s="11"/>
      <c r="B195" s="11"/>
      <c r="C195" s="11"/>
      <c r="D195" s="19"/>
      <c r="I195" s="27"/>
    </row>
    <row r="196" spans="1:9" x14ac:dyDescent="0.2">
      <c r="A196" s="11"/>
      <c r="B196" s="11"/>
      <c r="C196" s="11"/>
      <c r="D196" s="19"/>
      <c r="I196" s="27"/>
    </row>
    <row r="197" spans="1:9" x14ac:dyDescent="0.2">
      <c r="A197" s="11"/>
      <c r="B197" s="11"/>
      <c r="C197" s="11"/>
      <c r="D197" s="19"/>
      <c r="I197" s="27"/>
    </row>
    <row r="198" spans="1:9" x14ac:dyDescent="0.2">
      <c r="A198" s="11"/>
      <c r="B198" s="11"/>
      <c r="C198" s="11"/>
      <c r="D198" s="19"/>
      <c r="I198" s="27"/>
    </row>
    <row r="199" spans="1:9" x14ac:dyDescent="0.2">
      <c r="A199" s="11"/>
      <c r="B199" s="11"/>
      <c r="C199" s="11"/>
      <c r="D199" s="19"/>
      <c r="I199" s="27"/>
    </row>
    <row r="200" spans="1:9" x14ac:dyDescent="0.2">
      <c r="A200" s="11"/>
      <c r="B200" s="11"/>
      <c r="C200" s="11"/>
      <c r="D200" s="19"/>
      <c r="I200" s="27"/>
    </row>
    <row r="201" spans="1:9" x14ac:dyDescent="0.2">
      <c r="A201" s="11"/>
      <c r="B201" s="11"/>
      <c r="C201" s="11"/>
      <c r="D201" s="19"/>
      <c r="I201" s="27"/>
    </row>
    <row r="202" spans="1:9" x14ac:dyDescent="0.2">
      <c r="A202" s="11"/>
      <c r="B202" s="11"/>
      <c r="C202" s="11"/>
      <c r="D202" s="19"/>
      <c r="I202" s="27"/>
    </row>
    <row r="203" spans="1:9" x14ac:dyDescent="0.2">
      <c r="A203" s="11"/>
      <c r="B203" s="11"/>
      <c r="C203" s="11"/>
      <c r="D203" s="19"/>
      <c r="I203" s="27"/>
    </row>
    <row r="204" spans="1:9" x14ac:dyDescent="0.2">
      <c r="A204" s="11"/>
      <c r="B204" s="11"/>
      <c r="C204" s="11"/>
      <c r="D204" s="19"/>
      <c r="I204" s="27"/>
    </row>
    <row r="205" spans="1:9" x14ac:dyDescent="0.2">
      <c r="A205" s="11"/>
      <c r="B205" s="11"/>
      <c r="C205" s="11"/>
      <c r="D205" s="19"/>
      <c r="I205" s="27"/>
    </row>
    <row r="206" spans="1:9" x14ac:dyDescent="0.2">
      <c r="A206" s="11"/>
      <c r="B206" s="11"/>
      <c r="C206" s="11"/>
      <c r="D206" s="19"/>
      <c r="I206" s="27"/>
    </row>
    <row r="207" spans="1:9" x14ac:dyDescent="0.2">
      <c r="A207" s="11"/>
      <c r="B207" s="11"/>
      <c r="C207" s="11"/>
      <c r="D207" s="19"/>
      <c r="I207" s="27"/>
    </row>
    <row r="208" spans="1:9" x14ac:dyDescent="0.2">
      <c r="A208" s="11"/>
      <c r="B208" s="11"/>
      <c r="C208" s="11"/>
      <c r="D208" s="19"/>
      <c r="I208" s="27"/>
    </row>
    <row r="209" spans="1:9" x14ac:dyDescent="0.2">
      <c r="A209" s="11"/>
      <c r="B209" s="11"/>
      <c r="C209" s="11"/>
      <c r="D209" s="19"/>
      <c r="I209" s="27"/>
    </row>
    <row r="210" spans="1:9" x14ac:dyDescent="0.2">
      <c r="A210" s="11"/>
      <c r="B210" s="11"/>
      <c r="C210" s="11"/>
      <c r="D210" s="19"/>
      <c r="I210" s="27"/>
    </row>
    <row r="211" spans="1:9" x14ac:dyDescent="0.2">
      <c r="A211" s="11"/>
      <c r="B211" s="11"/>
      <c r="C211" s="11"/>
      <c r="D211" s="19"/>
      <c r="I211" s="27"/>
    </row>
    <row r="212" spans="1:9" x14ac:dyDescent="0.2">
      <c r="A212" s="11"/>
      <c r="B212" s="11"/>
      <c r="C212" s="11"/>
      <c r="D212" s="19"/>
      <c r="I212" s="27"/>
    </row>
    <row r="213" spans="1:9" x14ac:dyDescent="0.2">
      <c r="A213" s="11"/>
      <c r="B213" s="11"/>
      <c r="C213" s="11"/>
      <c r="D213" s="19"/>
      <c r="I213" s="27"/>
    </row>
    <row r="214" spans="1:9" x14ac:dyDescent="0.2">
      <c r="A214" s="11"/>
      <c r="B214" s="11"/>
      <c r="C214" s="11"/>
      <c r="D214" s="19"/>
      <c r="I214" s="27"/>
    </row>
    <row r="215" spans="1:9" x14ac:dyDescent="0.2">
      <c r="A215" s="11"/>
      <c r="B215" s="11"/>
      <c r="C215" s="11"/>
      <c r="D215" s="19"/>
      <c r="I215" s="27"/>
    </row>
    <row r="216" spans="1:9" x14ac:dyDescent="0.2">
      <c r="A216" s="11"/>
      <c r="B216" s="11"/>
      <c r="C216" s="11"/>
      <c r="D216" s="19"/>
      <c r="I216" s="27"/>
    </row>
    <row r="217" spans="1:9" x14ac:dyDescent="0.2">
      <c r="A217" s="11"/>
      <c r="B217" s="14"/>
      <c r="C217" s="14"/>
      <c r="D217" s="19"/>
      <c r="I217" s="27"/>
    </row>
    <row r="218" spans="1:9" x14ac:dyDescent="0.2">
      <c r="A218" s="11"/>
      <c r="B218" s="11"/>
      <c r="C218" s="11"/>
      <c r="D218" s="19"/>
      <c r="I218" s="27"/>
    </row>
    <row r="219" spans="1:9" x14ac:dyDescent="0.2">
      <c r="A219" s="11"/>
      <c r="B219" s="11"/>
      <c r="C219" s="11"/>
      <c r="D219" s="19"/>
      <c r="I219" s="27"/>
    </row>
    <row r="220" spans="1:9" x14ac:dyDescent="0.2">
      <c r="A220" s="11"/>
      <c r="B220" s="11"/>
      <c r="C220" s="11"/>
      <c r="D220" s="19"/>
      <c r="I220" s="27"/>
    </row>
    <row r="221" spans="1:9" x14ac:dyDescent="0.2">
      <c r="A221" s="11"/>
      <c r="B221" s="11"/>
      <c r="C221" s="11"/>
      <c r="D221" s="19"/>
      <c r="I221" s="27"/>
    </row>
    <row r="222" spans="1:9" x14ac:dyDescent="0.2">
      <c r="A222" s="11"/>
      <c r="B222" s="11"/>
      <c r="C222" s="11"/>
      <c r="D222" s="19"/>
      <c r="I222" s="27"/>
    </row>
    <row r="223" spans="1:9" x14ac:dyDescent="0.2">
      <c r="A223" s="11"/>
      <c r="B223" s="11"/>
      <c r="C223" s="11"/>
      <c r="D223" s="19"/>
      <c r="I223" s="27"/>
    </row>
    <row r="224" spans="1:9" x14ac:dyDescent="0.2">
      <c r="A224" s="11"/>
      <c r="B224" s="11"/>
      <c r="C224" s="11"/>
      <c r="D224" s="19"/>
      <c r="I224" s="27"/>
    </row>
    <row r="225" spans="1:9" x14ac:dyDescent="0.2">
      <c r="A225" s="11"/>
      <c r="B225" s="11"/>
      <c r="C225" s="11"/>
      <c r="D225" s="19"/>
      <c r="I225" s="27"/>
    </row>
    <row r="226" spans="1:9" x14ac:dyDescent="0.2">
      <c r="A226" s="11"/>
      <c r="B226" s="11"/>
      <c r="C226" s="11"/>
      <c r="D226" s="19"/>
      <c r="I226" s="27"/>
    </row>
    <row r="227" spans="1:9" x14ac:dyDescent="0.2">
      <c r="A227" s="11"/>
      <c r="B227" s="11"/>
      <c r="C227" s="11"/>
      <c r="D227" s="19"/>
      <c r="I227" s="27"/>
    </row>
    <row r="228" spans="1:9" x14ac:dyDescent="0.2">
      <c r="A228" s="11"/>
      <c r="B228" s="11"/>
      <c r="C228" s="11"/>
      <c r="D228" s="19"/>
      <c r="I228" s="27"/>
    </row>
    <row r="229" spans="1:9" x14ac:dyDescent="0.2">
      <c r="A229" s="11"/>
      <c r="B229" s="11"/>
      <c r="C229" s="11"/>
      <c r="D229" s="19"/>
      <c r="I229" s="27"/>
    </row>
    <row r="230" spans="1:9" x14ac:dyDescent="0.2">
      <c r="A230" s="11"/>
      <c r="B230" s="11"/>
      <c r="C230" s="11"/>
      <c r="D230" s="19"/>
      <c r="I230" s="27"/>
    </row>
    <row r="231" spans="1:9" x14ac:dyDescent="0.2">
      <c r="A231" s="11"/>
      <c r="B231" s="11"/>
      <c r="C231" s="11"/>
      <c r="D231" s="19"/>
      <c r="I231" s="27"/>
    </row>
    <row r="232" spans="1:9" x14ac:dyDescent="0.2">
      <c r="A232" s="11"/>
      <c r="B232" s="11"/>
      <c r="C232" s="11"/>
      <c r="D232" s="19"/>
      <c r="I232" s="27"/>
    </row>
    <row r="233" spans="1:9" x14ac:dyDescent="0.2">
      <c r="A233" s="11"/>
      <c r="B233" s="11"/>
      <c r="C233" s="11"/>
      <c r="D233" s="19"/>
      <c r="I233" s="27"/>
    </row>
    <row r="234" spans="1:9" x14ac:dyDescent="0.2">
      <c r="A234" s="11"/>
      <c r="B234" s="11"/>
      <c r="C234" s="11"/>
      <c r="D234" s="19"/>
      <c r="I234" s="27"/>
    </row>
    <row r="235" spans="1:9" x14ac:dyDescent="0.2">
      <c r="A235" s="11"/>
      <c r="B235" s="11"/>
      <c r="C235" s="11"/>
      <c r="D235" s="19"/>
      <c r="I235" s="27"/>
    </row>
    <row r="236" spans="1:9" x14ac:dyDescent="0.2">
      <c r="A236" s="11"/>
      <c r="B236" s="11"/>
      <c r="C236" s="11"/>
      <c r="D236" s="19"/>
      <c r="I236" s="27"/>
    </row>
    <row r="237" spans="1:9" x14ac:dyDescent="0.2">
      <c r="A237" s="11"/>
      <c r="B237" s="11"/>
      <c r="C237" s="11"/>
      <c r="D237" s="19"/>
      <c r="I237" s="27"/>
    </row>
    <row r="238" spans="1:9" x14ac:dyDescent="0.2">
      <c r="A238" s="11"/>
      <c r="B238" s="11"/>
      <c r="C238" s="11"/>
      <c r="D238" s="19"/>
      <c r="I238" s="27"/>
    </row>
    <row r="239" spans="1:9" x14ac:dyDescent="0.2">
      <c r="A239" s="11"/>
      <c r="B239" s="11"/>
      <c r="C239" s="11"/>
      <c r="D239" s="19"/>
      <c r="I239" s="27"/>
    </row>
    <row r="240" spans="1:9" x14ac:dyDescent="0.2">
      <c r="A240" s="11"/>
      <c r="B240" s="11"/>
      <c r="C240" s="11"/>
      <c r="D240" s="19"/>
      <c r="I240" s="27"/>
    </row>
    <row r="241" spans="1:9" x14ac:dyDescent="0.2">
      <c r="A241" s="11"/>
      <c r="B241" s="14"/>
      <c r="C241" s="14"/>
      <c r="D241" s="19"/>
      <c r="I241" s="27"/>
    </row>
    <row r="242" spans="1:9" x14ac:dyDescent="0.2">
      <c r="A242" s="11"/>
      <c r="B242" s="11"/>
      <c r="C242" s="11"/>
      <c r="D242" s="19"/>
      <c r="I242" s="27"/>
    </row>
    <row r="243" spans="1:9" x14ac:dyDescent="0.2">
      <c r="A243" s="11"/>
      <c r="B243" s="11"/>
      <c r="C243" s="11"/>
      <c r="D243" s="19"/>
      <c r="I243" s="27"/>
    </row>
    <row r="244" spans="1:9" x14ac:dyDescent="0.2">
      <c r="A244" s="11"/>
      <c r="B244" s="11"/>
      <c r="C244" s="11"/>
      <c r="D244" s="19"/>
      <c r="I244" s="27"/>
    </row>
    <row r="245" spans="1:9" x14ac:dyDescent="0.2">
      <c r="A245" s="11"/>
      <c r="B245" s="14"/>
      <c r="C245" s="14"/>
      <c r="D245" s="19"/>
      <c r="I245" s="27"/>
    </row>
    <row r="246" spans="1:9" x14ac:dyDescent="0.2">
      <c r="A246" s="11"/>
      <c r="B246" s="11"/>
      <c r="C246" s="11"/>
      <c r="D246" s="19"/>
      <c r="I246" s="27"/>
    </row>
    <row r="247" spans="1:9" x14ac:dyDescent="0.2">
      <c r="A247" s="11"/>
      <c r="B247" s="11"/>
      <c r="C247" s="11"/>
      <c r="D247" s="19"/>
      <c r="I247" s="27"/>
    </row>
    <row r="248" spans="1:9" x14ac:dyDescent="0.2">
      <c r="A248" s="11"/>
      <c r="B248" s="11"/>
      <c r="C248" s="11"/>
      <c r="D248" s="19"/>
      <c r="I248" s="27"/>
    </row>
    <row r="249" spans="1:9" x14ac:dyDescent="0.2">
      <c r="A249" s="11"/>
      <c r="B249" s="14"/>
      <c r="C249" s="14"/>
      <c r="D249" s="19"/>
      <c r="I249" s="27"/>
    </row>
    <row r="250" spans="1:9" x14ac:dyDescent="0.2">
      <c r="A250" s="11"/>
      <c r="B250" s="11"/>
      <c r="C250" s="11"/>
      <c r="D250" s="19"/>
      <c r="I250" s="27"/>
    </row>
    <row r="251" spans="1:9" x14ac:dyDescent="0.2">
      <c r="A251" s="11"/>
      <c r="B251" s="11"/>
      <c r="C251" s="11"/>
      <c r="D251" s="19"/>
      <c r="I251" s="27"/>
    </row>
    <row r="252" spans="1:9" x14ac:dyDescent="0.2">
      <c r="A252" s="11"/>
      <c r="B252" s="14"/>
      <c r="C252" s="14"/>
      <c r="D252" s="19"/>
      <c r="I252" s="27"/>
    </row>
    <row r="253" spans="1:9" x14ac:dyDescent="0.2">
      <c r="A253" s="11"/>
      <c r="B253" s="11"/>
      <c r="C253" s="11"/>
      <c r="D253" s="19"/>
      <c r="I253" s="27"/>
    </row>
    <row r="254" spans="1:9" x14ac:dyDescent="0.2">
      <c r="A254" s="11"/>
      <c r="B254" s="11"/>
      <c r="C254" s="11"/>
      <c r="D254" s="19"/>
      <c r="I254" s="27"/>
    </row>
    <row r="255" spans="1:9" x14ac:dyDescent="0.2">
      <c r="A255" s="11"/>
      <c r="B255" s="14"/>
      <c r="C255" s="14"/>
      <c r="D255" s="19"/>
      <c r="I255" s="27"/>
    </row>
    <row r="256" spans="1:9" x14ac:dyDescent="0.2">
      <c r="A256" s="11"/>
      <c r="B256" s="11"/>
      <c r="C256" s="11"/>
      <c r="D256" s="19"/>
      <c r="I256" s="27"/>
    </row>
    <row r="257" spans="1:9" x14ac:dyDescent="0.2">
      <c r="A257" s="11"/>
      <c r="B257" s="11"/>
      <c r="C257" s="11"/>
      <c r="D257" s="19"/>
      <c r="I257" s="27"/>
    </row>
    <row r="258" spans="1:9" x14ac:dyDescent="0.2">
      <c r="A258" s="11"/>
      <c r="B258" s="11"/>
      <c r="C258" s="11"/>
      <c r="D258" s="19"/>
      <c r="I258" s="27"/>
    </row>
    <row r="259" spans="1:9" x14ac:dyDescent="0.2">
      <c r="A259" s="11"/>
      <c r="B259" s="11"/>
      <c r="C259" s="11"/>
      <c r="D259" s="19"/>
      <c r="I259" s="27"/>
    </row>
    <row r="260" spans="1:9" x14ac:dyDescent="0.2">
      <c r="A260" s="11"/>
      <c r="B260" s="11"/>
      <c r="C260" s="11"/>
      <c r="D260" s="19"/>
      <c r="I260" s="27"/>
    </row>
    <row r="261" spans="1:9" x14ac:dyDescent="0.2">
      <c r="A261" s="11"/>
      <c r="B261" s="11"/>
      <c r="C261" s="11"/>
      <c r="D261" s="19"/>
      <c r="I261" s="27"/>
    </row>
    <row r="262" spans="1:9" x14ac:dyDescent="0.2">
      <c r="A262" s="11"/>
      <c r="B262" s="11"/>
      <c r="C262" s="11"/>
      <c r="D262" s="19"/>
      <c r="I262" s="27"/>
    </row>
    <row r="263" spans="1:9" x14ac:dyDescent="0.2">
      <c r="A263" s="11"/>
      <c r="B263" s="11"/>
      <c r="C263" s="11"/>
      <c r="D263" s="19"/>
      <c r="I263" s="27"/>
    </row>
    <row r="264" spans="1:9" x14ac:dyDescent="0.2">
      <c r="A264" s="11"/>
      <c r="B264" s="11"/>
      <c r="C264" s="11"/>
      <c r="D264" s="19"/>
      <c r="I264" s="27"/>
    </row>
    <row r="265" spans="1:9" x14ac:dyDescent="0.2">
      <c r="A265" s="11"/>
      <c r="B265" s="11"/>
      <c r="C265" s="11"/>
      <c r="D265" s="19"/>
      <c r="I265" s="27"/>
    </row>
    <row r="266" spans="1:9" x14ac:dyDescent="0.2">
      <c r="A266" s="11"/>
      <c r="B266" s="11"/>
      <c r="C266" s="11"/>
      <c r="D266" s="19"/>
      <c r="I266" s="27"/>
    </row>
    <row r="267" spans="1:9" x14ac:dyDescent="0.2">
      <c r="A267" s="11"/>
      <c r="B267" s="11"/>
      <c r="C267" s="11"/>
      <c r="D267" s="19"/>
      <c r="I267" s="27"/>
    </row>
    <row r="268" spans="1:9" x14ac:dyDescent="0.2">
      <c r="A268" s="11"/>
      <c r="B268" s="11"/>
      <c r="C268" s="11"/>
      <c r="D268" s="19"/>
      <c r="I268" s="27"/>
    </row>
    <row r="269" spans="1:9" x14ac:dyDescent="0.2">
      <c r="A269" s="11"/>
      <c r="B269" s="11"/>
      <c r="C269" s="11"/>
      <c r="D269" s="19"/>
      <c r="I269" s="27"/>
    </row>
    <row r="270" spans="1:9" x14ac:dyDescent="0.2">
      <c r="A270" s="11"/>
      <c r="B270" s="14"/>
      <c r="C270" s="14"/>
      <c r="D270" s="19"/>
      <c r="I270" s="27"/>
    </row>
    <row r="271" spans="1:9" x14ac:dyDescent="0.2">
      <c r="A271" s="11"/>
      <c r="B271" s="11"/>
      <c r="C271" s="11"/>
      <c r="D271" s="19"/>
      <c r="I271" s="27"/>
    </row>
    <row r="272" spans="1:9" x14ac:dyDescent="0.2">
      <c r="A272" s="11"/>
      <c r="B272" s="11"/>
      <c r="C272" s="11"/>
      <c r="D272" s="19"/>
      <c r="I272" s="27"/>
    </row>
    <row r="273" spans="1:9" x14ac:dyDescent="0.2">
      <c r="A273" s="11"/>
      <c r="B273" s="11"/>
      <c r="C273" s="11"/>
      <c r="D273" s="19"/>
      <c r="I273" s="27"/>
    </row>
    <row r="274" spans="1:9" x14ac:dyDescent="0.2">
      <c r="A274" s="11"/>
      <c r="B274" s="14"/>
      <c r="C274" s="14"/>
      <c r="D274" s="19"/>
      <c r="I274" s="27"/>
    </row>
    <row r="275" spans="1:9" x14ac:dyDescent="0.2">
      <c r="A275" s="11"/>
      <c r="B275" s="11"/>
      <c r="C275" s="11"/>
      <c r="D275" s="19"/>
      <c r="I275" s="27"/>
    </row>
    <row r="276" spans="1:9" x14ac:dyDescent="0.2">
      <c r="A276" s="11"/>
      <c r="B276" s="11"/>
      <c r="C276" s="11"/>
      <c r="D276" s="19"/>
      <c r="I276" s="27"/>
    </row>
    <row r="277" spans="1:9" x14ac:dyDescent="0.2">
      <c r="A277" s="11"/>
      <c r="B277" s="11"/>
      <c r="C277" s="11"/>
      <c r="D277" s="19"/>
      <c r="I277" s="27"/>
    </row>
    <row r="278" spans="1:9" x14ac:dyDescent="0.2">
      <c r="A278" s="11"/>
      <c r="B278" s="14"/>
      <c r="C278" s="14"/>
      <c r="D278" s="19"/>
      <c r="I278" s="27"/>
    </row>
    <row r="279" spans="1:9" x14ac:dyDescent="0.2">
      <c r="A279" s="11"/>
      <c r="B279" s="11"/>
      <c r="C279" s="11"/>
      <c r="D279" s="19"/>
      <c r="I279" s="27"/>
    </row>
    <row r="280" spans="1:9" x14ac:dyDescent="0.2">
      <c r="A280" s="11"/>
      <c r="B280" s="14"/>
      <c r="C280" s="14"/>
      <c r="D280" s="19"/>
      <c r="I280" s="27"/>
    </row>
    <row r="281" spans="1:9" x14ac:dyDescent="0.2">
      <c r="A281" s="11"/>
      <c r="B281" s="11"/>
      <c r="C281" s="11"/>
      <c r="D281" s="19"/>
      <c r="I281" s="27"/>
    </row>
    <row r="282" spans="1:9" x14ac:dyDescent="0.2">
      <c r="A282" s="11"/>
      <c r="B282" s="11"/>
      <c r="C282" s="11"/>
      <c r="D282" s="19"/>
      <c r="I282" s="27"/>
    </row>
    <row r="283" spans="1:9" x14ac:dyDescent="0.2">
      <c r="A283" s="11"/>
      <c r="B283" s="11"/>
      <c r="C283" s="11"/>
      <c r="D283" s="19"/>
      <c r="I283" s="27"/>
    </row>
    <row r="284" spans="1:9" x14ac:dyDescent="0.2">
      <c r="A284" s="11"/>
      <c r="B284" s="11"/>
      <c r="C284" s="11"/>
      <c r="D284" s="19"/>
      <c r="I284" s="27"/>
    </row>
    <row r="285" spans="1:9" x14ac:dyDescent="0.2">
      <c r="A285" s="11"/>
      <c r="B285" s="11"/>
      <c r="C285" s="11"/>
      <c r="D285" s="19"/>
      <c r="I285" s="27"/>
    </row>
    <row r="286" spans="1:9" x14ac:dyDescent="0.2">
      <c r="A286" s="11"/>
      <c r="B286" s="11"/>
      <c r="C286" s="11"/>
      <c r="D286" s="15"/>
      <c r="I286" s="27"/>
    </row>
    <row r="287" spans="1:9" x14ac:dyDescent="0.2">
      <c r="A287" s="11"/>
      <c r="B287" s="11"/>
      <c r="C287" s="11"/>
      <c r="D287" s="19"/>
      <c r="I287" s="27"/>
    </row>
    <row r="288" spans="1:9" x14ac:dyDescent="0.2">
      <c r="A288" s="11"/>
      <c r="B288" s="11"/>
      <c r="C288" s="11"/>
      <c r="D288" s="19"/>
      <c r="I288" s="27"/>
    </row>
    <row r="289" spans="1:9" x14ac:dyDescent="0.2">
      <c r="A289" s="11"/>
      <c r="B289" s="11"/>
      <c r="C289" s="11"/>
      <c r="D289" s="19"/>
      <c r="I289" s="27"/>
    </row>
    <row r="290" spans="1:9" x14ac:dyDescent="0.2">
      <c r="A290" s="11"/>
      <c r="B290" s="11"/>
      <c r="C290" s="11"/>
      <c r="D290" s="19"/>
      <c r="I290" s="27"/>
    </row>
    <row r="291" spans="1:9" x14ac:dyDescent="0.2">
      <c r="A291" s="11"/>
      <c r="B291" s="11"/>
      <c r="C291" s="11"/>
      <c r="D291" s="19"/>
      <c r="I291" s="27"/>
    </row>
    <row r="292" spans="1:9" x14ac:dyDescent="0.2">
      <c r="A292" s="11"/>
      <c r="B292" s="11"/>
      <c r="C292" s="11"/>
      <c r="D292" s="19"/>
      <c r="I292" s="27"/>
    </row>
    <row r="293" spans="1:9" x14ac:dyDescent="0.2">
      <c r="A293" s="11"/>
      <c r="B293" s="11"/>
      <c r="C293" s="11"/>
      <c r="D293" s="19"/>
      <c r="I293" s="27"/>
    </row>
    <row r="294" spans="1:9" x14ac:dyDescent="0.2">
      <c r="A294" s="11"/>
      <c r="B294" s="11"/>
      <c r="C294" s="11"/>
      <c r="D294" s="19"/>
      <c r="I294" s="27"/>
    </row>
    <row r="295" spans="1:9" x14ac:dyDescent="0.2">
      <c r="A295" s="11"/>
      <c r="B295" s="11"/>
      <c r="C295" s="11"/>
      <c r="D295" s="19"/>
      <c r="I295" s="27"/>
    </row>
    <row r="296" spans="1:9" x14ac:dyDescent="0.2">
      <c r="A296" s="11"/>
      <c r="B296" s="11"/>
      <c r="C296" s="11"/>
      <c r="D296" s="19"/>
      <c r="I296" s="27"/>
    </row>
    <row r="297" spans="1:9" x14ac:dyDescent="0.2">
      <c r="A297" s="11"/>
      <c r="B297" s="14"/>
      <c r="C297" s="14"/>
      <c r="D297" s="19"/>
      <c r="I297" s="27"/>
    </row>
    <row r="298" spans="1:9" x14ac:dyDescent="0.2">
      <c r="A298" s="11"/>
      <c r="B298" s="11"/>
      <c r="C298" s="11"/>
      <c r="D298" s="19"/>
      <c r="I298" s="27"/>
    </row>
    <row r="299" spans="1:9" x14ac:dyDescent="0.2">
      <c r="A299" s="11"/>
      <c r="B299" s="11"/>
      <c r="C299" s="11"/>
      <c r="D299" s="19"/>
      <c r="I299" s="27"/>
    </row>
    <row r="300" spans="1:9" x14ac:dyDescent="0.2">
      <c r="A300" s="11"/>
      <c r="B300" s="11"/>
      <c r="C300" s="11"/>
      <c r="D300" s="19"/>
      <c r="I300" s="27"/>
    </row>
    <row r="301" spans="1:9" x14ac:dyDescent="0.2">
      <c r="A301" s="11"/>
      <c r="B301" s="11"/>
      <c r="C301" s="11"/>
      <c r="D301" s="19"/>
      <c r="I301" s="27"/>
    </row>
    <row r="302" spans="1:9" x14ac:dyDescent="0.2">
      <c r="A302" s="11"/>
      <c r="B302" s="11"/>
      <c r="C302" s="11"/>
      <c r="D302" s="19"/>
      <c r="I302" s="27"/>
    </row>
    <row r="303" spans="1:9" x14ac:dyDescent="0.2">
      <c r="A303" s="11"/>
      <c r="B303" s="8"/>
      <c r="C303" s="8"/>
      <c r="D303" s="19"/>
      <c r="I303" s="27"/>
    </row>
    <row r="304" spans="1:9" x14ac:dyDescent="0.2">
      <c r="A304" s="11"/>
      <c r="B304" s="11"/>
      <c r="C304" s="11"/>
      <c r="D304" s="19"/>
      <c r="I304" s="27"/>
    </row>
    <row r="305" spans="1:9" x14ac:dyDescent="0.2">
      <c r="A305" s="11"/>
      <c r="B305" s="11"/>
      <c r="C305" s="11"/>
      <c r="D305" s="19"/>
      <c r="I305" s="27"/>
    </row>
    <row r="306" spans="1:9" x14ac:dyDescent="0.2">
      <c r="A306" s="11"/>
      <c r="B306" s="11"/>
      <c r="C306" s="11"/>
      <c r="D306" s="19"/>
      <c r="I306" s="27"/>
    </row>
    <row r="307" spans="1:9" x14ac:dyDescent="0.2">
      <c r="A307" s="11"/>
      <c r="B307" s="11"/>
      <c r="C307" s="11"/>
      <c r="D307" s="19"/>
      <c r="I307" s="27"/>
    </row>
    <row r="308" spans="1:9" x14ac:dyDescent="0.2">
      <c r="A308" s="11"/>
      <c r="B308" s="11"/>
      <c r="C308" s="11"/>
      <c r="D308" s="19"/>
      <c r="I308" s="27"/>
    </row>
    <row r="309" spans="1:9" x14ac:dyDescent="0.2">
      <c r="A309" s="11"/>
      <c r="B309" s="11"/>
      <c r="C309" s="11"/>
      <c r="D309" s="19"/>
      <c r="I309" s="27"/>
    </row>
    <row r="310" spans="1:9" x14ac:dyDescent="0.2">
      <c r="A310" s="11"/>
      <c r="B310" s="11"/>
      <c r="C310" s="11"/>
      <c r="D310" s="19"/>
      <c r="I310" s="27"/>
    </row>
    <row r="311" spans="1:9" x14ac:dyDescent="0.2">
      <c r="A311" s="11"/>
      <c r="B311" s="11"/>
      <c r="C311" s="11"/>
      <c r="D311" s="19"/>
      <c r="I311" s="27"/>
    </row>
    <row r="312" spans="1:9" x14ac:dyDescent="0.2">
      <c r="A312" s="11"/>
      <c r="B312" s="11"/>
      <c r="C312" s="11"/>
      <c r="D312" s="19"/>
      <c r="I312" s="27"/>
    </row>
    <row r="313" spans="1:9" x14ac:dyDescent="0.2">
      <c r="A313" s="11"/>
      <c r="B313" s="11"/>
      <c r="C313" s="11"/>
      <c r="D313" s="19"/>
      <c r="I313" s="27"/>
    </row>
    <row r="314" spans="1:9" x14ac:dyDescent="0.2">
      <c r="A314" s="11"/>
      <c r="B314" s="11"/>
      <c r="C314" s="11"/>
      <c r="D314" s="19"/>
      <c r="I314" s="27"/>
    </row>
    <row r="315" spans="1:9" x14ac:dyDescent="0.2">
      <c r="A315" s="11"/>
      <c r="B315" s="11"/>
      <c r="C315" s="11"/>
      <c r="D315" s="19"/>
      <c r="I315" s="27"/>
    </row>
    <row r="316" spans="1:9" x14ac:dyDescent="0.2">
      <c r="A316" s="11"/>
      <c r="B316" s="11"/>
      <c r="C316" s="11"/>
      <c r="D316" s="19"/>
      <c r="I316" s="27"/>
    </row>
    <row r="317" spans="1:9" x14ac:dyDescent="0.2">
      <c r="A317" s="11"/>
      <c r="B317" s="11"/>
      <c r="C317" s="11"/>
      <c r="D317" s="19"/>
      <c r="I317" s="27"/>
    </row>
    <row r="318" spans="1:9" x14ac:dyDescent="0.2">
      <c r="A318" s="11"/>
      <c r="B318" s="11"/>
      <c r="C318" s="11"/>
      <c r="D318" s="19"/>
      <c r="I318" s="27"/>
    </row>
    <row r="319" spans="1:9" x14ac:dyDescent="0.2">
      <c r="A319" s="11"/>
      <c r="B319" s="11"/>
      <c r="C319" s="11"/>
      <c r="D319" s="19"/>
      <c r="I319" s="27"/>
    </row>
    <row r="320" spans="1:9" x14ac:dyDescent="0.2">
      <c r="A320" s="11"/>
      <c r="B320" s="11"/>
      <c r="C320" s="11"/>
      <c r="D320" s="19"/>
      <c r="I320" s="27"/>
    </row>
    <row r="321" spans="1:9" x14ac:dyDescent="0.2">
      <c r="A321" s="11"/>
      <c r="B321" s="11"/>
      <c r="C321" s="11"/>
      <c r="D321" s="19"/>
      <c r="I321" s="27"/>
    </row>
    <row r="322" spans="1:9" x14ac:dyDescent="0.2">
      <c r="A322" s="11"/>
      <c r="B322" s="11"/>
      <c r="C322" s="11"/>
      <c r="D322" s="19"/>
      <c r="I322" s="27"/>
    </row>
    <row r="323" spans="1:9" x14ac:dyDescent="0.2">
      <c r="A323" s="11"/>
      <c r="B323" s="11"/>
      <c r="C323" s="11"/>
      <c r="D323" s="19"/>
      <c r="I323" s="27"/>
    </row>
    <row r="324" spans="1:9" x14ac:dyDescent="0.2">
      <c r="A324" s="11"/>
      <c r="B324" s="11"/>
      <c r="C324" s="11"/>
      <c r="D324" s="19"/>
      <c r="I324" s="27"/>
    </row>
    <row r="325" spans="1:9" x14ac:dyDescent="0.2">
      <c r="A325" s="11"/>
      <c r="B325" s="11"/>
      <c r="C325" s="11"/>
      <c r="D325" s="19"/>
      <c r="I325" s="27"/>
    </row>
    <row r="326" spans="1:9" x14ac:dyDescent="0.2">
      <c r="A326" s="11"/>
      <c r="B326" s="11"/>
      <c r="C326" s="11"/>
      <c r="D326" s="19"/>
      <c r="I326" s="27"/>
    </row>
    <row r="327" spans="1:9" x14ac:dyDescent="0.2">
      <c r="A327" s="11"/>
      <c r="B327" s="11"/>
      <c r="C327" s="11"/>
      <c r="D327" s="19"/>
      <c r="I327" s="27"/>
    </row>
    <row r="328" spans="1:9" x14ac:dyDescent="0.2">
      <c r="A328" s="11"/>
      <c r="B328" s="11"/>
      <c r="C328" s="11"/>
      <c r="D328" s="19"/>
      <c r="I328" s="27"/>
    </row>
    <row r="329" spans="1:9" x14ac:dyDescent="0.2">
      <c r="A329" s="11"/>
      <c r="B329" s="11"/>
      <c r="C329" s="11"/>
      <c r="D329" s="19"/>
      <c r="I329" s="27"/>
    </row>
    <row r="330" spans="1:9" x14ac:dyDescent="0.2">
      <c r="A330" s="11"/>
      <c r="B330" s="11"/>
      <c r="C330" s="11"/>
      <c r="D330" s="19"/>
      <c r="I330" s="27"/>
    </row>
    <row r="331" spans="1:9" x14ac:dyDescent="0.2">
      <c r="A331" s="11"/>
      <c r="B331" s="11"/>
      <c r="C331" s="11"/>
      <c r="D331" s="19"/>
      <c r="I331" s="27"/>
    </row>
    <row r="332" spans="1:9" x14ac:dyDescent="0.2">
      <c r="A332" s="11"/>
      <c r="B332" s="11"/>
      <c r="C332" s="11"/>
      <c r="D332" s="19"/>
      <c r="I332" s="27"/>
    </row>
    <row r="333" spans="1:9" x14ac:dyDescent="0.2">
      <c r="A333" s="11"/>
      <c r="B333" s="11"/>
      <c r="C333" s="11"/>
      <c r="D333" s="19"/>
      <c r="I333" s="27"/>
    </row>
    <row r="334" spans="1:9" x14ac:dyDescent="0.2">
      <c r="A334" s="11"/>
      <c r="B334" s="11"/>
      <c r="C334" s="11"/>
      <c r="D334" s="19"/>
      <c r="I334" s="27"/>
    </row>
    <row r="335" spans="1:9" x14ac:dyDescent="0.2">
      <c r="A335" s="11"/>
      <c r="B335" s="11"/>
      <c r="C335" s="11"/>
      <c r="D335" s="19"/>
      <c r="I335" s="27"/>
    </row>
    <row r="336" spans="1:9" x14ac:dyDescent="0.2">
      <c r="A336" s="11"/>
      <c r="B336" s="11"/>
      <c r="C336" s="11"/>
      <c r="D336" s="19"/>
      <c r="I336" s="27"/>
    </row>
    <row r="337" spans="1:9" x14ac:dyDescent="0.2">
      <c r="A337" s="11"/>
      <c r="B337" s="11"/>
      <c r="C337" s="11"/>
      <c r="D337" s="19"/>
      <c r="I337" s="27"/>
    </row>
    <row r="338" spans="1:9" x14ac:dyDescent="0.2">
      <c r="A338" s="11"/>
      <c r="B338" s="11"/>
      <c r="C338" s="11"/>
      <c r="D338" s="19"/>
      <c r="I338" s="27"/>
    </row>
    <row r="339" spans="1:9" x14ac:dyDescent="0.2">
      <c r="A339" s="11"/>
      <c r="B339" s="11"/>
      <c r="C339" s="11"/>
      <c r="D339" s="19"/>
      <c r="I339" s="27"/>
    </row>
    <row r="340" spans="1:9" x14ac:dyDescent="0.2">
      <c r="A340" s="11"/>
      <c r="B340" s="11"/>
      <c r="C340" s="11"/>
      <c r="D340" s="19"/>
      <c r="I340" s="27"/>
    </row>
    <row r="341" spans="1:9" x14ac:dyDescent="0.2">
      <c r="A341" s="11"/>
      <c r="B341" s="11"/>
      <c r="C341" s="11"/>
      <c r="D341" s="19"/>
      <c r="I341" s="27"/>
    </row>
    <row r="342" spans="1:9" x14ac:dyDescent="0.2">
      <c r="A342" s="11"/>
      <c r="B342" s="11"/>
      <c r="C342" s="11"/>
      <c r="D342" s="19"/>
      <c r="I342" s="27"/>
    </row>
    <row r="343" spans="1:9" x14ac:dyDescent="0.2">
      <c r="A343" s="11"/>
      <c r="B343" s="11"/>
      <c r="C343" s="11"/>
      <c r="D343" s="19"/>
      <c r="I343" s="27"/>
    </row>
    <row r="344" spans="1:9" x14ac:dyDescent="0.2">
      <c r="A344" s="11"/>
      <c r="B344" s="11"/>
      <c r="C344" s="11"/>
      <c r="D344" s="19"/>
      <c r="I344" s="27"/>
    </row>
    <row r="345" spans="1:9" x14ac:dyDescent="0.2">
      <c r="A345" s="11"/>
      <c r="B345" s="11"/>
      <c r="C345" s="11"/>
      <c r="D345" s="19"/>
      <c r="I345" s="27"/>
    </row>
    <row r="346" spans="1:9" x14ac:dyDescent="0.2">
      <c r="A346" s="11"/>
      <c r="B346" s="11"/>
      <c r="C346" s="11"/>
      <c r="D346" s="19"/>
      <c r="I346" s="27"/>
    </row>
    <row r="347" spans="1:9" x14ac:dyDescent="0.2">
      <c r="A347" s="11"/>
      <c r="B347" s="11"/>
      <c r="C347" s="11"/>
      <c r="D347" s="19"/>
      <c r="I347" s="27"/>
    </row>
    <row r="348" spans="1:9" x14ac:dyDescent="0.2">
      <c r="A348" s="11"/>
      <c r="B348" s="11"/>
      <c r="C348" s="11"/>
      <c r="D348" s="19"/>
      <c r="I348" s="27"/>
    </row>
    <row r="349" spans="1:9" x14ac:dyDescent="0.2">
      <c r="A349" s="11"/>
      <c r="B349" s="11"/>
      <c r="C349" s="11"/>
      <c r="D349" s="19"/>
      <c r="I349" s="27"/>
    </row>
    <row r="350" spans="1:9" x14ac:dyDescent="0.2">
      <c r="A350" s="11"/>
      <c r="B350" s="11"/>
      <c r="C350" s="11"/>
      <c r="D350" s="19"/>
      <c r="I350" s="27"/>
    </row>
    <row r="351" spans="1:9" x14ac:dyDescent="0.2">
      <c r="A351" s="11"/>
      <c r="B351" s="11"/>
      <c r="C351" s="11"/>
      <c r="D351" s="19"/>
      <c r="I351" s="27"/>
    </row>
    <row r="352" spans="1:9" x14ac:dyDescent="0.2">
      <c r="A352" s="11"/>
      <c r="B352" s="11"/>
      <c r="C352" s="11"/>
      <c r="D352" s="19"/>
      <c r="I352" s="27"/>
    </row>
    <row r="353" spans="1:9" x14ac:dyDescent="0.2">
      <c r="A353" s="11"/>
      <c r="B353" s="11"/>
      <c r="C353" s="11"/>
      <c r="D353" s="19"/>
      <c r="I353" s="27"/>
    </row>
    <row r="354" spans="1:9" x14ac:dyDescent="0.2">
      <c r="A354" s="11"/>
      <c r="B354" s="11"/>
      <c r="C354" s="11"/>
      <c r="D354" s="19"/>
      <c r="I354" s="27"/>
    </row>
    <row r="355" spans="1:9" x14ac:dyDescent="0.2">
      <c r="A355" s="11"/>
      <c r="B355" s="11"/>
      <c r="C355" s="11"/>
      <c r="D355" s="19"/>
      <c r="I355" s="27"/>
    </row>
    <row r="356" spans="1:9" x14ac:dyDescent="0.2">
      <c r="A356" s="11"/>
      <c r="B356" s="11"/>
      <c r="C356" s="11"/>
      <c r="D356" s="19"/>
      <c r="I356" s="27"/>
    </row>
    <row r="357" spans="1:9" x14ac:dyDescent="0.2">
      <c r="A357" s="11"/>
      <c r="B357" s="11"/>
      <c r="C357" s="11"/>
      <c r="D357" s="19"/>
      <c r="I357" s="27"/>
    </row>
    <row r="358" spans="1:9" x14ac:dyDescent="0.2">
      <c r="A358" s="11"/>
      <c r="B358" s="11"/>
      <c r="C358" s="11"/>
      <c r="D358" s="19"/>
      <c r="I358" s="27"/>
    </row>
    <row r="359" spans="1:9" x14ac:dyDescent="0.2">
      <c r="A359" s="11"/>
      <c r="B359" s="11"/>
      <c r="C359" s="11"/>
      <c r="D359" s="19"/>
      <c r="I359" s="27"/>
    </row>
    <row r="360" spans="1:9" x14ac:dyDescent="0.2">
      <c r="A360" s="11"/>
      <c r="B360" s="11"/>
      <c r="C360" s="11"/>
      <c r="D360" s="19"/>
      <c r="I360" s="27"/>
    </row>
    <row r="361" spans="1:9" x14ac:dyDescent="0.2">
      <c r="A361" s="11"/>
      <c r="B361" s="11"/>
      <c r="C361" s="11"/>
      <c r="D361" s="19"/>
      <c r="I361" s="27"/>
    </row>
    <row r="362" spans="1:9" x14ac:dyDescent="0.2">
      <c r="A362" s="11"/>
      <c r="B362" s="11"/>
      <c r="C362" s="11"/>
      <c r="D362" s="19"/>
      <c r="I362" s="27"/>
    </row>
    <row r="363" spans="1:9" x14ac:dyDescent="0.2">
      <c r="A363" s="11"/>
      <c r="B363" s="11"/>
      <c r="C363" s="11"/>
      <c r="D363" s="19"/>
      <c r="I363" s="27"/>
    </row>
    <row r="364" spans="1:9" x14ac:dyDescent="0.2">
      <c r="A364" s="11"/>
      <c r="B364" s="11"/>
      <c r="C364" s="11"/>
      <c r="D364" s="19"/>
      <c r="I364" s="27"/>
    </row>
    <row r="365" spans="1:9" x14ac:dyDescent="0.2">
      <c r="A365" s="11"/>
      <c r="B365" s="11"/>
      <c r="C365" s="11"/>
      <c r="D365" s="19"/>
      <c r="I365" s="27"/>
    </row>
    <row r="366" spans="1:9" x14ac:dyDescent="0.2">
      <c r="A366" s="11"/>
      <c r="B366" s="11"/>
      <c r="C366" s="11"/>
      <c r="D366" s="19"/>
      <c r="I366" s="27"/>
    </row>
    <row r="367" spans="1:9" x14ac:dyDescent="0.2">
      <c r="A367" s="11"/>
      <c r="B367" s="11"/>
      <c r="C367" s="11"/>
      <c r="D367" s="19"/>
      <c r="I367" s="27"/>
    </row>
    <row r="368" spans="1:9" x14ac:dyDescent="0.2">
      <c r="A368" s="11"/>
      <c r="B368" s="11"/>
      <c r="C368" s="11"/>
      <c r="D368" s="19"/>
      <c r="I368" s="27"/>
    </row>
    <row r="369" spans="1:9" x14ac:dyDescent="0.2">
      <c r="A369" s="11"/>
      <c r="B369" s="11"/>
      <c r="C369" s="11"/>
      <c r="D369" s="19"/>
      <c r="I369" s="27"/>
    </row>
    <row r="370" spans="1:9" x14ac:dyDescent="0.2">
      <c r="A370" s="11"/>
      <c r="B370" s="11"/>
      <c r="C370" s="11"/>
      <c r="D370" s="19"/>
      <c r="I370" s="27"/>
    </row>
    <row r="371" spans="1:9" x14ac:dyDescent="0.2">
      <c r="A371" s="11"/>
      <c r="B371" s="11"/>
      <c r="C371" s="11"/>
      <c r="D371" s="19"/>
      <c r="I371" s="27"/>
    </row>
    <row r="372" spans="1:9" x14ac:dyDescent="0.2">
      <c r="A372" s="11"/>
      <c r="B372" s="11"/>
      <c r="C372" s="11"/>
      <c r="D372" s="19"/>
      <c r="I372" s="27"/>
    </row>
    <row r="373" spans="1:9" x14ac:dyDescent="0.2">
      <c r="A373" s="11"/>
      <c r="B373" s="11"/>
      <c r="C373" s="11"/>
      <c r="D373" s="19"/>
      <c r="I373" s="27"/>
    </row>
    <row r="374" spans="1:9" x14ac:dyDescent="0.2">
      <c r="A374" s="11"/>
      <c r="B374" s="11"/>
      <c r="C374" s="11"/>
      <c r="D374" s="19"/>
      <c r="I374" s="27"/>
    </row>
    <row r="375" spans="1:9" x14ac:dyDescent="0.2">
      <c r="A375" s="11"/>
      <c r="B375" s="11"/>
      <c r="C375" s="11"/>
      <c r="D375" s="19"/>
      <c r="I375" s="27"/>
    </row>
    <row r="376" spans="1:9" x14ac:dyDescent="0.2">
      <c r="A376" s="11"/>
      <c r="B376" s="11"/>
      <c r="C376" s="11"/>
      <c r="D376" s="19"/>
      <c r="I376" s="27"/>
    </row>
    <row r="377" spans="1:9" x14ac:dyDescent="0.2">
      <c r="A377" s="11"/>
      <c r="B377" s="11"/>
      <c r="C377" s="11"/>
      <c r="D377" s="19"/>
      <c r="I377" s="27"/>
    </row>
    <row r="378" spans="1:9" x14ac:dyDescent="0.2">
      <c r="A378" s="11"/>
      <c r="B378" s="11"/>
      <c r="C378" s="11"/>
      <c r="D378" s="19"/>
      <c r="I378" s="27"/>
    </row>
    <row r="379" spans="1:9" x14ac:dyDescent="0.2">
      <c r="A379" s="11"/>
      <c r="B379" s="11"/>
      <c r="C379" s="11"/>
      <c r="D379" s="19"/>
      <c r="I379" s="27"/>
    </row>
    <row r="380" spans="1:9" x14ac:dyDescent="0.2">
      <c r="A380" s="11"/>
      <c r="B380" s="11"/>
      <c r="C380" s="11"/>
      <c r="D380" s="19"/>
      <c r="I380" s="27"/>
    </row>
    <row r="381" spans="1:9" x14ac:dyDescent="0.2">
      <c r="A381" s="11"/>
      <c r="B381" s="11"/>
      <c r="C381" s="11"/>
      <c r="D381" s="19"/>
      <c r="I381" s="27"/>
    </row>
    <row r="382" spans="1:9" x14ac:dyDescent="0.2">
      <c r="A382" s="11"/>
      <c r="B382" s="11"/>
      <c r="C382" s="11"/>
      <c r="D382" s="19"/>
      <c r="I382" s="27"/>
    </row>
    <row r="383" spans="1:9" x14ac:dyDescent="0.2">
      <c r="A383" s="11"/>
      <c r="B383" s="11"/>
      <c r="C383" s="11"/>
      <c r="D383" s="19"/>
      <c r="I383" s="27"/>
    </row>
    <row r="384" spans="1:9" x14ac:dyDescent="0.2">
      <c r="A384" s="11"/>
      <c r="B384" s="11"/>
      <c r="C384" s="11"/>
      <c r="D384" s="19"/>
      <c r="I384" s="27"/>
    </row>
    <row r="385" spans="1:9" x14ac:dyDescent="0.2">
      <c r="A385" s="11"/>
      <c r="B385" s="11"/>
      <c r="C385" s="11"/>
      <c r="D385" s="19"/>
      <c r="I385" s="27"/>
    </row>
    <row r="386" spans="1:9" x14ac:dyDescent="0.2">
      <c r="A386" s="11"/>
      <c r="B386" s="11"/>
      <c r="C386" s="11"/>
      <c r="D386" s="19"/>
      <c r="I386" s="27"/>
    </row>
    <row r="387" spans="1:9" x14ac:dyDescent="0.2">
      <c r="A387" s="11"/>
      <c r="B387" s="11"/>
      <c r="C387" s="11"/>
      <c r="D387" s="19"/>
      <c r="I387" s="27"/>
    </row>
    <row r="388" spans="1:9" x14ac:dyDescent="0.2">
      <c r="A388" s="11"/>
      <c r="B388" s="11"/>
      <c r="C388" s="11"/>
      <c r="D388" s="19"/>
      <c r="I388" s="27"/>
    </row>
    <row r="389" spans="1:9" x14ac:dyDescent="0.2">
      <c r="A389" s="11"/>
      <c r="B389" s="11"/>
      <c r="C389" s="11"/>
      <c r="D389" s="19"/>
      <c r="I389" s="27"/>
    </row>
    <row r="390" spans="1:9" x14ac:dyDescent="0.2">
      <c r="A390" s="11"/>
      <c r="B390" s="11"/>
      <c r="C390" s="11"/>
      <c r="D390" s="19"/>
      <c r="I390" s="27"/>
    </row>
    <row r="391" spans="1:9" x14ac:dyDescent="0.2">
      <c r="A391" s="11"/>
      <c r="B391" s="11"/>
      <c r="C391" s="11"/>
      <c r="D391" s="19"/>
      <c r="I391" s="27"/>
    </row>
    <row r="392" spans="1:9" x14ac:dyDescent="0.2">
      <c r="A392" s="11"/>
      <c r="B392" s="11"/>
      <c r="C392" s="11"/>
      <c r="D392" s="19"/>
      <c r="I392" s="27"/>
    </row>
    <row r="393" spans="1:9" x14ac:dyDescent="0.2">
      <c r="A393" s="11"/>
      <c r="B393" s="11"/>
      <c r="C393" s="11"/>
      <c r="D393" s="19"/>
      <c r="I393" s="27"/>
    </row>
    <row r="394" spans="1:9" x14ac:dyDescent="0.2">
      <c r="A394" s="11"/>
      <c r="B394" s="11"/>
      <c r="C394" s="11"/>
      <c r="D394" s="19"/>
      <c r="I394" s="27"/>
    </row>
    <row r="395" spans="1:9" x14ac:dyDescent="0.2">
      <c r="A395" s="11"/>
      <c r="B395" s="11"/>
      <c r="C395" s="11"/>
      <c r="D395" s="19"/>
      <c r="I395" s="27"/>
    </row>
    <row r="396" spans="1:9" x14ac:dyDescent="0.2">
      <c r="A396" s="11"/>
      <c r="B396" s="11"/>
      <c r="C396" s="11"/>
      <c r="D396" s="19"/>
      <c r="I396" s="27"/>
    </row>
    <row r="397" spans="1:9" x14ac:dyDescent="0.2">
      <c r="A397" s="11"/>
      <c r="B397" s="11"/>
      <c r="C397" s="11"/>
      <c r="D397" s="19"/>
      <c r="I397" s="27"/>
    </row>
    <row r="398" spans="1:9" x14ac:dyDescent="0.2">
      <c r="A398" s="11"/>
      <c r="B398" s="11"/>
      <c r="C398" s="11"/>
      <c r="D398" s="19"/>
      <c r="I398" s="27"/>
    </row>
    <row r="399" spans="1:9" x14ac:dyDescent="0.2">
      <c r="A399" s="11"/>
      <c r="B399" s="11"/>
      <c r="C399" s="11"/>
      <c r="D399" s="19"/>
      <c r="I399" s="27"/>
    </row>
    <row r="400" spans="1:9" x14ac:dyDescent="0.2">
      <c r="A400" s="11"/>
      <c r="B400" s="11"/>
      <c r="C400" s="11"/>
      <c r="D400" s="19"/>
      <c r="I400" s="27"/>
    </row>
    <row r="401" spans="1:9" x14ac:dyDescent="0.2">
      <c r="A401" s="11"/>
      <c r="B401" s="11"/>
      <c r="C401" s="11"/>
      <c r="D401" s="19"/>
      <c r="I401" s="27"/>
    </row>
    <row r="402" spans="1:9" x14ac:dyDescent="0.2">
      <c r="A402" s="11"/>
      <c r="B402" s="11"/>
      <c r="C402" s="11"/>
      <c r="D402" s="19"/>
      <c r="I402" s="27"/>
    </row>
    <row r="403" spans="1:9" x14ac:dyDescent="0.2">
      <c r="A403" s="11"/>
      <c r="B403" s="11"/>
      <c r="C403" s="11"/>
      <c r="D403" s="19"/>
      <c r="I403" s="27"/>
    </row>
    <row r="404" spans="1:9" x14ac:dyDescent="0.2">
      <c r="A404" s="11"/>
      <c r="B404" s="11"/>
      <c r="C404" s="11"/>
      <c r="D404" s="19"/>
      <c r="I404" s="27"/>
    </row>
    <row r="405" spans="1:9" x14ac:dyDescent="0.2">
      <c r="A405" s="11"/>
      <c r="B405" s="11"/>
      <c r="C405" s="11"/>
      <c r="D405" s="19"/>
      <c r="I405" s="27"/>
    </row>
    <row r="406" spans="1:9" x14ac:dyDescent="0.2">
      <c r="A406" s="11"/>
      <c r="B406" s="11"/>
      <c r="C406" s="11"/>
      <c r="D406" s="19"/>
      <c r="I406" s="27"/>
    </row>
    <row r="407" spans="1:9" x14ac:dyDescent="0.2">
      <c r="A407" s="11"/>
      <c r="B407" s="11"/>
      <c r="C407" s="11"/>
      <c r="D407" s="19"/>
      <c r="I407" s="27"/>
    </row>
    <row r="408" spans="1:9" x14ac:dyDescent="0.2">
      <c r="A408" s="11"/>
      <c r="B408" s="11"/>
      <c r="C408" s="11"/>
      <c r="D408" s="19"/>
      <c r="I408" s="27"/>
    </row>
    <row r="409" spans="1:9" x14ac:dyDescent="0.2">
      <c r="A409" s="11"/>
      <c r="B409" s="11"/>
      <c r="C409" s="11"/>
      <c r="D409" s="19"/>
      <c r="I409" s="27"/>
    </row>
    <row r="410" spans="1:9" x14ac:dyDescent="0.2">
      <c r="A410" s="11"/>
      <c r="B410" s="11"/>
      <c r="C410" s="11"/>
      <c r="D410" s="19"/>
      <c r="I410" s="27"/>
    </row>
    <row r="411" spans="1:9" x14ac:dyDescent="0.2">
      <c r="A411" s="11"/>
      <c r="B411" s="11"/>
      <c r="C411" s="11"/>
      <c r="D411" s="19"/>
      <c r="I411" s="27"/>
    </row>
    <row r="412" spans="1:9" x14ac:dyDescent="0.2">
      <c r="A412" s="11"/>
      <c r="B412" s="11"/>
      <c r="C412" s="11"/>
      <c r="D412" s="19"/>
      <c r="I412" s="27"/>
    </row>
    <row r="413" spans="1:9" x14ac:dyDescent="0.2">
      <c r="A413" s="11"/>
      <c r="B413" s="11"/>
      <c r="C413" s="11"/>
      <c r="D413" s="19"/>
      <c r="I413" s="27"/>
    </row>
    <row r="414" spans="1:9" x14ac:dyDescent="0.2">
      <c r="A414" s="11"/>
      <c r="B414" s="11"/>
      <c r="C414" s="11"/>
      <c r="D414" s="19"/>
      <c r="I414" s="27"/>
    </row>
    <row r="415" spans="1:9" x14ac:dyDescent="0.2">
      <c r="A415" s="11"/>
      <c r="B415" s="11"/>
      <c r="C415" s="11"/>
      <c r="D415" s="19"/>
      <c r="I415" s="27"/>
    </row>
    <row r="416" spans="1:9" x14ac:dyDescent="0.2">
      <c r="A416" s="11"/>
      <c r="B416" s="11"/>
      <c r="C416" s="11"/>
      <c r="D416" s="19"/>
      <c r="I416" s="27"/>
    </row>
    <row r="417" spans="1:9" x14ac:dyDescent="0.2">
      <c r="A417" s="11"/>
      <c r="B417" s="11"/>
      <c r="C417" s="11"/>
      <c r="D417" s="19"/>
      <c r="I417" s="27"/>
    </row>
    <row r="418" spans="1:9" x14ac:dyDescent="0.2">
      <c r="A418" s="11"/>
      <c r="B418" s="11"/>
      <c r="C418" s="11"/>
      <c r="D418" s="19"/>
      <c r="I418" s="27"/>
    </row>
    <row r="419" spans="1:9" x14ac:dyDescent="0.2">
      <c r="A419" s="11"/>
      <c r="B419" s="11"/>
      <c r="C419" s="11"/>
      <c r="D419" s="19"/>
      <c r="I419" s="27"/>
    </row>
    <row r="420" spans="1:9" x14ac:dyDescent="0.2">
      <c r="A420" s="11"/>
      <c r="B420" s="11"/>
      <c r="C420" s="11"/>
      <c r="D420" s="19"/>
      <c r="I420" s="27"/>
    </row>
    <row r="421" spans="1:9" x14ac:dyDescent="0.2">
      <c r="A421" s="11"/>
      <c r="B421" s="11"/>
      <c r="C421" s="11"/>
      <c r="D421" s="19"/>
      <c r="I421" s="27"/>
    </row>
    <row r="422" spans="1:9" x14ac:dyDescent="0.2">
      <c r="A422" s="11"/>
      <c r="B422" s="11"/>
      <c r="C422" s="11"/>
      <c r="D422" s="19"/>
      <c r="I422" s="27"/>
    </row>
    <row r="423" spans="1:9" x14ac:dyDescent="0.2">
      <c r="A423" s="11"/>
      <c r="B423" s="11"/>
      <c r="C423" s="11"/>
      <c r="D423" s="19"/>
      <c r="I423" s="27"/>
    </row>
    <row r="424" spans="1:9" x14ac:dyDescent="0.2">
      <c r="A424" s="11"/>
      <c r="B424" s="11"/>
      <c r="C424" s="11"/>
      <c r="D424" s="19"/>
      <c r="I424" s="27"/>
    </row>
    <row r="425" spans="1:9" x14ac:dyDescent="0.2">
      <c r="A425" s="11"/>
      <c r="B425" s="11"/>
      <c r="C425" s="11"/>
      <c r="D425" s="19"/>
      <c r="I425" s="27"/>
    </row>
    <row r="426" spans="1:9" x14ac:dyDescent="0.2">
      <c r="A426" s="11"/>
      <c r="B426" s="11"/>
      <c r="C426" s="11"/>
      <c r="D426" s="19"/>
      <c r="I426" s="27"/>
    </row>
    <row r="427" spans="1:9" x14ac:dyDescent="0.2">
      <c r="A427" s="11"/>
      <c r="B427" s="11"/>
      <c r="C427" s="11"/>
      <c r="D427" s="19"/>
      <c r="I427" s="27"/>
    </row>
    <row r="428" spans="1:9" x14ac:dyDescent="0.2">
      <c r="A428" s="11"/>
      <c r="B428" s="11"/>
      <c r="C428" s="11"/>
      <c r="D428" s="19"/>
      <c r="I428" s="27"/>
    </row>
    <row r="429" spans="1:9" x14ac:dyDescent="0.2">
      <c r="A429" s="11"/>
      <c r="B429" s="11"/>
      <c r="C429" s="11"/>
      <c r="D429" s="19"/>
      <c r="I429" s="27"/>
    </row>
    <row r="430" spans="1:9" x14ac:dyDescent="0.2">
      <c r="A430" s="11"/>
      <c r="B430" s="11"/>
      <c r="C430" s="11"/>
      <c r="D430" s="19"/>
      <c r="I430" s="27"/>
    </row>
    <row r="431" spans="1:9" x14ac:dyDescent="0.2">
      <c r="A431" s="11"/>
      <c r="B431" s="11"/>
      <c r="C431" s="11"/>
      <c r="D431" s="19"/>
      <c r="I431" s="27"/>
    </row>
    <row r="432" spans="1:9" x14ac:dyDescent="0.2">
      <c r="A432" s="11"/>
      <c r="B432" s="11"/>
      <c r="C432" s="11"/>
      <c r="D432" s="19"/>
      <c r="I432" s="27"/>
    </row>
    <row r="433" spans="1:9" x14ac:dyDescent="0.2">
      <c r="A433" s="11"/>
      <c r="B433" s="11"/>
      <c r="C433" s="11"/>
      <c r="D433" s="19"/>
      <c r="I433" s="27"/>
    </row>
    <row r="434" spans="1:9" x14ac:dyDescent="0.2">
      <c r="A434" s="11"/>
      <c r="B434" s="11"/>
      <c r="C434" s="11"/>
      <c r="D434" s="19"/>
      <c r="I434" s="27"/>
    </row>
    <row r="435" spans="1:9" x14ac:dyDescent="0.2">
      <c r="A435" s="11"/>
      <c r="B435" s="11"/>
      <c r="C435" s="11"/>
      <c r="D435" s="19"/>
      <c r="I435" s="27"/>
    </row>
    <row r="436" spans="1:9" x14ac:dyDescent="0.2">
      <c r="A436" s="11"/>
      <c r="B436" s="11"/>
      <c r="C436" s="11"/>
      <c r="D436" s="19"/>
      <c r="I436" s="27"/>
    </row>
    <row r="437" spans="1:9" x14ac:dyDescent="0.2">
      <c r="A437" s="11"/>
      <c r="B437" s="11"/>
      <c r="C437" s="11"/>
      <c r="D437" s="19"/>
      <c r="I437" s="27"/>
    </row>
    <row r="438" spans="1:9" x14ac:dyDescent="0.2">
      <c r="A438" s="11"/>
      <c r="B438" s="11"/>
      <c r="C438" s="11"/>
      <c r="D438" s="19"/>
      <c r="I438" s="27"/>
    </row>
    <row r="439" spans="1:9" x14ac:dyDescent="0.2">
      <c r="A439" s="11"/>
      <c r="B439" s="11"/>
      <c r="C439" s="11"/>
      <c r="D439" s="19"/>
      <c r="I439" s="27"/>
    </row>
    <row r="440" spans="1:9" x14ac:dyDescent="0.2">
      <c r="A440" s="11"/>
      <c r="B440" s="11"/>
      <c r="C440" s="11"/>
      <c r="D440" s="19"/>
      <c r="I440" s="27"/>
    </row>
    <row r="441" spans="1:9" x14ac:dyDescent="0.2">
      <c r="A441" s="11"/>
      <c r="B441" s="11"/>
      <c r="C441" s="11"/>
      <c r="D441" s="19"/>
      <c r="I441" s="27"/>
    </row>
    <row r="442" spans="1:9" x14ac:dyDescent="0.2">
      <c r="A442" s="11"/>
      <c r="B442" s="11"/>
      <c r="C442" s="11"/>
      <c r="D442" s="19"/>
      <c r="I442" s="27"/>
    </row>
    <row r="443" spans="1:9" x14ac:dyDescent="0.2">
      <c r="A443" s="11"/>
      <c r="B443" s="11"/>
      <c r="C443" s="11"/>
      <c r="D443" s="19"/>
      <c r="I443" s="27"/>
    </row>
    <row r="444" spans="1:9" x14ac:dyDescent="0.2">
      <c r="A444" s="11"/>
      <c r="B444" s="11"/>
      <c r="C444" s="11"/>
      <c r="D444" s="19"/>
      <c r="I444" s="27"/>
    </row>
    <row r="445" spans="1:9" x14ac:dyDescent="0.2">
      <c r="A445" s="11"/>
      <c r="B445" s="11"/>
      <c r="C445" s="11"/>
      <c r="D445" s="19"/>
      <c r="I445" s="27"/>
    </row>
    <row r="446" spans="1:9" x14ac:dyDescent="0.2">
      <c r="A446" s="11"/>
      <c r="B446" s="11"/>
      <c r="C446" s="11"/>
      <c r="D446" s="19"/>
      <c r="I446" s="27"/>
    </row>
    <row r="447" spans="1:9" x14ac:dyDescent="0.2">
      <c r="A447" s="11"/>
      <c r="B447" s="11"/>
      <c r="C447" s="11"/>
      <c r="D447" s="19"/>
      <c r="I447" s="27"/>
    </row>
    <row r="448" spans="1:9" x14ac:dyDescent="0.2">
      <c r="A448" s="11"/>
      <c r="B448" s="11"/>
      <c r="C448" s="11"/>
      <c r="D448" s="19"/>
      <c r="I448" s="27"/>
    </row>
    <row r="449" spans="1:9" x14ac:dyDescent="0.2">
      <c r="A449" s="11"/>
      <c r="B449" s="11"/>
      <c r="C449" s="11"/>
      <c r="D449" s="19"/>
      <c r="I449" s="27"/>
    </row>
    <row r="450" spans="1:9" x14ac:dyDescent="0.2">
      <c r="A450" s="11"/>
      <c r="B450" s="11"/>
      <c r="C450" s="11"/>
      <c r="D450" s="19"/>
      <c r="I450" s="27"/>
    </row>
    <row r="451" spans="1:9" x14ac:dyDescent="0.2">
      <c r="A451" s="11"/>
      <c r="B451" s="11"/>
      <c r="C451" s="11"/>
      <c r="D451" s="19"/>
      <c r="I451" s="27"/>
    </row>
    <row r="452" spans="1:9" x14ac:dyDescent="0.2">
      <c r="A452" s="11"/>
      <c r="B452" s="11"/>
      <c r="C452" s="11"/>
      <c r="D452" s="19"/>
      <c r="I452" s="27"/>
    </row>
    <row r="453" spans="1:9" x14ac:dyDescent="0.2">
      <c r="A453" s="11"/>
      <c r="B453" s="11"/>
      <c r="C453" s="11"/>
      <c r="D453" s="19"/>
      <c r="I453" s="27"/>
    </row>
    <row r="454" spans="1:9" x14ac:dyDescent="0.2">
      <c r="A454" s="11"/>
      <c r="B454" s="11"/>
      <c r="C454" s="11"/>
      <c r="D454" s="19"/>
      <c r="I454" s="27"/>
    </row>
    <row r="455" spans="1:9" x14ac:dyDescent="0.2">
      <c r="A455" s="11"/>
      <c r="B455" s="11"/>
      <c r="C455" s="11"/>
      <c r="D455" s="19"/>
      <c r="I455" s="27"/>
    </row>
    <row r="456" spans="1:9" x14ac:dyDescent="0.2">
      <c r="A456" s="11"/>
      <c r="B456" s="11"/>
      <c r="C456" s="11"/>
      <c r="D456" s="19"/>
      <c r="I456" s="27"/>
    </row>
    <row r="457" spans="1:9" x14ac:dyDescent="0.2">
      <c r="A457" s="11"/>
      <c r="B457" s="11"/>
      <c r="C457" s="11"/>
      <c r="D457" s="19"/>
      <c r="I457" s="27"/>
    </row>
    <row r="458" spans="1:9" x14ac:dyDescent="0.2">
      <c r="A458" s="11"/>
      <c r="B458" s="11"/>
      <c r="C458" s="11"/>
      <c r="D458" s="19"/>
      <c r="I458" s="27"/>
    </row>
    <row r="459" spans="1:9" x14ac:dyDescent="0.2">
      <c r="A459" s="11"/>
      <c r="B459" s="14"/>
      <c r="C459" s="14"/>
      <c r="D459" s="19"/>
      <c r="I459" s="27"/>
    </row>
    <row r="460" spans="1:9" x14ac:dyDescent="0.2">
      <c r="A460" s="11"/>
      <c r="B460" s="11"/>
      <c r="C460" s="11"/>
      <c r="D460" s="19"/>
      <c r="I460" s="27"/>
    </row>
    <row r="461" spans="1:9" x14ac:dyDescent="0.2">
      <c r="A461" s="11"/>
      <c r="B461" s="11"/>
      <c r="C461" s="11"/>
      <c r="D461" s="19"/>
      <c r="I461" s="27"/>
    </row>
    <row r="462" spans="1:9" x14ac:dyDescent="0.2">
      <c r="A462" s="11"/>
      <c r="B462" s="11"/>
      <c r="C462" s="11"/>
      <c r="D462" s="19"/>
      <c r="I462" s="27"/>
    </row>
    <row r="463" spans="1:9" x14ac:dyDescent="0.2">
      <c r="A463" s="11"/>
      <c r="D463" s="19"/>
      <c r="I463" s="27"/>
    </row>
    <row r="464" spans="1:9" x14ac:dyDescent="0.2">
      <c r="A464" s="11"/>
      <c r="B464" s="11"/>
      <c r="C464" s="11"/>
      <c r="D464" s="19"/>
      <c r="I464" s="27"/>
    </row>
    <row r="465" spans="1:9" x14ac:dyDescent="0.2">
      <c r="A465" s="11"/>
      <c r="B465" s="11"/>
      <c r="C465" s="11"/>
      <c r="D465" s="19"/>
      <c r="I465" s="27"/>
    </row>
    <row r="466" spans="1:9" x14ac:dyDescent="0.2">
      <c r="A466" s="11"/>
      <c r="B466" s="11"/>
      <c r="C466" s="11"/>
      <c r="D466" s="19"/>
      <c r="I466" s="27"/>
    </row>
    <row r="467" spans="1:9" x14ac:dyDescent="0.2">
      <c r="A467" s="11"/>
      <c r="B467" s="11"/>
      <c r="C467" s="11"/>
      <c r="D467" s="19"/>
      <c r="I467" s="27"/>
    </row>
    <row r="468" spans="1:9" x14ac:dyDescent="0.2">
      <c r="A468" s="11"/>
      <c r="B468" s="11"/>
      <c r="C468" s="11"/>
      <c r="D468" s="19"/>
      <c r="I468" s="27"/>
    </row>
    <row r="469" spans="1:9" x14ac:dyDescent="0.2">
      <c r="A469" s="11"/>
      <c r="B469" s="11"/>
      <c r="C469" s="11"/>
      <c r="D469" s="19"/>
      <c r="I469" s="27"/>
    </row>
    <row r="470" spans="1:9" x14ac:dyDescent="0.2">
      <c r="A470" s="11"/>
      <c r="B470" s="11"/>
      <c r="C470" s="11"/>
      <c r="D470" s="19"/>
      <c r="I470" s="27"/>
    </row>
    <row r="471" spans="1:9" x14ac:dyDescent="0.2">
      <c r="A471" s="11"/>
      <c r="B471" s="14"/>
      <c r="C471" s="14"/>
      <c r="D471" s="19"/>
      <c r="I471" s="27"/>
    </row>
    <row r="472" spans="1:9" x14ac:dyDescent="0.2">
      <c r="A472" s="11"/>
      <c r="B472" s="11"/>
      <c r="C472" s="11"/>
      <c r="D472" s="19"/>
      <c r="I472" s="27"/>
    </row>
    <row r="473" spans="1:9" x14ac:dyDescent="0.2">
      <c r="A473" s="11"/>
      <c r="B473" s="11"/>
      <c r="C473" s="11"/>
      <c r="D473" s="19"/>
      <c r="I473" s="27"/>
    </row>
    <row r="474" spans="1:9" x14ac:dyDescent="0.2">
      <c r="A474" s="11"/>
      <c r="B474" s="14"/>
      <c r="C474" s="14"/>
      <c r="D474" s="19"/>
      <c r="I474" s="27"/>
    </row>
    <row r="475" spans="1:9" x14ac:dyDescent="0.2">
      <c r="A475" s="11"/>
      <c r="B475" s="11"/>
      <c r="C475" s="11"/>
      <c r="D475" s="19"/>
      <c r="I475" s="27"/>
    </row>
    <row r="476" spans="1:9" x14ac:dyDescent="0.2">
      <c r="A476" s="11"/>
      <c r="B476" s="14"/>
      <c r="C476" s="14"/>
      <c r="D476" s="19"/>
      <c r="I476" s="27"/>
    </row>
    <row r="477" spans="1:9" x14ac:dyDescent="0.2">
      <c r="A477" s="11"/>
      <c r="B477" s="11"/>
      <c r="C477" s="11"/>
      <c r="D477" s="19"/>
      <c r="I477" s="27"/>
    </row>
    <row r="478" spans="1:9" x14ac:dyDescent="0.2">
      <c r="A478" s="11"/>
      <c r="B478" s="14"/>
      <c r="C478" s="14"/>
      <c r="D478" s="19"/>
      <c r="I478" s="27"/>
    </row>
    <row r="479" spans="1:9" x14ac:dyDescent="0.2">
      <c r="A479" s="11"/>
      <c r="B479" s="11"/>
      <c r="C479" s="11"/>
      <c r="D479" s="19"/>
      <c r="I479" s="27"/>
    </row>
    <row r="480" spans="1:9" x14ac:dyDescent="0.2">
      <c r="A480" s="11"/>
      <c r="B480" s="11"/>
      <c r="C480" s="11"/>
      <c r="D480" s="19"/>
      <c r="I480" s="27"/>
    </row>
    <row r="481" spans="1:9" x14ac:dyDescent="0.2">
      <c r="A481" s="11"/>
      <c r="B481" s="14"/>
      <c r="C481" s="14"/>
      <c r="D481" s="19"/>
      <c r="I481" s="27"/>
    </row>
    <row r="482" spans="1:9" x14ac:dyDescent="0.2">
      <c r="A482" s="11"/>
      <c r="B482" s="11"/>
      <c r="C482" s="11"/>
      <c r="D482" s="19"/>
      <c r="I482" s="27"/>
    </row>
    <row r="483" spans="1:9" x14ac:dyDescent="0.2">
      <c r="A483" s="11"/>
      <c r="B483" s="11"/>
      <c r="C483" s="11"/>
      <c r="D483" s="19"/>
      <c r="I483" s="27"/>
    </row>
    <row r="484" spans="1:9" x14ac:dyDescent="0.2">
      <c r="A484" s="11"/>
      <c r="B484" s="11"/>
      <c r="C484" s="11"/>
      <c r="D484" s="19"/>
      <c r="I484" s="27"/>
    </row>
    <row r="485" spans="1:9" x14ac:dyDescent="0.2">
      <c r="A485" s="11"/>
      <c r="B485" s="11"/>
      <c r="C485" s="11"/>
      <c r="D485" s="19"/>
      <c r="I485" s="27"/>
    </row>
    <row r="486" spans="1:9" x14ac:dyDescent="0.2">
      <c r="A486" s="11"/>
      <c r="B486" s="11"/>
      <c r="C486" s="11"/>
      <c r="D486" s="19"/>
      <c r="I486" s="27"/>
    </row>
    <row r="487" spans="1:9" x14ac:dyDescent="0.2">
      <c r="A487" s="11"/>
      <c r="B487" s="11"/>
      <c r="C487" s="11"/>
      <c r="D487" s="19"/>
      <c r="I487" s="27"/>
    </row>
    <row r="488" spans="1:9" x14ac:dyDescent="0.2">
      <c r="A488" s="11"/>
      <c r="B488" s="11"/>
      <c r="C488" s="11"/>
      <c r="D488" s="19"/>
      <c r="I488" s="27"/>
    </row>
    <row r="489" spans="1:9" x14ac:dyDescent="0.2">
      <c r="A489" s="11"/>
      <c r="B489" s="11"/>
      <c r="C489" s="11"/>
      <c r="D489" s="19"/>
      <c r="I489" s="27"/>
    </row>
    <row r="490" spans="1:9" x14ac:dyDescent="0.2">
      <c r="A490" s="11"/>
      <c r="B490" s="11"/>
      <c r="C490" s="11"/>
      <c r="D490" s="19"/>
      <c r="I490" s="27"/>
    </row>
    <row r="491" spans="1:9" x14ac:dyDescent="0.2">
      <c r="A491" s="11"/>
      <c r="B491" s="11"/>
      <c r="C491" s="11"/>
      <c r="D491" s="19"/>
      <c r="I491" s="27"/>
    </row>
    <row r="492" spans="1:9" x14ac:dyDescent="0.2">
      <c r="A492" s="11"/>
      <c r="B492" s="11"/>
      <c r="C492" s="11"/>
      <c r="D492" s="19"/>
      <c r="I492" s="27"/>
    </row>
    <row r="493" spans="1:9" x14ac:dyDescent="0.2">
      <c r="A493" s="11"/>
      <c r="B493" s="11"/>
      <c r="C493" s="11"/>
      <c r="D493" s="19"/>
      <c r="I493" s="27"/>
    </row>
    <row r="494" spans="1:9" x14ac:dyDescent="0.2">
      <c r="A494" s="11"/>
      <c r="B494" s="11"/>
      <c r="C494" s="11"/>
      <c r="D494" s="19"/>
      <c r="I494" s="27"/>
    </row>
    <row r="495" spans="1:9" x14ac:dyDescent="0.2">
      <c r="A495" s="11"/>
      <c r="B495" s="11"/>
      <c r="C495" s="11"/>
      <c r="D495" s="19"/>
      <c r="I495" s="27"/>
    </row>
    <row r="496" spans="1:9" x14ac:dyDescent="0.2">
      <c r="A496" s="11"/>
      <c r="B496" s="11"/>
      <c r="C496" s="11"/>
      <c r="D496" s="19"/>
      <c r="I496" s="27"/>
    </row>
    <row r="497" spans="1:9" x14ac:dyDescent="0.2">
      <c r="A497" s="11"/>
      <c r="B497" s="11"/>
      <c r="C497" s="11"/>
      <c r="D497" s="19"/>
      <c r="I497" s="27"/>
    </row>
    <row r="498" spans="1:9" x14ac:dyDescent="0.2">
      <c r="A498" s="11"/>
      <c r="B498" s="11"/>
      <c r="C498" s="11"/>
      <c r="D498" s="19"/>
      <c r="I498" s="27"/>
    </row>
    <row r="499" spans="1:9" x14ac:dyDescent="0.2">
      <c r="A499" s="11"/>
      <c r="B499" s="11"/>
      <c r="C499" s="11"/>
      <c r="D499" s="19"/>
      <c r="I499" s="27"/>
    </row>
    <row r="500" spans="1:9" x14ac:dyDescent="0.2">
      <c r="A500" s="11"/>
      <c r="B500" s="11"/>
      <c r="C500" s="11"/>
      <c r="D500" s="19"/>
      <c r="I500" s="27"/>
    </row>
    <row r="501" spans="1:9" x14ac:dyDescent="0.2">
      <c r="A501" s="11"/>
      <c r="B501" s="11"/>
      <c r="C501" s="11"/>
      <c r="D501" s="19"/>
      <c r="I501" s="27"/>
    </row>
    <row r="502" spans="1:9" x14ac:dyDescent="0.2">
      <c r="A502" s="11"/>
      <c r="B502" s="11"/>
      <c r="C502" s="11"/>
      <c r="D502" s="19"/>
      <c r="I502" s="27"/>
    </row>
    <row r="503" spans="1:9" x14ac:dyDescent="0.2">
      <c r="A503" s="11"/>
      <c r="B503" s="11"/>
      <c r="C503" s="11"/>
      <c r="D503" s="19"/>
      <c r="I503" s="27"/>
    </row>
    <row r="504" spans="1:9" x14ac:dyDescent="0.2">
      <c r="A504" s="11"/>
      <c r="B504" s="11"/>
      <c r="C504" s="11"/>
      <c r="D504" s="19"/>
      <c r="I504" s="27"/>
    </row>
    <row r="505" spans="1:9" x14ac:dyDescent="0.2">
      <c r="A505" s="11"/>
      <c r="B505" s="11"/>
      <c r="C505" s="11"/>
      <c r="D505" s="19"/>
      <c r="I505" s="27"/>
    </row>
    <row r="506" spans="1:9" x14ac:dyDescent="0.2">
      <c r="A506" s="11"/>
      <c r="B506" s="11"/>
      <c r="C506" s="11"/>
      <c r="D506" s="19"/>
      <c r="I506" s="27"/>
    </row>
    <row r="507" spans="1:9" x14ac:dyDescent="0.2">
      <c r="A507" s="11"/>
      <c r="B507" s="11"/>
      <c r="C507" s="11"/>
      <c r="D507" s="19"/>
      <c r="I507" s="27"/>
    </row>
    <row r="508" spans="1:9" x14ac:dyDescent="0.2">
      <c r="A508" s="11"/>
      <c r="B508" s="11"/>
      <c r="C508" s="11"/>
      <c r="D508" s="19"/>
      <c r="I508" s="27"/>
    </row>
    <row r="509" spans="1:9" x14ac:dyDescent="0.2">
      <c r="A509" s="11"/>
      <c r="B509" s="11"/>
      <c r="C509" s="11"/>
      <c r="D509" s="19"/>
      <c r="I509" s="27"/>
    </row>
    <row r="510" spans="1:9" x14ac:dyDescent="0.2">
      <c r="A510" s="11"/>
      <c r="B510" s="11"/>
      <c r="C510" s="11"/>
      <c r="D510" s="19"/>
      <c r="I510" s="27"/>
    </row>
    <row r="511" spans="1:9" x14ac:dyDescent="0.2">
      <c r="A511" s="11"/>
      <c r="B511" s="11"/>
      <c r="C511" s="11"/>
      <c r="D511" s="19"/>
      <c r="I511" s="27"/>
    </row>
    <row r="512" spans="1:9" x14ac:dyDescent="0.2">
      <c r="A512" s="11"/>
      <c r="B512" s="11"/>
      <c r="C512" s="11"/>
      <c r="D512" s="19"/>
      <c r="I512" s="27"/>
    </row>
    <row r="513" spans="1:9" x14ac:dyDescent="0.2">
      <c r="A513" s="11"/>
      <c r="B513" s="11"/>
      <c r="C513" s="11"/>
      <c r="D513" s="19"/>
      <c r="I513" s="27"/>
    </row>
    <row r="514" spans="1:9" x14ac:dyDescent="0.2">
      <c r="A514" s="11"/>
      <c r="B514" s="11"/>
      <c r="C514" s="11"/>
      <c r="D514" s="19"/>
      <c r="I514" s="27"/>
    </row>
    <row r="515" spans="1:9" x14ac:dyDescent="0.2">
      <c r="A515" s="11"/>
      <c r="B515" s="11"/>
      <c r="C515" s="11"/>
      <c r="D515" s="19"/>
      <c r="I515" s="27"/>
    </row>
    <row r="516" spans="1:9" x14ac:dyDescent="0.2">
      <c r="A516" s="11"/>
      <c r="B516" s="11"/>
      <c r="C516" s="11"/>
      <c r="D516" s="19"/>
      <c r="I516" s="27"/>
    </row>
    <row r="517" spans="1:9" x14ac:dyDescent="0.2">
      <c r="A517" s="11"/>
      <c r="B517" s="11"/>
      <c r="C517" s="11"/>
      <c r="D517" s="19"/>
      <c r="I517" s="27"/>
    </row>
    <row r="518" spans="1:9" x14ac:dyDescent="0.2">
      <c r="A518" s="11"/>
      <c r="B518" s="11"/>
      <c r="C518" s="11"/>
      <c r="D518" s="19"/>
      <c r="I518" s="27"/>
    </row>
    <row r="519" spans="1:9" x14ac:dyDescent="0.2">
      <c r="A519" s="11"/>
      <c r="B519" s="11"/>
      <c r="C519" s="11"/>
      <c r="D519" s="19"/>
      <c r="I519" s="27"/>
    </row>
    <row r="520" spans="1:9" x14ac:dyDescent="0.2">
      <c r="A520" s="11"/>
      <c r="B520" s="11"/>
      <c r="C520" s="11"/>
      <c r="D520" s="19"/>
      <c r="I520" s="27"/>
    </row>
    <row r="521" spans="1:9" x14ac:dyDescent="0.2">
      <c r="A521" s="11"/>
      <c r="B521" s="11"/>
      <c r="C521" s="11"/>
      <c r="D521" s="19"/>
      <c r="I521" s="27"/>
    </row>
    <row r="522" spans="1:9" x14ac:dyDescent="0.2">
      <c r="A522" s="11"/>
      <c r="B522" s="11"/>
      <c r="C522" s="11"/>
      <c r="D522" s="19"/>
      <c r="I522" s="27"/>
    </row>
    <row r="523" spans="1:9" x14ac:dyDescent="0.2">
      <c r="A523" s="11"/>
      <c r="B523" s="11"/>
      <c r="C523" s="11"/>
      <c r="D523" s="19"/>
      <c r="I523" s="27"/>
    </row>
    <row r="524" spans="1:9" x14ac:dyDescent="0.2">
      <c r="A524" s="11"/>
      <c r="B524" s="11"/>
      <c r="C524" s="11"/>
      <c r="D524" s="19"/>
      <c r="I524" s="27"/>
    </row>
    <row r="525" spans="1:9" x14ac:dyDescent="0.2">
      <c r="A525" s="11"/>
      <c r="B525" s="11"/>
      <c r="C525" s="11"/>
      <c r="D525" s="19"/>
      <c r="I525" s="27"/>
    </row>
    <row r="526" spans="1:9" x14ac:dyDescent="0.2">
      <c r="A526" s="11"/>
      <c r="B526" s="11"/>
      <c r="C526" s="11"/>
      <c r="D526" s="19"/>
      <c r="I526" s="27"/>
    </row>
    <row r="527" spans="1:9" x14ac:dyDescent="0.2">
      <c r="A527" s="11"/>
      <c r="B527" s="11"/>
      <c r="C527" s="11"/>
      <c r="D527" s="19"/>
      <c r="I527" s="27"/>
    </row>
    <row r="528" spans="1:9" x14ac:dyDescent="0.2">
      <c r="A528" s="11"/>
      <c r="B528" s="11"/>
      <c r="C528" s="11"/>
      <c r="D528" s="19"/>
      <c r="I528" s="27"/>
    </row>
    <row r="529" spans="1:9" x14ac:dyDescent="0.2">
      <c r="A529" s="11"/>
      <c r="B529" s="11"/>
      <c r="C529" s="11"/>
      <c r="D529" s="19"/>
      <c r="I529" s="27"/>
    </row>
    <row r="530" spans="1:9" x14ac:dyDescent="0.2">
      <c r="A530" s="11"/>
      <c r="B530" s="11"/>
      <c r="C530" s="11"/>
      <c r="D530" s="19"/>
      <c r="I530" s="27"/>
    </row>
    <row r="531" spans="1:9" x14ac:dyDescent="0.2">
      <c r="A531" s="11"/>
      <c r="B531" s="11"/>
      <c r="C531" s="11"/>
      <c r="D531" s="19"/>
      <c r="I531" s="27"/>
    </row>
    <row r="532" spans="1:9" x14ac:dyDescent="0.2">
      <c r="A532" s="11"/>
      <c r="B532" s="11"/>
      <c r="C532" s="11"/>
      <c r="D532" s="19"/>
      <c r="I532" s="27"/>
    </row>
    <row r="533" spans="1:9" x14ac:dyDescent="0.2">
      <c r="A533" s="11"/>
      <c r="B533" s="11"/>
      <c r="C533" s="11"/>
      <c r="D533" s="19"/>
      <c r="I533" s="27"/>
    </row>
    <row r="534" spans="1:9" x14ac:dyDescent="0.2">
      <c r="A534" s="11"/>
      <c r="B534" s="11"/>
      <c r="C534" s="11"/>
      <c r="D534" s="19"/>
      <c r="I534" s="27"/>
    </row>
    <row r="535" spans="1:9" x14ac:dyDescent="0.2">
      <c r="A535" s="11"/>
      <c r="B535" s="11"/>
      <c r="C535" s="11"/>
      <c r="D535" s="19"/>
      <c r="I535" s="27"/>
    </row>
    <row r="536" spans="1:9" x14ac:dyDescent="0.2">
      <c r="A536" s="11"/>
      <c r="B536" s="11"/>
      <c r="C536" s="11"/>
      <c r="D536" s="19"/>
      <c r="I536" s="27"/>
    </row>
    <row r="537" spans="1:9" x14ac:dyDescent="0.2">
      <c r="A537" s="11"/>
      <c r="B537" s="11"/>
      <c r="C537" s="11"/>
      <c r="D537" s="19"/>
      <c r="I537" s="27"/>
    </row>
    <row r="538" spans="1:9" x14ac:dyDescent="0.2">
      <c r="A538" s="11"/>
      <c r="B538" s="11"/>
      <c r="C538" s="11"/>
      <c r="D538" s="19"/>
      <c r="I538" s="27"/>
    </row>
    <row r="539" spans="1:9" x14ac:dyDescent="0.2">
      <c r="A539" s="11"/>
      <c r="B539" s="11"/>
      <c r="C539" s="11"/>
      <c r="D539" s="19"/>
      <c r="I539" s="27"/>
    </row>
    <row r="540" spans="1:9" x14ac:dyDescent="0.2">
      <c r="A540" s="11"/>
      <c r="B540" s="11"/>
      <c r="C540" s="11"/>
      <c r="D540" s="19"/>
      <c r="I540" s="27"/>
    </row>
    <row r="541" spans="1:9" x14ac:dyDescent="0.2">
      <c r="A541" s="11"/>
      <c r="B541" s="11"/>
      <c r="C541" s="11"/>
      <c r="D541" s="19"/>
      <c r="I541" s="27"/>
    </row>
    <row r="542" spans="1:9" x14ac:dyDescent="0.2">
      <c r="A542" s="11"/>
      <c r="B542" s="11"/>
      <c r="C542" s="11"/>
      <c r="D542" s="19"/>
      <c r="I542" s="27"/>
    </row>
    <row r="543" spans="1:9" x14ac:dyDescent="0.2">
      <c r="A543" s="11"/>
      <c r="B543" s="11"/>
      <c r="C543" s="11"/>
      <c r="D543" s="19"/>
      <c r="I543" s="27"/>
    </row>
    <row r="544" spans="1:9" x14ac:dyDescent="0.2">
      <c r="A544" s="11"/>
      <c r="B544" s="11"/>
      <c r="C544" s="11"/>
      <c r="D544" s="19"/>
      <c r="I544" s="27"/>
    </row>
    <row r="545" spans="1:9" x14ac:dyDescent="0.2">
      <c r="A545" s="11"/>
      <c r="B545" s="11"/>
      <c r="C545" s="11"/>
      <c r="D545" s="19"/>
      <c r="I545" s="27"/>
    </row>
    <row r="546" spans="1:9" x14ac:dyDescent="0.2">
      <c r="A546" s="11"/>
      <c r="B546" s="11"/>
      <c r="C546" s="11"/>
      <c r="D546" s="19"/>
      <c r="I546" s="27"/>
    </row>
    <row r="547" spans="1:9" x14ac:dyDescent="0.2">
      <c r="A547" s="11"/>
      <c r="B547" s="11"/>
      <c r="C547" s="11"/>
      <c r="D547" s="19"/>
      <c r="I547" s="27"/>
    </row>
    <row r="548" spans="1:9" x14ac:dyDescent="0.2">
      <c r="A548" s="11"/>
      <c r="B548" s="11"/>
      <c r="C548" s="11"/>
      <c r="D548" s="19"/>
      <c r="I548" s="27"/>
    </row>
    <row r="549" spans="1:9" x14ac:dyDescent="0.2">
      <c r="A549" s="11"/>
      <c r="B549" s="11"/>
      <c r="C549" s="11"/>
      <c r="D549" s="19"/>
      <c r="I549" s="27"/>
    </row>
    <row r="550" spans="1:9" x14ac:dyDescent="0.2">
      <c r="A550" s="11"/>
      <c r="B550" s="14"/>
      <c r="C550" s="14"/>
      <c r="D550" s="19"/>
      <c r="I550" s="27"/>
    </row>
    <row r="551" spans="1:9" x14ac:dyDescent="0.2">
      <c r="A551" s="11"/>
      <c r="B551" s="11"/>
      <c r="C551" s="11"/>
      <c r="D551" s="19"/>
      <c r="I551" s="27"/>
    </row>
    <row r="552" spans="1:9" x14ac:dyDescent="0.2">
      <c r="A552" s="11"/>
      <c r="B552" s="11"/>
      <c r="C552" s="11"/>
      <c r="D552" s="19"/>
      <c r="I552" s="27"/>
    </row>
    <row r="553" spans="1:9" x14ac:dyDescent="0.2">
      <c r="A553" s="11"/>
      <c r="B553" s="11"/>
      <c r="C553" s="11"/>
      <c r="D553" s="19"/>
      <c r="I553" s="27"/>
    </row>
    <row r="554" spans="1:9" x14ac:dyDescent="0.2">
      <c r="A554" s="11"/>
      <c r="B554" s="11"/>
      <c r="C554" s="11"/>
      <c r="D554" s="19"/>
      <c r="I554" s="27"/>
    </row>
    <row r="555" spans="1:9" x14ac:dyDescent="0.2">
      <c r="A555" s="11"/>
      <c r="B555" s="11"/>
      <c r="C555" s="11"/>
      <c r="D555" s="19"/>
      <c r="I555" s="27"/>
    </row>
    <row r="556" spans="1:9" x14ac:dyDescent="0.2">
      <c r="A556" s="11"/>
      <c r="B556" s="11"/>
      <c r="C556" s="11"/>
      <c r="D556" s="19"/>
      <c r="I556" s="27"/>
    </row>
    <row r="557" spans="1:9" x14ac:dyDescent="0.2">
      <c r="A557" s="11"/>
      <c r="B557" s="11"/>
      <c r="C557" s="11"/>
      <c r="D557" s="19"/>
      <c r="I557" s="27"/>
    </row>
    <row r="558" spans="1:9" x14ac:dyDescent="0.2">
      <c r="A558" s="11"/>
      <c r="B558" s="11"/>
      <c r="C558" s="11"/>
      <c r="D558" s="19"/>
      <c r="I558" s="27"/>
    </row>
    <row r="559" spans="1:9" x14ac:dyDescent="0.2">
      <c r="A559" s="11"/>
      <c r="B559" s="11"/>
      <c r="C559" s="11"/>
      <c r="D559" s="19"/>
      <c r="I559" s="27"/>
    </row>
    <row r="560" spans="1:9" x14ac:dyDescent="0.2">
      <c r="A560" s="11"/>
      <c r="B560" s="11"/>
      <c r="C560" s="11"/>
      <c r="D560" s="19"/>
      <c r="I560" s="27"/>
    </row>
    <row r="561" spans="1:9" x14ac:dyDescent="0.2">
      <c r="A561" s="11"/>
      <c r="B561" s="14"/>
      <c r="C561" s="14"/>
      <c r="D561" s="19"/>
      <c r="I561" s="27"/>
    </row>
    <row r="562" spans="1:9" x14ac:dyDescent="0.2">
      <c r="A562" s="11"/>
      <c r="B562" s="11"/>
      <c r="C562" s="11"/>
      <c r="D562" s="19"/>
      <c r="I562" s="27"/>
    </row>
    <row r="563" spans="1:9" x14ac:dyDescent="0.2">
      <c r="A563" s="11"/>
      <c r="B563" s="14"/>
      <c r="C563" s="14"/>
      <c r="D563" s="19"/>
      <c r="I563" s="27"/>
    </row>
    <row r="564" spans="1:9" x14ac:dyDescent="0.2">
      <c r="A564" s="11"/>
      <c r="B564" s="11"/>
      <c r="C564" s="11"/>
      <c r="D564" s="19"/>
      <c r="I564" s="27"/>
    </row>
    <row r="565" spans="1:9" x14ac:dyDescent="0.2">
      <c r="A565" s="11"/>
      <c r="B565" s="11"/>
      <c r="C565" s="11"/>
      <c r="D565" s="19"/>
      <c r="I565" s="27"/>
    </row>
    <row r="566" spans="1:9" x14ac:dyDescent="0.2">
      <c r="A566" s="11"/>
      <c r="B566" s="14"/>
      <c r="C566" s="14"/>
      <c r="D566" s="19"/>
      <c r="I566" s="27"/>
    </row>
    <row r="567" spans="1:9" x14ac:dyDescent="0.2">
      <c r="A567" s="11"/>
      <c r="B567" s="11"/>
      <c r="C567" s="11"/>
      <c r="D567" s="19"/>
      <c r="I567" s="27"/>
    </row>
    <row r="568" spans="1:9" x14ac:dyDescent="0.2">
      <c r="A568" s="11"/>
      <c r="B568" s="11"/>
      <c r="C568" s="11"/>
      <c r="D568" s="19"/>
      <c r="I568" s="27"/>
    </row>
    <row r="569" spans="1:9" x14ac:dyDescent="0.2">
      <c r="A569" s="11"/>
      <c r="B569" s="11"/>
      <c r="C569" s="11"/>
      <c r="D569" s="19"/>
      <c r="I569" s="27"/>
    </row>
    <row r="570" spans="1:9" x14ac:dyDescent="0.2">
      <c r="A570" s="11"/>
      <c r="B570" s="14"/>
      <c r="C570" s="14"/>
      <c r="D570" s="19"/>
      <c r="I570" s="27"/>
    </row>
    <row r="571" spans="1:9" x14ac:dyDescent="0.2">
      <c r="A571" s="11"/>
      <c r="B571" s="11"/>
      <c r="C571" s="11"/>
      <c r="D571" s="19"/>
      <c r="I571" s="27"/>
    </row>
    <row r="572" spans="1:9" x14ac:dyDescent="0.2">
      <c r="A572" s="11"/>
      <c r="D572" s="19"/>
      <c r="I572" s="27"/>
    </row>
    <row r="573" spans="1:9" x14ac:dyDescent="0.2">
      <c r="A573" s="11"/>
      <c r="B573" s="11"/>
      <c r="C573" s="11"/>
      <c r="D573" s="19"/>
      <c r="I573" s="27"/>
    </row>
    <row r="574" spans="1:9" x14ac:dyDescent="0.2">
      <c r="A574" s="11"/>
      <c r="B574" s="11"/>
      <c r="C574" s="11"/>
      <c r="D574" s="19"/>
      <c r="I574" s="27"/>
    </row>
    <row r="575" spans="1:9" x14ac:dyDescent="0.2">
      <c r="A575" s="11"/>
      <c r="B575" s="11"/>
      <c r="C575" s="11"/>
      <c r="D575" s="19"/>
      <c r="I575" s="27"/>
    </row>
    <row r="576" spans="1:9" x14ac:dyDescent="0.2">
      <c r="A576" s="11"/>
      <c r="B576" s="14"/>
      <c r="C576" s="14"/>
      <c r="D576" s="19"/>
      <c r="I576" s="27"/>
    </row>
    <row r="577" spans="1:9" x14ac:dyDescent="0.2">
      <c r="A577" s="11"/>
      <c r="B577" s="11"/>
      <c r="C577" s="11"/>
      <c r="D577" s="19"/>
      <c r="I577" s="27"/>
    </row>
    <row r="578" spans="1:9" x14ac:dyDescent="0.2">
      <c r="A578" s="11"/>
      <c r="B578" s="14"/>
      <c r="C578" s="14"/>
      <c r="D578" s="19"/>
      <c r="I578" s="27"/>
    </row>
    <row r="579" spans="1:9" x14ac:dyDescent="0.2">
      <c r="A579" s="11"/>
      <c r="B579" s="11"/>
      <c r="C579" s="11"/>
      <c r="D579" s="19"/>
      <c r="I579" s="27"/>
    </row>
    <row r="580" spans="1:9" x14ac:dyDescent="0.2">
      <c r="A580" s="11"/>
      <c r="B580" s="11"/>
      <c r="C580" s="11"/>
      <c r="D580" s="19"/>
      <c r="I580" s="27"/>
    </row>
    <row r="581" spans="1:9" x14ac:dyDescent="0.2">
      <c r="A581" s="11"/>
      <c r="B581" s="11"/>
      <c r="C581" s="11"/>
      <c r="D581" s="19"/>
      <c r="I581" s="27"/>
    </row>
    <row r="582" spans="1:9" x14ac:dyDescent="0.2">
      <c r="A582" s="11"/>
      <c r="B582" s="11"/>
      <c r="C582" s="11"/>
      <c r="D582" s="19"/>
      <c r="I582" s="27"/>
    </row>
    <row r="583" spans="1:9" x14ac:dyDescent="0.2">
      <c r="A583" s="11"/>
      <c r="B583" s="11"/>
      <c r="C583" s="11"/>
      <c r="D583" s="19"/>
      <c r="I583" s="27"/>
    </row>
    <row r="584" spans="1:9" x14ac:dyDescent="0.2">
      <c r="A584" s="11"/>
      <c r="B584" s="11"/>
      <c r="C584" s="11"/>
      <c r="D584" s="19"/>
      <c r="I584" s="27"/>
    </row>
    <row r="585" spans="1:9" x14ac:dyDescent="0.2">
      <c r="A585" s="11"/>
      <c r="B585" s="11"/>
      <c r="C585" s="11"/>
      <c r="D585" s="19"/>
      <c r="I585" s="27"/>
    </row>
    <row r="586" spans="1:9" x14ac:dyDescent="0.2">
      <c r="A586" s="11"/>
      <c r="B586" s="11"/>
      <c r="C586" s="11"/>
      <c r="D586" s="19"/>
      <c r="I586" s="27"/>
    </row>
    <row r="587" spans="1:9" x14ac:dyDescent="0.2">
      <c r="A587" s="11"/>
      <c r="B587" s="11"/>
      <c r="C587" s="11"/>
      <c r="D587" s="19"/>
      <c r="I587" s="27"/>
    </row>
    <row r="588" spans="1:9" x14ac:dyDescent="0.2">
      <c r="A588" s="11"/>
      <c r="B588" s="11"/>
      <c r="C588" s="11"/>
      <c r="D588" s="19"/>
      <c r="I588" s="27"/>
    </row>
    <row r="589" spans="1:9" x14ac:dyDescent="0.2">
      <c r="A589" s="11"/>
      <c r="B589" s="11"/>
      <c r="C589" s="11"/>
      <c r="D589" s="19"/>
      <c r="I589" s="27"/>
    </row>
    <row r="590" spans="1:9" x14ac:dyDescent="0.2">
      <c r="A590" s="11"/>
      <c r="B590" s="11"/>
      <c r="C590" s="11"/>
      <c r="D590" s="19"/>
      <c r="I590" s="27"/>
    </row>
    <row r="591" spans="1:9" x14ac:dyDescent="0.2">
      <c r="A591" s="11"/>
      <c r="B591" s="11"/>
      <c r="C591" s="11"/>
      <c r="D591" s="19"/>
      <c r="I591" s="27"/>
    </row>
    <row r="592" spans="1:9" x14ac:dyDescent="0.2">
      <c r="A592" s="11"/>
      <c r="B592" s="11"/>
      <c r="C592" s="11"/>
      <c r="D592" s="19"/>
      <c r="I592" s="27"/>
    </row>
    <row r="593" spans="1:9" x14ac:dyDescent="0.2">
      <c r="A593" s="11"/>
      <c r="B593" s="11"/>
      <c r="C593" s="11"/>
      <c r="D593" s="19"/>
      <c r="I593" s="27"/>
    </row>
    <row r="594" spans="1:9" x14ac:dyDescent="0.2">
      <c r="A594" s="11"/>
      <c r="B594" s="11"/>
      <c r="C594" s="11"/>
      <c r="D594" s="19"/>
      <c r="I594" s="27"/>
    </row>
    <row r="595" spans="1:9" x14ac:dyDescent="0.2">
      <c r="A595" s="11"/>
      <c r="B595" s="11"/>
      <c r="C595" s="11"/>
      <c r="D595" s="19"/>
      <c r="I595" s="27"/>
    </row>
    <row r="596" spans="1:9" x14ac:dyDescent="0.2">
      <c r="A596" s="11"/>
      <c r="B596" s="11"/>
      <c r="C596" s="11"/>
      <c r="D596" s="19"/>
      <c r="I596" s="27"/>
    </row>
    <row r="597" spans="1:9" x14ac:dyDescent="0.2">
      <c r="A597" s="11"/>
      <c r="B597" s="11"/>
      <c r="C597" s="11"/>
      <c r="D597" s="19"/>
      <c r="I597" s="27"/>
    </row>
    <row r="598" spans="1:9" x14ac:dyDescent="0.2">
      <c r="A598" s="11"/>
      <c r="B598" s="11"/>
      <c r="C598" s="11"/>
      <c r="D598" s="19"/>
      <c r="I598" s="27"/>
    </row>
    <row r="599" spans="1:9" x14ac:dyDescent="0.2">
      <c r="A599" s="11"/>
      <c r="B599" s="11"/>
      <c r="C599" s="11"/>
      <c r="D599" s="19"/>
      <c r="I599" s="27"/>
    </row>
    <row r="600" spans="1:9" x14ac:dyDescent="0.2">
      <c r="A600" s="11"/>
      <c r="B600" s="11"/>
      <c r="C600" s="11"/>
      <c r="D600" s="19"/>
      <c r="I600" s="27"/>
    </row>
    <row r="601" spans="1:9" x14ac:dyDescent="0.2">
      <c r="A601" s="11"/>
      <c r="B601" s="11"/>
      <c r="C601" s="11"/>
      <c r="D601" s="19"/>
      <c r="I601" s="27"/>
    </row>
    <row r="602" spans="1:9" x14ac:dyDescent="0.2">
      <c r="A602" s="11"/>
      <c r="B602" s="11"/>
      <c r="C602" s="11"/>
      <c r="D602" s="19"/>
      <c r="I602" s="27"/>
    </row>
    <row r="603" spans="1:9" x14ac:dyDescent="0.2">
      <c r="A603" s="11"/>
      <c r="B603" s="11"/>
      <c r="C603" s="11"/>
      <c r="D603" s="19"/>
      <c r="I603" s="27"/>
    </row>
    <row r="604" spans="1:9" x14ac:dyDescent="0.2">
      <c r="A604" s="11"/>
      <c r="B604" s="11"/>
      <c r="C604" s="11"/>
      <c r="D604" s="19"/>
      <c r="I604" s="27"/>
    </row>
    <row r="605" spans="1:9" x14ac:dyDescent="0.2">
      <c r="A605" s="11"/>
      <c r="B605" s="11"/>
      <c r="C605" s="11"/>
      <c r="D605" s="19"/>
      <c r="I605" s="27"/>
    </row>
    <row r="606" spans="1:9" x14ac:dyDescent="0.2">
      <c r="A606" s="11"/>
      <c r="B606" s="11"/>
      <c r="C606" s="11"/>
      <c r="D606" s="19"/>
      <c r="I606" s="27"/>
    </row>
    <row r="607" spans="1:9" x14ac:dyDescent="0.2">
      <c r="A607" s="11"/>
      <c r="B607" s="11"/>
      <c r="C607" s="11"/>
      <c r="D607" s="19"/>
      <c r="I607" s="27"/>
    </row>
    <row r="608" spans="1:9" x14ac:dyDescent="0.2">
      <c r="A608" s="11"/>
      <c r="B608" s="11"/>
      <c r="C608" s="11"/>
      <c r="D608" s="19"/>
      <c r="I608" s="27"/>
    </row>
    <row r="609" spans="1:9" x14ac:dyDescent="0.2">
      <c r="A609" s="11"/>
      <c r="B609" s="11"/>
      <c r="C609" s="11"/>
      <c r="D609" s="19"/>
      <c r="I609" s="27"/>
    </row>
    <row r="610" spans="1:9" x14ac:dyDescent="0.2">
      <c r="A610" s="11"/>
      <c r="B610" s="11"/>
      <c r="C610" s="11"/>
      <c r="D610" s="19"/>
      <c r="I610" s="27"/>
    </row>
    <row r="611" spans="1:9" x14ac:dyDescent="0.2">
      <c r="A611" s="11"/>
      <c r="B611" s="11"/>
      <c r="C611" s="11"/>
      <c r="D611" s="19"/>
      <c r="I611" s="27"/>
    </row>
    <row r="612" spans="1:9" x14ac:dyDescent="0.2">
      <c r="A612" s="11"/>
      <c r="B612" s="11"/>
      <c r="C612" s="11"/>
      <c r="D612" s="19"/>
      <c r="I612" s="27"/>
    </row>
    <row r="613" spans="1:9" x14ac:dyDescent="0.2">
      <c r="A613" s="11"/>
      <c r="B613" s="11"/>
      <c r="C613" s="11"/>
      <c r="D613" s="19"/>
      <c r="I613" s="27"/>
    </row>
    <row r="614" spans="1:9" x14ac:dyDescent="0.2">
      <c r="A614" s="11"/>
      <c r="B614" s="11"/>
      <c r="C614" s="11"/>
      <c r="D614" s="19"/>
      <c r="I614" s="27"/>
    </row>
    <row r="615" spans="1:9" x14ac:dyDescent="0.2">
      <c r="A615" s="11"/>
      <c r="B615" s="11"/>
      <c r="C615" s="11"/>
      <c r="D615" s="19"/>
      <c r="I615" s="27"/>
    </row>
    <row r="616" spans="1:9" x14ac:dyDescent="0.2">
      <c r="A616" s="11"/>
      <c r="B616" s="11"/>
      <c r="C616" s="11"/>
      <c r="D616" s="19"/>
      <c r="I616" s="27"/>
    </row>
    <row r="617" spans="1:9" x14ac:dyDescent="0.2">
      <c r="A617" s="11"/>
      <c r="B617" s="11"/>
      <c r="C617" s="11"/>
      <c r="D617" s="19"/>
      <c r="I617" s="27"/>
    </row>
    <row r="618" spans="1:9" x14ac:dyDescent="0.2">
      <c r="A618" s="11"/>
      <c r="B618" s="11"/>
      <c r="C618" s="11"/>
      <c r="D618" s="19"/>
      <c r="I618" s="27"/>
    </row>
    <row r="619" spans="1:9" x14ac:dyDescent="0.2">
      <c r="A619" s="11"/>
      <c r="B619" s="11"/>
      <c r="C619" s="11"/>
      <c r="D619" s="19"/>
      <c r="I619" s="27"/>
    </row>
    <row r="620" spans="1:9" x14ac:dyDescent="0.2">
      <c r="A620" s="11"/>
      <c r="B620" s="11"/>
      <c r="C620" s="11"/>
      <c r="D620" s="19"/>
      <c r="I620" s="27"/>
    </row>
    <row r="621" spans="1:9" x14ac:dyDescent="0.2">
      <c r="A621" s="11"/>
      <c r="B621" s="11"/>
      <c r="C621" s="11"/>
      <c r="D621" s="19"/>
      <c r="I621" s="27"/>
    </row>
    <row r="622" spans="1:9" x14ac:dyDescent="0.2">
      <c r="A622" s="11"/>
      <c r="B622" s="11"/>
      <c r="C622" s="11"/>
      <c r="D622" s="19"/>
      <c r="I622" s="27"/>
    </row>
    <row r="623" spans="1:9" x14ac:dyDescent="0.2">
      <c r="A623" s="11"/>
      <c r="B623" s="11"/>
      <c r="C623" s="11"/>
      <c r="D623" s="19"/>
      <c r="I623" s="27"/>
    </row>
    <row r="624" spans="1:9" x14ac:dyDescent="0.2">
      <c r="A624" s="11"/>
      <c r="B624" s="11"/>
      <c r="C624" s="11"/>
      <c r="D624" s="19"/>
      <c r="I624" s="27"/>
    </row>
    <row r="625" spans="1:9" x14ac:dyDescent="0.2">
      <c r="A625" s="17"/>
      <c r="B625" s="11"/>
      <c r="C625" s="11"/>
      <c r="D625" s="19"/>
      <c r="I625" s="27"/>
    </row>
    <row r="626" spans="1:9" x14ac:dyDescent="0.2">
      <c r="A626" s="17"/>
      <c r="B626" s="11"/>
      <c r="C626" s="11"/>
      <c r="D626" s="19"/>
      <c r="I626" s="27"/>
    </row>
    <row r="627" spans="1:9" x14ac:dyDescent="0.2">
      <c r="A627" s="11"/>
      <c r="B627" s="11"/>
      <c r="C627" s="11"/>
      <c r="D627" s="19"/>
      <c r="I627" s="27"/>
    </row>
    <row r="628" spans="1:9" x14ac:dyDescent="0.2">
      <c r="A628" s="11"/>
      <c r="B628" s="11"/>
      <c r="C628" s="11"/>
      <c r="D628" s="19"/>
      <c r="I628" s="27"/>
    </row>
    <row r="629" spans="1:9" x14ac:dyDescent="0.2">
      <c r="A629" s="11"/>
      <c r="B629" s="11"/>
      <c r="C629" s="11"/>
      <c r="D629" s="19"/>
      <c r="I629" s="27"/>
    </row>
    <row r="630" spans="1:9" x14ac:dyDescent="0.2">
      <c r="A630" s="11"/>
      <c r="B630" s="11"/>
      <c r="C630" s="11"/>
      <c r="D630" s="19"/>
      <c r="I630" s="27"/>
    </row>
    <row r="631" spans="1:9" x14ac:dyDescent="0.2">
      <c r="A631" s="11"/>
      <c r="B631" s="11"/>
      <c r="C631" s="11"/>
      <c r="D631" s="19"/>
      <c r="I631" s="27"/>
    </row>
    <row r="632" spans="1:9" x14ac:dyDescent="0.2">
      <c r="A632" s="11"/>
      <c r="B632" s="11"/>
      <c r="C632" s="11"/>
      <c r="D632" s="19"/>
      <c r="I632" s="27"/>
    </row>
    <row r="633" spans="1:9" x14ac:dyDescent="0.2">
      <c r="A633" s="11"/>
      <c r="B633" s="11"/>
      <c r="C633" s="11"/>
      <c r="D633" s="19"/>
      <c r="I633" s="27"/>
    </row>
    <row r="634" spans="1:9" x14ac:dyDescent="0.2">
      <c r="A634" s="11"/>
      <c r="B634" s="11"/>
      <c r="C634" s="11"/>
      <c r="D634" s="19"/>
      <c r="I634" s="27"/>
    </row>
    <row r="635" spans="1:9" x14ac:dyDescent="0.2">
      <c r="A635" s="11"/>
      <c r="B635" s="11"/>
      <c r="C635" s="11"/>
      <c r="D635" s="19"/>
      <c r="I635" s="27"/>
    </row>
    <row r="636" spans="1:9" x14ac:dyDescent="0.2">
      <c r="A636" s="11"/>
      <c r="B636" s="11"/>
      <c r="C636" s="11"/>
      <c r="D636" s="19"/>
      <c r="I636" s="27"/>
    </row>
    <row r="637" spans="1:9" x14ac:dyDescent="0.2">
      <c r="A637" s="11"/>
      <c r="B637" s="11"/>
      <c r="C637" s="11"/>
      <c r="D637" s="19"/>
      <c r="I637" s="27"/>
    </row>
    <row r="638" spans="1:9" x14ac:dyDescent="0.2">
      <c r="A638" s="11"/>
      <c r="B638" s="11"/>
      <c r="C638" s="11"/>
      <c r="D638" s="19"/>
      <c r="I638" s="27"/>
    </row>
    <row r="639" spans="1:9" x14ac:dyDescent="0.2">
      <c r="A639" s="11"/>
      <c r="B639" s="11"/>
      <c r="C639" s="11"/>
      <c r="D639" s="19"/>
      <c r="I639" s="27"/>
    </row>
    <row r="640" spans="1:9" x14ac:dyDescent="0.2">
      <c r="A640" s="11"/>
      <c r="B640" s="11"/>
      <c r="C640" s="11"/>
      <c r="D640" s="19"/>
      <c r="I640" s="27"/>
    </row>
    <row r="641" spans="1:9" x14ac:dyDescent="0.2">
      <c r="A641" s="11"/>
      <c r="B641" s="11"/>
      <c r="C641" s="11"/>
      <c r="D641" s="19"/>
      <c r="I641" s="27"/>
    </row>
    <row r="642" spans="1:9" x14ac:dyDescent="0.2">
      <c r="A642" s="11"/>
      <c r="B642" s="11"/>
      <c r="C642" s="11"/>
      <c r="D642" s="19"/>
      <c r="I642" s="27"/>
    </row>
    <row r="643" spans="1:9" x14ac:dyDescent="0.2">
      <c r="A643" s="11"/>
      <c r="B643" s="11"/>
      <c r="C643" s="11"/>
      <c r="D643" s="19"/>
      <c r="I643" s="27"/>
    </row>
    <row r="644" spans="1:9" x14ac:dyDescent="0.2">
      <c r="A644" s="11"/>
      <c r="B644" s="11"/>
      <c r="C644" s="11"/>
      <c r="D644" s="19"/>
      <c r="I644" s="27"/>
    </row>
    <row r="645" spans="1:9" x14ac:dyDescent="0.2">
      <c r="A645" s="11"/>
      <c r="B645" s="11"/>
      <c r="C645" s="11"/>
      <c r="D645" s="19"/>
      <c r="I645" s="27"/>
    </row>
    <row r="646" spans="1:9" x14ac:dyDescent="0.2">
      <c r="A646" s="11"/>
      <c r="B646" s="11"/>
      <c r="C646" s="11"/>
      <c r="D646" s="19"/>
      <c r="I646" s="27"/>
    </row>
    <row r="647" spans="1:9" x14ac:dyDescent="0.2">
      <c r="A647" s="11"/>
      <c r="B647" s="11"/>
      <c r="C647" s="11"/>
      <c r="D647" s="19"/>
      <c r="I647" s="27"/>
    </row>
    <row r="648" spans="1:9" x14ac:dyDescent="0.2">
      <c r="A648" s="11"/>
      <c r="B648" s="8"/>
      <c r="C648" s="8"/>
      <c r="D648" s="19"/>
      <c r="I648" s="27"/>
    </row>
    <row r="649" spans="1:9" x14ac:dyDescent="0.2">
      <c r="A649" s="11"/>
      <c r="B649" s="11"/>
      <c r="C649" s="11"/>
      <c r="D649" s="19"/>
      <c r="I649" s="27"/>
    </row>
    <row r="650" spans="1:9" x14ac:dyDescent="0.2">
      <c r="A650" s="11"/>
      <c r="B650" s="11"/>
      <c r="C650" s="11"/>
      <c r="D650" s="19"/>
      <c r="I650" s="27"/>
    </row>
    <row r="651" spans="1:9" x14ac:dyDescent="0.2">
      <c r="A651" s="7"/>
      <c r="B651" s="7"/>
      <c r="C651" s="7"/>
      <c r="D651" s="21"/>
      <c r="I651" s="27"/>
    </row>
    <row r="652" spans="1:9" x14ac:dyDescent="0.2">
      <c r="A652" s="11"/>
      <c r="B652" s="11"/>
      <c r="C652" s="11"/>
      <c r="D652" s="19"/>
      <c r="I652" s="27"/>
    </row>
    <row r="653" spans="1:9" x14ac:dyDescent="0.2">
      <c r="A653" s="11"/>
      <c r="B653" s="11"/>
      <c r="C653" s="11"/>
      <c r="D653" s="19"/>
      <c r="I653" s="27"/>
    </row>
    <row r="654" spans="1:9" x14ac:dyDescent="0.2">
      <c r="A654" s="11"/>
      <c r="B654" s="11"/>
      <c r="C654" s="11"/>
      <c r="D654" s="19"/>
      <c r="I654" s="27"/>
    </row>
    <row r="655" spans="1:9" x14ac:dyDescent="0.2">
      <c r="A655" s="7"/>
      <c r="B655" s="7"/>
      <c r="C655" s="7"/>
      <c r="D655" s="20"/>
      <c r="I655" s="27"/>
    </row>
    <row r="656" spans="1:9" x14ac:dyDescent="0.2">
      <c r="A656" s="11"/>
      <c r="B656" s="11"/>
      <c r="C656" s="11"/>
      <c r="D656" s="19"/>
      <c r="I656" s="27"/>
    </row>
    <row r="657" spans="1:9" x14ac:dyDescent="0.2">
      <c r="A657" s="11"/>
      <c r="B657" s="11"/>
      <c r="C657" s="11"/>
      <c r="D657" s="19"/>
      <c r="I657" s="27"/>
    </row>
    <row r="658" spans="1:9" x14ac:dyDescent="0.2">
      <c r="A658" s="11"/>
      <c r="B658" s="11"/>
      <c r="C658" s="11"/>
      <c r="D658" s="19"/>
      <c r="I658" s="27"/>
    </row>
    <row r="659" spans="1:9" x14ac:dyDescent="0.2">
      <c r="A659" s="11"/>
      <c r="B659" s="11"/>
      <c r="C659" s="11"/>
      <c r="D659" s="19"/>
      <c r="I659" s="27"/>
    </row>
    <row r="660" spans="1:9" x14ac:dyDescent="0.2">
      <c r="A660" s="11"/>
      <c r="B660" s="11"/>
      <c r="C660" s="11"/>
      <c r="D660" s="19"/>
      <c r="I660" s="27"/>
    </row>
    <row r="661" spans="1:9" x14ac:dyDescent="0.2">
      <c r="A661" s="11"/>
      <c r="B661" s="11"/>
      <c r="C661" s="11"/>
      <c r="D661" s="19"/>
      <c r="I661" s="27"/>
    </row>
    <row r="662" spans="1:9" x14ac:dyDescent="0.2">
      <c r="A662" s="11"/>
      <c r="B662" s="11"/>
      <c r="C662" s="11"/>
      <c r="D662" s="19"/>
      <c r="I662" s="27"/>
    </row>
    <row r="663" spans="1:9" x14ac:dyDescent="0.2">
      <c r="A663" s="11"/>
      <c r="B663" s="11"/>
      <c r="C663" s="11"/>
      <c r="D663" s="19"/>
      <c r="I663" s="27"/>
    </row>
    <row r="664" spans="1:9" x14ac:dyDescent="0.2">
      <c r="A664" s="11"/>
      <c r="B664" s="11"/>
      <c r="C664" s="11"/>
      <c r="D664" s="19"/>
      <c r="I664" s="27"/>
    </row>
    <row r="665" spans="1:9" x14ac:dyDescent="0.2">
      <c r="A665" s="11"/>
      <c r="B665" s="11"/>
      <c r="C665" s="11"/>
      <c r="D665" s="19"/>
      <c r="I665" s="27"/>
    </row>
    <row r="666" spans="1:9" x14ac:dyDescent="0.2">
      <c r="A666" s="11"/>
      <c r="B666" s="11"/>
      <c r="C666" s="11"/>
      <c r="D666" s="19"/>
      <c r="I666" s="27"/>
    </row>
    <row r="667" spans="1:9" x14ac:dyDescent="0.2">
      <c r="A667" s="11"/>
      <c r="B667" s="11"/>
      <c r="C667" s="11"/>
      <c r="D667" s="19"/>
      <c r="I667" s="27"/>
    </row>
    <row r="668" spans="1:9" x14ac:dyDescent="0.2">
      <c r="A668" s="11"/>
      <c r="B668" s="11"/>
      <c r="C668" s="11"/>
      <c r="D668" s="19"/>
      <c r="I668" s="27"/>
    </row>
    <row r="669" spans="1:9" x14ac:dyDescent="0.2">
      <c r="A669" s="11"/>
      <c r="B669" s="11"/>
      <c r="C669" s="11"/>
      <c r="D669" s="19"/>
      <c r="I669" s="27"/>
    </row>
    <row r="670" spans="1:9" x14ac:dyDescent="0.2">
      <c r="A670" s="11"/>
      <c r="B670" s="11"/>
      <c r="C670" s="11"/>
      <c r="D670" s="19"/>
      <c r="I670" s="27"/>
    </row>
    <row r="671" spans="1:9" x14ac:dyDescent="0.2">
      <c r="A671" s="11"/>
      <c r="B671" s="11"/>
      <c r="C671" s="11"/>
      <c r="D671" s="19"/>
      <c r="I671" s="27"/>
    </row>
    <row r="672" spans="1:9" x14ac:dyDescent="0.2">
      <c r="A672" s="11"/>
      <c r="B672" s="11"/>
      <c r="C672" s="11"/>
      <c r="D672" s="19"/>
      <c r="I672" s="27"/>
    </row>
    <row r="673" spans="1:9" x14ac:dyDescent="0.2">
      <c r="A673" s="11"/>
      <c r="B673" s="17"/>
      <c r="C673" s="17"/>
      <c r="D673" s="19"/>
      <c r="I673" s="27"/>
    </row>
    <row r="674" spans="1:9" x14ac:dyDescent="0.2">
      <c r="A674" s="11"/>
      <c r="B674" s="11"/>
      <c r="C674" s="11"/>
      <c r="D674" s="19"/>
      <c r="I674" s="27"/>
    </row>
    <row r="675" spans="1:9" x14ac:dyDescent="0.2">
      <c r="A675" s="11"/>
      <c r="B675" s="11"/>
      <c r="C675" s="11"/>
      <c r="D675" s="19"/>
      <c r="I675" s="27"/>
    </row>
    <row r="676" spans="1:9" x14ac:dyDescent="0.2">
      <c r="A676" s="11"/>
      <c r="B676" s="11"/>
      <c r="C676" s="11"/>
      <c r="D676" s="19"/>
      <c r="I676" s="27"/>
    </row>
    <row r="677" spans="1:9" x14ac:dyDescent="0.2">
      <c r="A677" s="11"/>
      <c r="B677" s="11"/>
      <c r="C677" s="11"/>
      <c r="D677" s="19"/>
      <c r="I677" s="27"/>
    </row>
    <row r="678" spans="1:9" x14ac:dyDescent="0.2">
      <c r="A678" s="11"/>
      <c r="B678" s="11"/>
      <c r="C678" s="11"/>
      <c r="D678" s="19"/>
      <c r="I678" s="27"/>
    </row>
    <row r="679" spans="1:9" x14ac:dyDescent="0.2">
      <c r="A679" s="11"/>
      <c r="B679" s="11"/>
      <c r="C679" s="11"/>
      <c r="D679" s="19"/>
      <c r="I679" s="27"/>
    </row>
    <row r="680" spans="1:9" x14ac:dyDescent="0.2">
      <c r="A680" s="11"/>
      <c r="B680" s="11"/>
      <c r="C680" s="11"/>
      <c r="D680" s="19"/>
      <c r="I680" s="27"/>
    </row>
    <row r="681" spans="1:9" x14ac:dyDescent="0.2">
      <c r="A681" s="11"/>
      <c r="B681" s="11"/>
      <c r="C681" s="11"/>
      <c r="D681" s="19"/>
      <c r="I681" s="27"/>
    </row>
    <row r="682" spans="1:9" x14ac:dyDescent="0.2">
      <c r="A682" s="11"/>
      <c r="B682" s="11"/>
      <c r="C682" s="11"/>
      <c r="I682" s="27"/>
    </row>
    <row r="683" spans="1:9" x14ac:dyDescent="0.2">
      <c r="A683" s="11"/>
      <c r="B683" s="11"/>
      <c r="C683" s="11"/>
      <c r="D683" s="19"/>
      <c r="I683" s="27"/>
    </row>
    <row r="684" spans="1:9" x14ac:dyDescent="0.2">
      <c r="A684" s="11"/>
      <c r="B684" s="11"/>
      <c r="C684" s="11"/>
      <c r="D684" s="19"/>
      <c r="I684" s="27"/>
    </row>
    <row r="685" spans="1:9" x14ac:dyDescent="0.2">
      <c r="A685" s="11"/>
      <c r="B685" s="11"/>
      <c r="C685" s="11"/>
      <c r="D685" s="19"/>
      <c r="I685" s="27"/>
    </row>
    <row r="686" spans="1:9" x14ac:dyDescent="0.2">
      <c r="A686" s="11"/>
      <c r="B686" s="11"/>
      <c r="C686" s="11"/>
      <c r="D686" s="19"/>
      <c r="I686" s="27"/>
    </row>
    <row r="687" spans="1:9" x14ac:dyDescent="0.2">
      <c r="A687" s="11"/>
      <c r="B687" s="11"/>
      <c r="C687" s="11"/>
      <c r="D687" s="19"/>
      <c r="I687" s="27"/>
    </row>
    <row r="688" spans="1:9" x14ac:dyDescent="0.2">
      <c r="A688" s="11"/>
      <c r="B688" s="11"/>
      <c r="C688" s="11"/>
      <c r="D688" s="19"/>
      <c r="I688" s="27"/>
    </row>
    <row r="689" spans="1:9" x14ac:dyDescent="0.2">
      <c r="A689" s="11"/>
      <c r="B689" s="11"/>
      <c r="C689" s="11"/>
      <c r="D689" s="19"/>
      <c r="I689" s="27"/>
    </row>
    <row r="690" spans="1:9" x14ac:dyDescent="0.2">
      <c r="A690" s="7"/>
      <c r="B690" s="7"/>
      <c r="C690" s="7"/>
      <c r="D690" s="20"/>
      <c r="I690" s="27"/>
    </row>
    <row r="691" spans="1:9" x14ac:dyDescent="0.2">
      <c r="A691" s="11"/>
      <c r="B691" s="11"/>
      <c r="C691" s="11"/>
      <c r="D691" s="19"/>
      <c r="I691" s="27"/>
    </row>
    <row r="692" spans="1:9" x14ac:dyDescent="0.2">
      <c r="A692" s="11"/>
      <c r="B692" s="11"/>
      <c r="C692" s="11"/>
      <c r="D692" s="19"/>
      <c r="I692" s="27"/>
    </row>
    <row r="693" spans="1:9" x14ac:dyDescent="0.2">
      <c r="A693" s="11"/>
      <c r="B693" s="11"/>
      <c r="C693" s="11"/>
      <c r="D693" s="19"/>
      <c r="I693" s="27"/>
    </row>
    <row r="694" spans="1:9" x14ac:dyDescent="0.2">
      <c r="A694" s="11"/>
      <c r="B694" s="11"/>
      <c r="C694" s="11"/>
      <c r="D694" s="19"/>
      <c r="I694" s="27"/>
    </row>
    <row r="695" spans="1:9" x14ac:dyDescent="0.2">
      <c r="A695" s="11"/>
      <c r="B695" s="11"/>
      <c r="C695" s="11"/>
      <c r="D695" s="19"/>
      <c r="I695" s="27"/>
    </row>
    <row r="696" spans="1:9" x14ac:dyDescent="0.2">
      <c r="A696" s="11"/>
      <c r="B696" s="11"/>
      <c r="C696" s="11"/>
      <c r="D696" s="19"/>
      <c r="I696" s="27"/>
    </row>
    <row r="697" spans="1:9" x14ac:dyDescent="0.2">
      <c r="A697" s="11"/>
      <c r="B697" s="11"/>
      <c r="C697" s="11"/>
      <c r="D697" s="19"/>
      <c r="I697" s="27"/>
    </row>
    <row r="698" spans="1:9" x14ac:dyDescent="0.2">
      <c r="A698" s="11"/>
      <c r="B698" s="11"/>
      <c r="C698" s="11"/>
      <c r="D698" s="19"/>
      <c r="I698" s="27"/>
    </row>
    <row r="699" spans="1:9" x14ac:dyDescent="0.2">
      <c r="A699" s="11"/>
      <c r="B699" s="11"/>
      <c r="C699" s="11"/>
      <c r="D699" s="19"/>
      <c r="I699" s="27"/>
    </row>
    <row r="700" spans="1:9" x14ac:dyDescent="0.2">
      <c r="A700" s="11"/>
      <c r="B700" s="11"/>
      <c r="C700" s="11"/>
      <c r="D700" s="19"/>
      <c r="I700" s="27"/>
    </row>
    <row r="701" spans="1:9" x14ac:dyDescent="0.2">
      <c r="A701" s="11"/>
      <c r="B701" s="11"/>
      <c r="C701" s="11"/>
      <c r="D701" s="19"/>
      <c r="I701" s="27"/>
    </row>
    <row r="702" spans="1:9" x14ac:dyDescent="0.2">
      <c r="A702" s="11"/>
      <c r="B702" s="11"/>
      <c r="C702" s="11"/>
      <c r="D702" s="19"/>
      <c r="I702" s="27"/>
    </row>
    <row r="703" spans="1:9" x14ac:dyDescent="0.2">
      <c r="A703" s="11"/>
      <c r="B703" s="11"/>
      <c r="C703" s="11"/>
      <c r="D703" s="19"/>
      <c r="I703" s="27"/>
    </row>
    <row r="704" spans="1:9" x14ac:dyDescent="0.2">
      <c r="A704" s="11"/>
      <c r="B704" s="11"/>
      <c r="C704" s="11"/>
      <c r="D704" s="19"/>
      <c r="I704" s="27"/>
    </row>
    <row r="705" spans="1:9" x14ac:dyDescent="0.2">
      <c r="A705" s="11"/>
      <c r="B705" s="11"/>
      <c r="C705" s="11"/>
      <c r="D705" s="19"/>
      <c r="I705" s="27"/>
    </row>
    <row r="706" spans="1:9" x14ac:dyDescent="0.2">
      <c r="A706" s="11"/>
      <c r="B706" s="11"/>
      <c r="C706" s="11"/>
      <c r="D706" s="19"/>
      <c r="I706" s="27"/>
    </row>
    <row r="707" spans="1:9" x14ac:dyDescent="0.2">
      <c r="A707" s="11"/>
      <c r="B707" s="11"/>
      <c r="C707" s="11"/>
      <c r="D707" s="19"/>
      <c r="I707" s="27"/>
    </row>
    <row r="708" spans="1:9" x14ac:dyDescent="0.2">
      <c r="A708" s="11"/>
      <c r="B708" s="11"/>
      <c r="C708" s="11"/>
      <c r="D708" s="19"/>
      <c r="I708" s="27"/>
    </row>
    <row r="709" spans="1:9" x14ac:dyDescent="0.2">
      <c r="A709" s="11"/>
      <c r="B709" s="11"/>
      <c r="C709" s="11"/>
      <c r="D709" s="19"/>
      <c r="I709" s="27"/>
    </row>
    <row r="710" spans="1:9" x14ac:dyDescent="0.2">
      <c r="A710" s="11"/>
      <c r="B710" s="11"/>
      <c r="C710" s="11"/>
      <c r="D710" s="19"/>
      <c r="I710" s="27"/>
    </row>
    <row r="1606" spans="9:9" x14ac:dyDescent="0.2">
      <c r="I1606" s="23"/>
    </row>
    <row r="1616" spans="9:9" x14ac:dyDescent="0.2">
      <c r="I1616" s="23"/>
    </row>
    <row r="1636" spans="9:9" x14ac:dyDescent="0.2">
      <c r="I1636" s="23"/>
    </row>
    <row r="1652" spans="9:9" x14ac:dyDescent="0.2">
      <c r="I1652" s="23"/>
    </row>
    <row r="1667" spans="9:9" x14ac:dyDescent="0.2">
      <c r="I1667" s="23"/>
    </row>
    <row r="1685" spans="9:9" x14ac:dyDescent="0.2">
      <c r="I1685" s="23"/>
    </row>
    <row r="1700" spans="9:9" x14ac:dyDescent="0.2">
      <c r="I1700" s="23"/>
    </row>
    <row r="1708" spans="9:9" x14ac:dyDescent="0.2">
      <c r="I1708" s="23"/>
    </row>
    <row r="1727" spans="9:9" x14ac:dyDescent="0.2">
      <c r="I1727" s="23"/>
    </row>
    <row r="1744" spans="9:9" x14ac:dyDescent="0.2">
      <c r="I1744" s="23"/>
    </row>
    <row r="1759" spans="9:9" x14ac:dyDescent="0.2">
      <c r="I1759" s="23"/>
    </row>
    <row r="1787" spans="9:9" x14ac:dyDescent="0.2">
      <c r="I1787" s="23"/>
    </row>
    <row r="3603" spans="9:9" x14ac:dyDescent="0.2">
      <c r="I3603" s="23"/>
    </row>
  </sheetData>
  <mergeCells count="1">
    <mergeCell ref="F2:I2"/>
  </mergeCells>
  <conditionalFormatting sqref="A5:A5000">
    <cfRule type="duplicateValues" dxfId="6"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tabColor theme="9" tint="0.39997558519241921"/>
  </sheetPr>
  <dimension ref="A1:J23"/>
  <sheetViews>
    <sheetView zoomScaleNormal="100" workbookViewId="0">
      <pane ySplit="4" topLeftCell="A5" activePane="bottomLeft" state="frozen"/>
      <selection activeCell="Q35" sqref="P35:Q35"/>
      <selection pane="bottomLeft" activeCell="B3" sqref="B3"/>
    </sheetView>
  </sheetViews>
  <sheetFormatPr defaultRowHeight="17.25" customHeight="1" x14ac:dyDescent="0.25"/>
  <cols>
    <col min="1" max="1" width="14.83203125" style="33" bestFit="1" customWidth="1"/>
    <col min="2" max="2" width="66" style="33" bestFit="1" customWidth="1"/>
    <col min="3" max="3" width="56.1640625" style="69" customWidth="1"/>
    <col min="4" max="4" width="12.83203125" style="33" bestFit="1" customWidth="1"/>
    <col min="5" max="5" width="13.5" style="33" bestFit="1" customWidth="1"/>
    <col min="6" max="6" width="23.83203125" style="33" bestFit="1" customWidth="1"/>
    <col min="7" max="7" width="13" style="33" bestFit="1" customWidth="1"/>
    <col min="8" max="8" width="17.6640625" style="33" bestFit="1" customWidth="1"/>
    <col min="9" max="16384" width="9.33203125" style="33"/>
  </cols>
  <sheetData>
    <row r="1" spans="1:10" s="86" customFormat="1" ht="17.25" customHeight="1" x14ac:dyDescent="0.25">
      <c r="A1" s="85" t="s">
        <v>43</v>
      </c>
      <c r="B1" s="183" t="s">
        <v>15</v>
      </c>
      <c r="C1" s="122" t="s">
        <v>44</v>
      </c>
      <c r="D1" s="184" t="s">
        <v>943</v>
      </c>
      <c r="E1" s="85" t="s">
        <v>209</v>
      </c>
      <c r="F1" s="183" t="s">
        <v>942</v>
      </c>
      <c r="G1" s="85" t="s">
        <v>9</v>
      </c>
      <c r="H1" s="183"/>
      <c r="I1" s="82" t="s">
        <v>262</v>
      </c>
      <c r="J1" s="181" t="b">
        <v>0</v>
      </c>
    </row>
    <row r="2" spans="1:10" s="43" customFormat="1" ht="17.25" customHeight="1" x14ac:dyDescent="0.25">
      <c r="A2" s="102" t="s">
        <v>366</v>
      </c>
      <c r="B2" s="141" t="s">
        <v>365</v>
      </c>
      <c r="C2" s="141" t="s">
        <v>199</v>
      </c>
      <c r="D2" s="141" t="s">
        <v>363</v>
      </c>
      <c r="E2" s="42"/>
      <c r="F2" s="284" t="s">
        <v>292</v>
      </c>
      <c r="G2" s="285"/>
      <c r="H2" s="285"/>
      <c r="I2" s="286"/>
      <c r="J2" s="66"/>
    </row>
    <row r="3" spans="1:10" s="43" customFormat="1" ht="17.25" customHeight="1" x14ac:dyDescent="0.25">
      <c r="A3" s="141" t="s">
        <v>404</v>
      </c>
      <c r="B3" s="141" t="s">
        <v>362</v>
      </c>
      <c r="C3" s="141" t="s">
        <v>293</v>
      </c>
      <c r="D3" s="141" t="s">
        <v>364</v>
      </c>
      <c r="E3" s="42"/>
      <c r="F3" s="106" t="s">
        <v>293</v>
      </c>
      <c r="G3" s="107"/>
      <c r="H3" s="107"/>
      <c r="I3" s="107"/>
      <c r="J3" s="66"/>
    </row>
    <row r="4" spans="1:10" s="47" customFormat="1" ht="17.25" customHeight="1" x14ac:dyDescent="0.25">
      <c r="A4" s="32" t="s">
        <v>6</v>
      </c>
      <c r="B4" s="32" t="s">
        <v>209</v>
      </c>
      <c r="C4" s="123" t="s">
        <v>9</v>
      </c>
      <c r="D4" s="45" t="s">
        <v>45</v>
      </c>
      <c r="E4" s="46" t="s">
        <v>294</v>
      </c>
      <c r="F4" s="108" t="s">
        <v>291</v>
      </c>
      <c r="G4" s="107"/>
      <c r="H4" s="107"/>
      <c r="I4" s="107"/>
      <c r="J4" s="48"/>
    </row>
    <row r="5" spans="1:10" ht="17.25" customHeight="1" x14ac:dyDescent="0.25">
      <c r="A5" s="210" t="s">
        <v>10</v>
      </c>
      <c r="B5" s="210" t="s">
        <v>53</v>
      </c>
      <c r="C5" s="69" t="s">
        <v>93</v>
      </c>
      <c r="F5"/>
      <c r="G5" s="107"/>
      <c r="H5" s="107"/>
      <c r="I5" s="107"/>
    </row>
    <row r="6" spans="1:10" ht="17.25" customHeight="1" x14ac:dyDescent="0.25">
      <c r="A6" s="210" t="s">
        <v>3</v>
      </c>
      <c r="B6" s="210" t="s">
        <v>54</v>
      </c>
      <c r="C6" s="69" t="s">
        <v>94</v>
      </c>
      <c r="F6"/>
      <c r="G6" s="107"/>
      <c r="H6" s="107"/>
      <c r="I6" s="107"/>
    </row>
    <row r="7" spans="1:10" ht="17.25" customHeight="1" x14ac:dyDescent="0.25">
      <c r="A7" s="210" t="s">
        <v>13</v>
      </c>
      <c r="B7" s="210" t="s">
        <v>90</v>
      </c>
      <c r="C7" s="69" t="s">
        <v>91</v>
      </c>
      <c r="F7"/>
      <c r="G7" s="107"/>
      <c r="H7" s="107"/>
      <c r="I7" s="107"/>
    </row>
    <row r="8" spans="1:10" ht="17.25" customHeight="1" x14ac:dyDescent="0.25">
      <c r="A8" s="210" t="s">
        <v>12</v>
      </c>
      <c r="B8" s="210" t="s">
        <v>55</v>
      </c>
      <c r="C8" s="69" t="s">
        <v>92</v>
      </c>
      <c r="F8"/>
      <c r="G8" s="107"/>
      <c r="H8" s="107"/>
      <c r="I8" s="107"/>
    </row>
    <row r="9" spans="1:10" ht="17.25" customHeight="1" x14ac:dyDescent="0.25">
      <c r="A9" s="210" t="s">
        <v>2</v>
      </c>
      <c r="B9" s="210" t="s">
        <v>56</v>
      </c>
      <c r="C9" s="69" t="s">
        <v>95</v>
      </c>
      <c r="G9" s="107"/>
      <c r="H9" s="107"/>
      <c r="I9" s="107"/>
    </row>
    <row r="10" spans="1:10" ht="17.25" customHeight="1" x14ac:dyDescent="0.25">
      <c r="A10" s="210" t="s">
        <v>11</v>
      </c>
      <c r="B10" s="210" t="s">
        <v>96</v>
      </c>
      <c r="C10" s="69" t="s">
        <v>97</v>
      </c>
      <c r="G10" s="107"/>
      <c r="H10" s="107"/>
      <c r="I10" s="107"/>
    </row>
    <row r="11" spans="1:10" ht="17.25" customHeight="1" x14ac:dyDescent="0.25">
      <c r="A11" s="210" t="s">
        <v>98</v>
      </c>
      <c r="B11" s="210" t="s">
        <v>99</v>
      </c>
      <c r="C11" s="69" t="s">
        <v>100</v>
      </c>
      <c r="G11" s="107"/>
      <c r="H11" s="107"/>
      <c r="I11" s="107"/>
    </row>
    <row r="12" spans="1:10" ht="17.25" customHeight="1" x14ac:dyDescent="0.25">
      <c r="A12" s="210" t="s">
        <v>101</v>
      </c>
      <c r="B12" s="210" t="s">
        <v>102</v>
      </c>
      <c r="C12" s="69" t="s">
        <v>103</v>
      </c>
      <c r="G12" s="107"/>
      <c r="H12" s="107"/>
      <c r="I12" s="107"/>
    </row>
    <row r="13" spans="1:10" ht="17.25" customHeight="1" x14ac:dyDescent="0.25">
      <c r="A13" s="210" t="s">
        <v>104</v>
      </c>
      <c r="B13" s="210" t="s">
        <v>105</v>
      </c>
      <c r="C13" s="69" t="s">
        <v>106</v>
      </c>
      <c r="G13" s="107"/>
      <c r="H13" s="107"/>
      <c r="I13" s="107"/>
    </row>
    <row r="14" spans="1:10" ht="17.25" customHeight="1" x14ac:dyDescent="0.25">
      <c r="A14" s="210" t="s">
        <v>1</v>
      </c>
      <c r="B14" s="210" t="s">
        <v>107</v>
      </c>
      <c r="C14" s="69" t="s">
        <v>108</v>
      </c>
      <c r="G14" s="107"/>
      <c r="H14" s="107"/>
      <c r="I14" s="107"/>
    </row>
    <row r="15" spans="1:10" ht="17.25" customHeight="1" x14ac:dyDescent="0.25">
      <c r="H15" s="88"/>
    </row>
    <row r="16" spans="1:10" ht="17.25" customHeight="1" x14ac:dyDescent="0.25">
      <c r="H16" s="88"/>
    </row>
    <row r="17" spans="8:8" ht="17.25" customHeight="1" x14ac:dyDescent="0.25">
      <c r="H17" s="88"/>
    </row>
    <row r="18" spans="8:8" ht="17.25" customHeight="1" x14ac:dyDescent="0.25">
      <c r="H18" s="88"/>
    </row>
    <row r="19" spans="8:8" ht="17.25" customHeight="1" x14ac:dyDescent="0.25">
      <c r="H19" s="88"/>
    </row>
    <row r="20" spans="8:8" ht="17.25" customHeight="1" x14ac:dyDescent="0.25">
      <c r="H20" s="88"/>
    </row>
    <row r="21" spans="8:8" ht="17.25" customHeight="1" x14ac:dyDescent="0.25">
      <c r="H21" s="88"/>
    </row>
    <row r="22" spans="8:8" ht="17.25" customHeight="1" x14ac:dyDescent="0.25">
      <c r="H22" s="88"/>
    </row>
    <row r="23" spans="8:8" ht="17.25" customHeight="1" x14ac:dyDescent="0.25">
      <c r="H23" s="88"/>
    </row>
  </sheetData>
  <mergeCells count="1">
    <mergeCell ref="F2:I2"/>
  </mergeCells>
  <conditionalFormatting sqref="A5:A5000">
    <cfRule type="duplicateValues" dxfId="5"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tabColor theme="9" tint="0.39997558519241921"/>
  </sheetPr>
  <dimension ref="A1:L23"/>
  <sheetViews>
    <sheetView workbookViewId="0">
      <selection activeCell="D1" sqref="D1"/>
    </sheetView>
  </sheetViews>
  <sheetFormatPr defaultRowHeight="11.25" x14ac:dyDescent="0.2"/>
  <cols>
    <col min="5" max="5" width="13.5" bestFit="1" customWidth="1"/>
    <col min="6" max="6" width="10.6640625" bestFit="1" customWidth="1"/>
    <col min="7" max="7" width="13" bestFit="1" customWidth="1"/>
  </cols>
  <sheetData>
    <row r="1" spans="1:12" ht="15" x14ac:dyDescent="0.25">
      <c r="A1" s="238" t="s">
        <v>43</v>
      </c>
      <c r="B1" s="248" t="s">
        <v>15</v>
      </c>
      <c r="C1" s="240" t="s">
        <v>44</v>
      </c>
      <c r="D1" s="249" t="s">
        <v>112</v>
      </c>
      <c r="E1" s="238" t="s">
        <v>209</v>
      </c>
      <c r="F1" s="248" t="s">
        <v>945</v>
      </c>
      <c r="G1" s="238" t="s">
        <v>9</v>
      </c>
      <c r="H1" s="248"/>
      <c r="I1" s="237" t="s">
        <v>262</v>
      </c>
      <c r="J1" s="247" t="b">
        <v>0</v>
      </c>
      <c r="K1" s="239"/>
      <c r="L1" s="239"/>
    </row>
    <row r="2" spans="1:12" ht="15" x14ac:dyDescent="0.25">
      <c r="A2" s="242" t="s">
        <v>366</v>
      </c>
      <c r="B2" s="246" t="s">
        <v>365</v>
      </c>
      <c r="C2" s="246" t="s">
        <v>199</v>
      </c>
      <c r="D2" s="246" t="s">
        <v>363</v>
      </c>
      <c r="E2" s="229"/>
      <c r="F2" s="284" t="s">
        <v>292</v>
      </c>
      <c r="G2" s="285"/>
      <c r="H2" s="285"/>
      <c r="I2" s="286"/>
      <c r="J2" s="236"/>
      <c r="K2" s="230"/>
      <c r="L2" s="230"/>
    </row>
    <row r="3" spans="1:12" ht="30" x14ac:dyDescent="0.25">
      <c r="A3" s="246" t="s">
        <v>404</v>
      </c>
      <c r="B3" s="246" t="s">
        <v>362</v>
      </c>
      <c r="C3" s="246" t="s">
        <v>293</v>
      </c>
      <c r="D3" s="246" t="s">
        <v>364</v>
      </c>
      <c r="E3" s="229"/>
      <c r="F3" s="243" t="s">
        <v>293</v>
      </c>
      <c r="G3" s="244"/>
      <c r="H3" s="244"/>
      <c r="I3" s="244"/>
      <c r="J3" s="236"/>
      <c r="K3" s="230"/>
      <c r="L3" s="230"/>
    </row>
    <row r="4" spans="1:12" ht="30" x14ac:dyDescent="0.25">
      <c r="A4" s="228" t="s">
        <v>6</v>
      </c>
      <c r="B4" s="228" t="s">
        <v>209</v>
      </c>
      <c r="C4" s="231" t="s">
        <v>9</v>
      </c>
      <c r="D4" s="232" t="s">
        <v>45</v>
      </c>
      <c r="E4" s="233" t="s">
        <v>294</v>
      </c>
      <c r="F4" s="245" t="s">
        <v>291</v>
      </c>
      <c r="G4" s="244"/>
      <c r="H4" s="244"/>
      <c r="I4" s="244"/>
      <c r="J4" s="235"/>
      <c r="K4" s="234"/>
      <c r="L4" s="234"/>
    </row>
    <row r="5" spans="1:12" ht="15" x14ac:dyDescent="0.25">
      <c r="A5" s="241">
        <v>0</v>
      </c>
      <c r="B5" s="241" t="s">
        <v>133</v>
      </c>
      <c r="C5" s="241"/>
      <c r="D5" s="241"/>
      <c r="E5" s="241"/>
      <c r="F5" s="227"/>
      <c r="G5" s="244"/>
      <c r="H5" s="244"/>
      <c r="I5" s="244"/>
      <c r="J5" s="241"/>
      <c r="K5" s="241"/>
      <c r="L5" s="241"/>
    </row>
    <row r="6" spans="1:12" ht="15" x14ac:dyDescent="0.25">
      <c r="A6" s="241">
        <v>1</v>
      </c>
      <c r="B6" s="241" t="s">
        <v>134</v>
      </c>
      <c r="C6" s="241"/>
      <c r="D6" s="241"/>
      <c r="E6" s="241"/>
      <c r="F6" s="227"/>
      <c r="G6" s="244"/>
      <c r="H6" s="244"/>
      <c r="I6" s="244"/>
      <c r="J6" s="241"/>
      <c r="K6" s="241"/>
      <c r="L6" s="241"/>
    </row>
    <row r="7" spans="1:12" ht="15" x14ac:dyDescent="0.25">
      <c r="A7" s="241">
        <v>2</v>
      </c>
      <c r="B7" s="241" t="s">
        <v>135</v>
      </c>
      <c r="C7" s="241"/>
      <c r="D7" s="241"/>
      <c r="E7" s="241"/>
      <c r="F7" s="227"/>
      <c r="G7" s="244"/>
      <c r="H7" s="244"/>
      <c r="I7" s="244"/>
      <c r="J7" s="241"/>
      <c r="K7" s="241"/>
      <c r="L7" s="241"/>
    </row>
    <row r="8" spans="1:12" ht="15" x14ac:dyDescent="0.25">
      <c r="A8" s="241">
        <v>3</v>
      </c>
      <c r="B8" s="241" t="s">
        <v>136</v>
      </c>
      <c r="C8" s="241"/>
      <c r="D8" s="241"/>
      <c r="E8" s="241"/>
      <c r="F8" s="227"/>
      <c r="G8" s="244"/>
      <c r="H8" s="244"/>
      <c r="I8" s="244"/>
      <c r="J8" s="241"/>
      <c r="K8" s="241"/>
      <c r="L8" s="241"/>
    </row>
    <row r="9" spans="1:12" ht="15" x14ac:dyDescent="0.25">
      <c r="A9" s="241">
        <v>4</v>
      </c>
      <c r="B9" s="241" t="s">
        <v>137</v>
      </c>
      <c r="C9" s="241"/>
      <c r="D9" s="241"/>
      <c r="E9" s="241"/>
      <c r="F9" s="241"/>
      <c r="G9" s="244"/>
      <c r="H9" s="244"/>
      <c r="I9" s="244"/>
      <c r="J9" s="241"/>
      <c r="K9" s="241"/>
      <c r="L9" s="241"/>
    </row>
    <row r="10" spans="1:12" ht="15" x14ac:dyDescent="0.25">
      <c r="A10" s="241">
        <v>5</v>
      </c>
      <c r="B10" s="241" t="s">
        <v>138</v>
      </c>
      <c r="C10" s="241"/>
      <c r="D10" s="241"/>
      <c r="E10" s="241"/>
      <c r="F10" s="241"/>
      <c r="G10" s="244"/>
      <c r="H10" s="244"/>
      <c r="I10" s="244"/>
      <c r="J10" s="241"/>
      <c r="K10" s="241"/>
      <c r="L10" s="241"/>
    </row>
    <row r="11" spans="1:12" ht="15" x14ac:dyDescent="0.25">
      <c r="A11" s="241">
        <v>6</v>
      </c>
      <c r="B11" s="241" t="s">
        <v>139</v>
      </c>
      <c r="C11" s="241"/>
      <c r="D11" s="241"/>
      <c r="E11" s="241"/>
      <c r="F11" s="241"/>
      <c r="G11" s="244"/>
      <c r="H11" s="244"/>
      <c r="I11" s="244"/>
      <c r="J11" s="241"/>
      <c r="K11" s="241"/>
      <c r="L11" s="241"/>
    </row>
    <row r="12" spans="1:12" ht="15" x14ac:dyDescent="0.25">
      <c r="A12" s="241">
        <v>7</v>
      </c>
      <c r="B12" s="241" t="s">
        <v>140</v>
      </c>
      <c r="C12" s="241"/>
      <c r="D12" s="241"/>
      <c r="E12" s="241"/>
      <c r="F12" s="241"/>
      <c r="G12" s="244"/>
      <c r="H12" s="244"/>
      <c r="I12" s="244"/>
      <c r="J12" s="241"/>
      <c r="K12" s="241"/>
      <c r="L12" s="241"/>
    </row>
    <row r="13" spans="1:12" ht="15" x14ac:dyDescent="0.25">
      <c r="A13" s="241">
        <v>8</v>
      </c>
      <c r="B13" s="241" t="s">
        <v>141</v>
      </c>
      <c r="C13" s="241"/>
      <c r="D13" s="241"/>
      <c r="E13" s="241"/>
      <c r="F13" s="241"/>
      <c r="G13" s="244"/>
      <c r="H13" s="244"/>
      <c r="I13" s="244"/>
      <c r="J13" s="241"/>
      <c r="K13" s="241"/>
      <c r="L13" s="241"/>
    </row>
    <row r="14" spans="1:12" ht="15" x14ac:dyDescent="0.25">
      <c r="A14" s="241">
        <v>9</v>
      </c>
      <c r="B14" s="241" t="s">
        <v>142</v>
      </c>
      <c r="C14" s="241"/>
      <c r="D14" s="241"/>
      <c r="E14" s="241"/>
      <c r="F14" s="241"/>
      <c r="G14" s="244"/>
      <c r="H14" s="244"/>
      <c r="I14" s="244"/>
      <c r="J14" s="241"/>
      <c r="K14" s="241"/>
      <c r="L14" s="241"/>
    </row>
    <row r="15" spans="1:12" ht="15" x14ac:dyDescent="0.25">
      <c r="A15" s="241">
        <v>10</v>
      </c>
      <c r="B15" s="241" t="s">
        <v>143</v>
      </c>
      <c r="C15" s="241"/>
      <c r="D15" s="241"/>
      <c r="E15" s="241"/>
      <c r="F15" s="241"/>
      <c r="G15" s="244"/>
      <c r="H15" s="244"/>
      <c r="I15" s="244"/>
      <c r="J15" s="241"/>
      <c r="K15" s="241"/>
      <c r="L15" s="241"/>
    </row>
    <row r="16" spans="1:12" ht="15" x14ac:dyDescent="0.25">
      <c r="A16" s="241">
        <v>11</v>
      </c>
      <c r="B16" s="241" t="s">
        <v>144</v>
      </c>
      <c r="C16" s="241"/>
      <c r="D16" s="241"/>
      <c r="E16" s="241"/>
      <c r="F16" s="241"/>
      <c r="G16" s="244"/>
      <c r="H16" s="244"/>
      <c r="I16" s="244"/>
      <c r="J16" s="241"/>
      <c r="K16" s="241"/>
      <c r="L16" s="241"/>
    </row>
    <row r="17" spans="1:12" ht="15" x14ac:dyDescent="0.25">
      <c r="A17" s="241">
        <v>12</v>
      </c>
      <c r="B17" s="241" t="s">
        <v>145</v>
      </c>
      <c r="C17" s="241"/>
      <c r="D17" s="241"/>
      <c r="E17" s="241"/>
      <c r="F17" s="241"/>
      <c r="G17" s="244"/>
      <c r="H17" s="244"/>
      <c r="I17" s="244"/>
      <c r="J17" s="241"/>
      <c r="K17" s="241"/>
      <c r="L17" s="241"/>
    </row>
    <row r="18" spans="1:12" ht="15" x14ac:dyDescent="0.25">
      <c r="A18" s="241">
        <v>13</v>
      </c>
      <c r="B18" s="241" t="s">
        <v>146</v>
      </c>
      <c r="C18" s="241"/>
      <c r="D18" s="241"/>
      <c r="E18" s="241"/>
      <c r="F18" s="241"/>
      <c r="G18" s="244"/>
      <c r="H18" s="244"/>
      <c r="I18" s="244"/>
      <c r="J18" s="241"/>
      <c r="K18" s="241"/>
      <c r="L18" s="241"/>
    </row>
    <row r="19" spans="1:12" ht="15" x14ac:dyDescent="0.25">
      <c r="A19" s="241">
        <v>14</v>
      </c>
      <c r="B19" s="241" t="s">
        <v>147</v>
      </c>
      <c r="C19" s="241"/>
      <c r="D19" s="241"/>
      <c r="E19" s="241"/>
      <c r="F19" s="241"/>
      <c r="G19" s="244"/>
      <c r="H19" s="244"/>
      <c r="I19" s="244"/>
      <c r="J19" s="241"/>
      <c r="K19" s="241"/>
      <c r="L19" s="241"/>
    </row>
    <row r="20" spans="1:12" ht="15" x14ac:dyDescent="0.25">
      <c r="A20" s="241">
        <v>15</v>
      </c>
      <c r="B20" s="241" t="s">
        <v>148</v>
      </c>
      <c r="C20" s="241"/>
      <c r="D20" s="241"/>
      <c r="E20" s="241"/>
      <c r="F20" s="241"/>
      <c r="G20" s="244"/>
      <c r="H20" s="244"/>
      <c r="I20" s="244"/>
      <c r="J20" s="241"/>
      <c r="K20" s="241"/>
      <c r="L20" s="241"/>
    </row>
    <row r="23" spans="1:12" x14ac:dyDescent="0.2">
      <c r="A23" s="227"/>
      <c r="B23" s="227"/>
      <c r="C23" s="227"/>
      <c r="D23" s="227"/>
      <c r="E23" s="227"/>
      <c r="F23" s="227"/>
      <c r="G23" s="227"/>
      <c r="H23" s="227"/>
      <c r="I23" s="227"/>
      <c r="J23" s="227"/>
      <c r="K23" s="227"/>
      <c r="L23" s="227"/>
    </row>
  </sheetData>
  <mergeCells count="1">
    <mergeCell ref="F2:I2"/>
  </mergeCells>
  <conditionalFormatting sqref="A5:A5000">
    <cfRule type="duplicateValues" dxfId="4"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tabColor theme="9" tint="0.39997558519241921"/>
  </sheetPr>
  <dimension ref="A1:L24"/>
  <sheetViews>
    <sheetView zoomScaleNormal="100" workbookViewId="0">
      <pane ySplit="4" topLeftCell="A5" activePane="bottomLeft" state="frozen"/>
      <selection activeCell="Q35" sqref="P35:Q35"/>
      <selection pane="bottomLeft" activeCell="E11" sqref="E11"/>
    </sheetView>
  </sheetViews>
  <sheetFormatPr defaultRowHeight="14.25" customHeight="1" x14ac:dyDescent="0.25"/>
  <cols>
    <col min="1" max="1" width="15" style="33" bestFit="1" customWidth="1"/>
    <col min="2" max="2" width="51.83203125" style="33" bestFit="1" customWidth="1"/>
    <col min="3" max="3" width="36.33203125" style="73" customWidth="1"/>
    <col min="4" max="4" width="12.83203125" style="33" bestFit="1" customWidth="1"/>
    <col min="5" max="5" width="13.5" style="33" bestFit="1" customWidth="1"/>
    <col min="6" max="6" width="20.83203125" style="33" bestFit="1" customWidth="1"/>
    <col min="7" max="7" width="14.33203125" style="33" bestFit="1" customWidth="1"/>
    <col min="8" max="8" width="17.6640625" style="33" bestFit="1" customWidth="1"/>
    <col min="9" max="9" width="14.6640625" style="33" customWidth="1"/>
    <col min="10" max="12" width="14.33203125" style="33" bestFit="1" customWidth="1"/>
    <col min="13" max="16384" width="9.33203125" style="33"/>
  </cols>
  <sheetData>
    <row r="1" spans="1:12" s="86" customFormat="1" ht="14.25" customHeight="1" x14ac:dyDescent="0.25">
      <c r="A1" s="85" t="s">
        <v>43</v>
      </c>
      <c r="B1" s="183" t="s">
        <v>15</v>
      </c>
      <c r="C1" s="118" t="s">
        <v>44</v>
      </c>
      <c r="D1" s="214">
        <v>2.1</v>
      </c>
      <c r="E1" s="85" t="s">
        <v>209</v>
      </c>
      <c r="F1" s="183" t="s">
        <v>944</v>
      </c>
      <c r="G1" s="85" t="s">
        <v>9</v>
      </c>
      <c r="H1" s="183"/>
      <c r="I1" s="82" t="s">
        <v>262</v>
      </c>
      <c r="J1" s="181" t="b">
        <v>0</v>
      </c>
    </row>
    <row r="2" spans="1:12" s="43" customFormat="1" ht="14.25" customHeight="1" x14ac:dyDescent="0.25">
      <c r="A2" s="102" t="s">
        <v>366</v>
      </c>
      <c r="B2" s="141" t="s">
        <v>365</v>
      </c>
      <c r="C2" s="141" t="s">
        <v>199</v>
      </c>
      <c r="D2" s="141" t="s">
        <v>363</v>
      </c>
      <c r="E2" s="42"/>
      <c r="F2" s="287" t="s">
        <v>292</v>
      </c>
      <c r="G2" s="288"/>
      <c r="H2" s="288"/>
      <c r="I2" s="288"/>
      <c r="J2" s="288"/>
      <c r="K2" s="288"/>
      <c r="L2" s="288"/>
    </row>
    <row r="3" spans="1:12" s="43" customFormat="1" ht="14.25" customHeight="1" x14ac:dyDescent="0.25">
      <c r="A3" s="141" t="s">
        <v>404</v>
      </c>
      <c r="B3" s="141" t="s">
        <v>362</v>
      </c>
      <c r="C3" s="141" t="s">
        <v>293</v>
      </c>
      <c r="D3" s="141" t="s">
        <v>364</v>
      </c>
      <c r="E3" s="42"/>
      <c r="F3" s="106" t="s">
        <v>293</v>
      </c>
      <c r="G3" s="116"/>
      <c r="H3" s="116"/>
      <c r="I3" s="116"/>
      <c r="J3" s="116"/>
      <c r="K3" s="116"/>
      <c r="L3" s="116"/>
    </row>
    <row r="4" spans="1:12" s="47" customFormat="1" ht="14.25" customHeight="1" x14ac:dyDescent="0.25">
      <c r="A4" s="32" t="s">
        <v>6</v>
      </c>
      <c r="B4" s="32" t="s">
        <v>209</v>
      </c>
      <c r="C4" s="44" t="s">
        <v>9</v>
      </c>
      <c r="D4" s="45" t="s">
        <v>45</v>
      </c>
      <c r="E4" s="46" t="s">
        <v>294</v>
      </c>
      <c r="F4" s="108" t="s">
        <v>291</v>
      </c>
      <c r="G4" s="116"/>
      <c r="H4" s="116"/>
      <c r="I4" s="116"/>
      <c r="J4" s="116"/>
      <c r="K4" s="116"/>
      <c r="L4" s="116"/>
    </row>
    <row r="5" spans="1:12" ht="14.25" customHeight="1" x14ac:dyDescent="0.25">
      <c r="A5" s="117" t="s">
        <v>11</v>
      </c>
      <c r="B5" s="117" t="s">
        <v>295</v>
      </c>
      <c r="C5" s="119" t="s">
        <v>296</v>
      </c>
      <c r="G5" s="116"/>
      <c r="H5" s="116"/>
      <c r="I5" s="116"/>
      <c r="J5" s="116"/>
      <c r="K5" s="116"/>
      <c r="L5" s="116"/>
    </row>
    <row r="6" spans="1:12" ht="14.25" customHeight="1" x14ac:dyDescent="0.25">
      <c r="A6" s="117" t="s">
        <v>8</v>
      </c>
      <c r="B6" s="117" t="s">
        <v>297</v>
      </c>
      <c r="C6" s="119" t="s">
        <v>298</v>
      </c>
      <c r="G6" s="116"/>
      <c r="H6" s="116"/>
      <c r="I6" s="116"/>
      <c r="J6" s="116"/>
      <c r="K6" s="116"/>
      <c r="L6" s="116"/>
    </row>
    <row r="7" spans="1:12" ht="14.25" customHeight="1" x14ac:dyDescent="0.25">
      <c r="A7" s="117" t="s">
        <v>3</v>
      </c>
      <c r="B7" s="117" t="s">
        <v>299</v>
      </c>
      <c r="C7" s="119" t="s">
        <v>300</v>
      </c>
      <c r="G7" s="116"/>
      <c r="H7" s="116"/>
      <c r="I7" s="116"/>
      <c r="J7" s="116"/>
      <c r="K7" s="116"/>
      <c r="L7" s="116"/>
    </row>
    <row r="8" spans="1:12" ht="14.25" customHeight="1" x14ac:dyDescent="0.25">
      <c r="A8" s="117" t="s">
        <v>301</v>
      </c>
      <c r="B8" s="117" t="s">
        <v>302</v>
      </c>
      <c r="C8" s="120" t="s">
        <v>303</v>
      </c>
      <c r="G8" s="116"/>
      <c r="H8" s="116"/>
      <c r="I8" s="116"/>
      <c r="J8" s="116"/>
      <c r="K8" s="116"/>
      <c r="L8" s="116"/>
    </row>
    <row r="9" spans="1:12" ht="14.25" customHeight="1" x14ac:dyDescent="0.25">
      <c r="A9" s="117" t="s">
        <v>13</v>
      </c>
      <c r="B9" s="117" t="s">
        <v>304</v>
      </c>
      <c r="C9" s="119" t="s">
        <v>305</v>
      </c>
      <c r="G9" s="108"/>
      <c r="H9" s="108"/>
      <c r="I9" s="108"/>
      <c r="J9" s="108"/>
      <c r="K9" s="108"/>
      <c r="L9" s="108"/>
    </row>
    <row r="10" spans="1:12" ht="14.25" customHeight="1" x14ac:dyDescent="0.25">
      <c r="A10" s="117" t="s">
        <v>104</v>
      </c>
      <c r="B10" s="117" t="s">
        <v>306</v>
      </c>
      <c r="C10" s="119" t="s">
        <v>307</v>
      </c>
      <c r="G10" s="108"/>
      <c r="H10" s="108"/>
      <c r="I10" s="108"/>
      <c r="J10" s="108"/>
      <c r="K10" s="108"/>
      <c r="L10" s="108"/>
    </row>
    <row r="11" spans="1:12" ht="14.25" customHeight="1" x14ac:dyDescent="0.25">
      <c r="A11" s="117" t="s">
        <v>308</v>
      </c>
      <c r="B11" s="117" t="s">
        <v>309</v>
      </c>
      <c r="C11" s="119" t="s">
        <v>310</v>
      </c>
      <c r="G11" s="108"/>
      <c r="H11" s="108"/>
      <c r="I11" s="108"/>
      <c r="J11" s="108"/>
      <c r="K11" s="108"/>
      <c r="L11" s="108"/>
    </row>
    <row r="12" spans="1:12" ht="14.25" customHeight="1" x14ac:dyDescent="0.25">
      <c r="A12" s="117" t="s">
        <v>311</v>
      </c>
      <c r="B12" s="117" t="s">
        <v>312</v>
      </c>
      <c r="C12" s="119" t="s">
        <v>962</v>
      </c>
      <c r="G12" s="108"/>
      <c r="H12" s="108"/>
      <c r="I12" s="108"/>
      <c r="J12" s="108"/>
      <c r="K12" s="108"/>
      <c r="L12" s="108"/>
    </row>
    <row r="13" spans="1:12" ht="14.25" customHeight="1" x14ac:dyDescent="0.25">
      <c r="A13" s="117" t="s">
        <v>14</v>
      </c>
      <c r="B13" s="117" t="s">
        <v>313</v>
      </c>
      <c r="C13" s="119" t="s">
        <v>314</v>
      </c>
      <c r="G13" s="108"/>
      <c r="H13" s="108"/>
      <c r="I13" s="108"/>
      <c r="J13" s="108"/>
      <c r="K13" s="108"/>
      <c r="L13" s="108"/>
    </row>
    <row r="14" spans="1:12" ht="14.25" customHeight="1" x14ac:dyDescent="0.25">
      <c r="A14" s="117" t="s">
        <v>98</v>
      </c>
      <c r="B14" s="117" t="s">
        <v>315</v>
      </c>
      <c r="C14" s="119" t="s">
        <v>316</v>
      </c>
      <c r="G14" s="116"/>
      <c r="H14" s="116"/>
      <c r="I14" s="116"/>
      <c r="J14" s="116"/>
      <c r="K14" s="116"/>
      <c r="L14" s="116"/>
    </row>
    <row r="15" spans="1:12" ht="14.25" customHeight="1" x14ac:dyDescent="0.25">
      <c r="A15" s="117" t="s">
        <v>1</v>
      </c>
      <c r="B15" s="117" t="s">
        <v>317</v>
      </c>
      <c r="C15" s="120" t="s">
        <v>318</v>
      </c>
      <c r="G15" s="108"/>
      <c r="H15" s="108"/>
      <c r="I15" s="108"/>
      <c r="J15" s="108"/>
      <c r="K15" s="108"/>
      <c r="L15" s="108"/>
    </row>
    <row r="16" spans="1:12" ht="14.25" customHeight="1" x14ac:dyDescent="0.25">
      <c r="A16" s="117" t="s">
        <v>319</v>
      </c>
      <c r="B16" s="117" t="s">
        <v>320</v>
      </c>
      <c r="C16" s="119" t="s">
        <v>321</v>
      </c>
      <c r="G16" s="108"/>
      <c r="H16" s="108"/>
      <c r="I16" s="108"/>
      <c r="J16" s="108"/>
      <c r="K16" s="108"/>
      <c r="L16" s="108"/>
    </row>
    <row r="17" spans="1:12" ht="14.25" customHeight="1" x14ac:dyDescent="0.25">
      <c r="A17" s="117" t="s">
        <v>2</v>
      </c>
      <c r="B17" s="117" t="s">
        <v>322</v>
      </c>
      <c r="C17" s="119" t="s">
        <v>323</v>
      </c>
      <c r="G17" s="108"/>
      <c r="H17" s="108"/>
      <c r="I17" s="108"/>
      <c r="J17" s="108"/>
      <c r="K17" s="108"/>
      <c r="L17" s="108"/>
    </row>
    <row r="18" spans="1:12" ht="14.25" customHeight="1" x14ac:dyDescent="0.25">
      <c r="A18" s="117" t="s">
        <v>324</v>
      </c>
      <c r="B18" s="117" t="s">
        <v>325</v>
      </c>
      <c r="C18" s="119" t="s">
        <v>326</v>
      </c>
      <c r="G18" s="116"/>
      <c r="H18" s="116"/>
      <c r="I18" s="116"/>
      <c r="J18" s="116"/>
      <c r="K18" s="116"/>
      <c r="L18" s="116"/>
    </row>
    <row r="19" spans="1:12" ht="14.25" customHeight="1" x14ac:dyDescent="0.25">
      <c r="A19" s="117" t="s">
        <v>0</v>
      </c>
      <c r="B19" s="117" t="s">
        <v>327</v>
      </c>
      <c r="C19" s="119" t="s">
        <v>328</v>
      </c>
      <c r="G19" s="116"/>
      <c r="H19" s="116"/>
      <c r="I19" s="116"/>
      <c r="J19" s="116"/>
      <c r="K19" s="116"/>
      <c r="L19" s="116"/>
    </row>
    <row r="20" spans="1:12" ht="14.25" customHeight="1" x14ac:dyDescent="0.25">
      <c r="A20" s="117" t="s">
        <v>7</v>
      </c>
      <c r="B20" s="117" t="s">
        <v>329</v>
      </c>
      <c r="C20" s="119" t="s">
        <v>330</v>
      </c>
      <c r="G20" s="116"/>
      <c r="H20" s="116"/>
      <c r="I20" s="116"/>
      <c r="J20" s="116"/>
      <c r="K20" s="116"/>
      <c r="L20" s="116"/>
    </row>
    <row r="21" spans="1:12" ht="14.25" customHeight="1" x14ac:dyDescent="0.25">
      <c r="A21" s="117" t="s">
        <v>331</v>
      </c>
      <c r="B21" s="117" t="s">
        <v>332</v>
      </c>
      <c r="C21" s="119" t="s">
        <v>333</v>
      </c>
      <c r="G21" s="108"/>
      <c r="H21" s="108"/>
      <c r="I21" s="108"/>
      <c r="J21" s="108"/>
      <c r="K21" s="108"/>
      <c r="L21" s="108"/>
    </row>
    <row r="22" spans="1:12" ht="14.25" customHeight="1" x14ac:dyDescent="0.25">
      <c r="A22" s="117" t="s">
        <v>12</v>
      </c>
      <c r="B22" s="117" t="s">
        <v>334</v>
      </c>
      <c r="C22" s="119" t="s">
        <v>335</v>
      </c>
      <c r="G22" s="108"/>
      <c r="H22" s="108"/>
      <c r="I22" s="108"/>
      <c r="J22" s="108"/>
      <c r="K22" s="108"/>
      <c r="L22" s="108"/>
    </row>
    <row r="23" spans="1:12" ht="14.25" customHeight="1" x14ac:dyDescent="0.25">
      <c r="A23" s="117" t="s">
        <v>336</v>
      </c>
      <c r="B23" s="117" t="s">
        <v>337</v>
      </c>
      <c r="C23" s="119" t="s">
        <v>338</v>
      </c>
      <c r="G23" s="108"/>
      <c r="H23" s="108"/>
      <c r="I23" s="108"/>
      <c r="J23" s="108"/>
      <c r="K23" s="108"/>
      <c r="L23" s="108"/>
    </row>
    <row r="24" spans="1:12" ht="14.25" customHeight="1" x14ac:dyDescent="0.25">
      <c r="A24" s="117" t="s">
        <v>339</v>
      </c>
      <c r="B24" s="117" t="s">
        <v>340</v>
      </c>
      <c r="C24" s="119" t="s">
        <v>341</v>
      </c>
      <c r="G24" s="108"/>
      <c r="H24" s="108"/>
      <c r="I24" s="108"/>
      <c r="J24" s="108"/>
      <c r="K24" s="108"/>
      <c r="L24" s="108"/>
    </row>
  </sheetData>
  <mergeCells count="1">
    <mergeCell ref="F2:L2"/>
  </mergeCells>
  <conditionalFormatting sqref="A5:A5000">
    <cfRule type="duplicateValues" dxfId="3"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tabColor theme="9" tint="0.39997558519241921"/>
  </sheetPr>
  <dimension ref="A1:L25"/>
  <sheetViews>
    <sheetView zoomScaleNormal="100" workbookViewId="0">
      <pane ySplit="4" topLeftCell="A5" activePane="bottomLeft" state="frozen"/>
      <selection activeCell="Q35" sqref="P35:Q35"/>
      <selection pane="bottomLeft" activeCell="D1" sqref="D1"/>
    </sheetView>
  </sheetViews>
  <sheetFormatPr defaultColWidth="40" defaultRowHeight="15.75" customHeight="1" x14ac:dyDescent="0.25"/>
  <cols>
    <col min="1" max="1" width="14.83203125" style="33" bestFit="1" customWidth="1"/>
    <col min="2" max="2" width="40" style="33"/>
    <col min="3" max="3" width="44" style="126" customWidth="1"/>
    <col min="4" max="4" width="12.83203125" style="33" bestFit="1" customWidth="1"/>
    <col min="5" max="5" width="13.5" style="33" bestFit="1" customWidth="1"/>
    <col min="6" max="6" width="14" style="33" bestFit="1" customWidth="1"/>
    <col min="7" max="7" width="40" style="33"/>
    <col min="8" max="8" width="40" style="91"/>
    <col min="9" max="16384" width="40" style="33"/>
  </cols>
  <sheetData>
    <row r="1" spans="1:12" s="86" customFormat="1" ht="15.75" customHeight="1" x14ac:dyDescent="0.25">
      <c r="A1" s="85" t="s">
        <v>43</v>
      </c>
      <c r="B1" s="183" t="s">
        <v>15</v>
      </c>
      <c r="C1" s="124" t="s">
        <v>44</v>
      </c>
      <c r="D1" s="184" t="s">
        <v>132</v>
      </c>
      <c r="E1" s="85" t="s">
        <v>209</v>
      </c>
      <c r="F1" s="183" t="s">
        <v>946</v>
      </c>
      <c r="G1" s="85" t="s">
        <v>9</v>
      </c>
      <c r="H1" s="183"/>
      <c r="I1" s="82" t="s">
        <v>262</v>
      </c>
      <c r="J1" s="181" t="b">
        <v>0</v>
      </c>
    </row>
    <row r="2" spans="1:12" s="43" customFormat="1" ht="15.75" customHeight="1" x14ac:dyDescent="0.25">
      <c r="A2" s="102" t="s">
        <v>366</v>
      </c>
      <c r="B2" s="141" t="s">
        <v>365</v>
      </c>
      <c r="C2" s="141" t="s">
        <v>199</v>
      </c>
      <c r="D2" s="141" t="s">
        <v>363</v>
      </c>
      <c r="E2" s="42"/>
      <c r="F2" s="284" t="s">
        <v>292</v>
      </c>
      <c r="G2" s="285"/>
      <c r="H2" s="285"/>
      <c r="I2" s="286"/>
      <c r="J2" s="66"/>
    </row>
    <row r="3" spans="1:12" s="43" customFormat="1" ht="15.75" customHeight="1" x14ac:dyDescent="0.25">
      <c r="A3" s="141" t="s">
        <v>404</v>
      </c>
      <c r="B3" s="141" t="s">
        <v>362</v>
      </c>
      <c r="C3" s="141" t="s">
        <v>293</v>
      </c>
      <c r="D3" s="141" t="s">
        <v>364</v>
      </c>
      <c r="E3" s="42"/>
      <c r="F3" s="106" t="s">
        <v>293</v>
      </c>
      <c r="G3" s="107"/>
      <c r="H3" s="107"/>
      <c r="I3" s="107"/>
      <c r="J3" s="66"/>
    </row>
    <row r="4" spans="1:12" s="47" customFormat="1" ht="15.75" customHeight="1" x14ac:dyDescent="0.25">
      <c r="A4" s="32" t="s">
        <v>6</v>
      </c>
      <c r="B4" s="32" t="s">
        <v>209</v>
      </c>
      <c r="C4" s="62" t="s">
        <v>9</v>
      </c>
      <c r="D4" s="45" t="s">
        <v>45</v>
      </c>
      <c r="E4" s="46" t="s">
        <v>294</v>
      </c>
      <c r="F4" s="108" t="s">
        <v>291</v>
      </c>
      <c r="G4" s="107"/>
      <c r="H4" s="107"/>
      <c r="I4" s="107"/>
      <c r="J4" s="48"/>
    </row>
    <row r="5" spans="1:12" ht="15.75" customHeight="1" x14ac:dyDescent="0.25">
      <c r="A5" s="90" t="s">
        <v>157</v>
      </c>
      <c r="B5" s="90" t="s">
        <v>57</v>
      </c>
      <c r="C5" s="125" t="s">
        <v>73</v>
      </c>
      <c r="D5" s="90"/>
      <c r="E5" s="90"/>
      <c r="F5"/>
      <c r="G5" s="107"/>
      <c r="H5" s="107"/>
      <c r="I5" s="107"/>
      <c r="J5" s="90"/>
      <c r="K5" s="90"/>
      <c r="L5" s="88"/>
    </row>
    <row r="6" spans="1:12" ht="15.75" customHeight="1" x14ac:dyDescent="0.25">
      <c r="A6" s="90" t="s">
        <v>158</v>
      </c>
      <c r="B6" s="90" t="s">
        <v>58</v>
      </c>
      <c r="C6" s="125" t="s">
        <v>74</v>
      </c>
      <c r="D6" s="90"/>
      <c r="E6" s="90"/>
      <c r="F6"/>
      <c r="G6" s="107"/>
      <c r="H6" s="107"/>
      <c r="I6" s="107"/>
      <c r="J6" s="90"/>
      <c r="K6" s="90"/>
      <c r="L6" s="88"/>
    </row>
    <row r="7" spans="1:12" ht="15.75" customHeight="1" x14ac:dyDescent="0.25">
      <c r="A7" s="90" t="s">
        <v>159</v>
      </c>
      <c r="B7" s="90" t="s">
        <v>160</v>
      </c>
      <c r="C7" s="125" t="s">
        <v>75</v>
      </c>
      <c r="D7" s="90"/>
      <c r="E7" s="90"/>
      <c r="F7"/>
      <c r="G7" s="107"/>
      <c r="H7" s="107"/>
      <c r="I7" s="107"/>
      <c r="J7" s="90"/>
      <c r="K7" s="90"/>
      <c r="L7" s="88"/>
    </row>
    <row r="8" spans="1:12" ht="15.75" customHeight="1" x14ac:dyDescent="0.25">
      <c r="A8" s="90" t="s">
        <v>161</v>
      </c>
      <c r="B8" s="90" t="s">
        <v>162</v>
      </c>
      <c r="C8" s="125" t="s">
        <v>76</v>
      </c>
      <c r="D8" s="90"/>
      <c r="E8" s="90"/>
      <c r="F8"/>
      <c r="G8" s="107"/>
      <c r="H8" s="107"/>
      <c r="I8" s="107"/>
      <c r="J8" s="90"/>
      <c r="K8" s="90"/>
      <c r="L8" s="88"/>
    </row>
    <row r="9" spans="1:12" ht="15.75" customHeight="1" x14ac:dyDescent="0.25">
      <c r="A9" s="90" t="s">
        <v>163</v>
      </c>
      <c r="B9" s="90" t="s">
        <v>164</v>
      </c>
      <c r="C9" s="125" t="s">
        <v>77</v>
      </c>
      <c r="D9" s="90"/>
      <c r="E9" s="90"/>
      <c r="F9" s="90"/>
      <c r="G9" s="107"/>
      <c r="H9" s="107"/>
      <c r="I9" s="107"/>
      <c r="J9" s="90"/>
      <c r="K9" s="90"/>
      <c r="L9" s="88"/>
    </row>
    <row r="10" spans="1:12" ht="15.75" customHeight="1" x14ac:dyDescent="0.25">
      <c r="A10" s="90" t="s">
        <v>165</v>
      </c>
      <c r="B10" s="90" t="s">
        <v>166</v>
      </c>
      <c r="C10" s="125" t="s">
        <v>78</v>
      </c>
      <c r="D10" s="90"/>
      <c r="E10" s="90"/>
      <c r="F10" s="90"/>
      <c r="G10" s="107"/>
      <c r="H10" s="107"/>
      <c r="I10" s="107"/>
      <c r="J10" s="90"/>
      <c r="K10" s="90"/>
      <c r="L10" s="88"/>
    </row>
    <row r="11" spans="1:12" ht="15.75" customHeight="1" x14ac:dyDescent="0.25">
      <c r="A11" s="90" t="s">
        <v>167</v>
      </c>
      <c r="B11" s="90" t="s">
        <v>168</v>
      </c>
      <c r="C11" s="125" t="s">
        <v>79</v>
      </c>
      <c r="D11" s="90"/>
      <c r="E11" s="90"/>
      <c r="F11" s="90"/>
      <c r="G11" s="107"/>
      <c r="H11" s="107"/>
      <c r="I11" s="107"/>
      <c r="J11" s="90"/>
      <c r="K11" s="90"/>
      <c r="L11" s="88"/>
    </row>
    <row r="12" spans="1:12" ht="15.75" customHeight="1" x14ac:dyDescent="0.25">
      <c r="A12" s="90" t="s">
        <v>169</v>
      </c>
      <c r="B12" s="90" t="s">
        <v>170</v>
      </c>
      <c r="C12" s="125" t="s">
        <v>80</v>
      </c>
      <c r="D12" s="90"/>
      <c r="E12" s="90"/>
      <c r="F12" s="90"/>
      <c r="G12" s="107"/>
      <c r="H12" s="107"/>
      <c r="I12" s="107"/>
      <c r="J12" s="90"/>
      <c r="K12" s="90"/>
      <c r="L12" s="88"/>
    </row>
    <row r="13" spans="1:12" ht="15.75" customHeight="1" x14ac:dyDescent="0.25">
      <c r="A13" s="90" t="s">
        <v>171</v>
      </c>
      <c r="B13" s="90" t="s">
        <v>172</v>
      </c>
      <c r="C13" s="125" t="s">
        <v>81</v>
      </c>
      <c r="D13" s="90"/>
      <c r="E13" s="90"/>
      <c r="F13" s="90"/>
      <c r="G13" s="107"/>
      <c r="H13" s="107"/>
      <c r="I13" s="107"/>
      <c r="J13" s="90"/>
      <c r="K13" s="90"/>
      <c r="L13" s="88"/>
    </row>
    <row r="14" spans="1:12" ht="15.75" customHeight="1" x14ac:dyDescent="0.25">
      <c r="A14" s="90" t="s">
        <v>173</v>
      </c>
      <c r="B14" s="90" t="s">
        <v>71</v>
      </c>
      <c r="C14" s="125" t="s">
        <v>82</v>
      </c>
      <c r="D14" s="90"/>
      <c r="E14" s="90"/>
      <c r="F14" s="90"/>
      <c r="G14" s="107"/>
      <c r="H14" s="107"/>
      <c r="I14" s="107"/>
      <c r="J14" s="90"/>
      <c r="K14" s="90"/>
      <c r="L14" s="88"/>
    </row>
    <row r="15" spans="1:12" ht="15.75" customHeight="1" x14ac:dyDescent="0.25">
      <c r="A15" s="90" t="s">
        <v>174</v>
      </c>
      <c r="B15" s="90" t="s">
        <v>72</v>
      </c>
      <c r="C15" s="125" t="s">
        <v>83</v>
      </c>
      <c r="D15" s="90"/>
      <c r="E15" s="90"/>
      <c r="F15" s="90"/>
      <c r="G15" s="107"/>
      <c r="H15" s="107"/>
      <c r="I15" s="107"/>
      <c r="J15" s="90"/>
      <c r="K15" s="90"/>
      <c r="L15" s="88"/>
    </row>
    <row r="16" spans="1:12" ht="15.75" customHeight="1" x14ac:dyDescent="0.25">
      <c r="A16" s="90" t="s">
        <v>175</v>
      </c>
      <c r="B16" s="90" t="s">
        <v>84</v>
      </c>
      <c r="C16" s="125" t="s">
        <v>87</v>
      </c>
      <c r="D16" s="90"/>
      <c r="E16" s="90"/>
      <c r="F16" s="90"/>
      <c r="G16" s="107"/>
      <c r="H16" s="107"/>
      <c r="I16" s="107"/>
      <c r="J16" s="90"/>
      <c r="K16" s="90"/>
      <c r="L16" s="88"/>
    </row>
    <row r="17" spans="1:12" ht="15.75" customHeight="1" x14ac:dyDescent="0.25">
      <c r="A17" s="90" t="s">
        <v>176</v>
      </c>
      <c r="B17" s="90" t="s">
        <v>85</v>
      </c>
      <c r="C17" s="125" t="s">
        <v>88</v>
      </c>
      <c r="D17" s="90"/>
      <c r="E17" s="90"/>
      <c r="F17" s="90"/>
      <c r="G17" s="107"/>
      <c r="H17" s="107"/>
      <c r="I17" s="107"/>
      <c r="J17" s="90"/>
      <c r="K17" s="90"/>
      <c r="L17" s="88"/>
    </row>
    <row r="18" spans="1:12" ht="15.75" customHeight="1" x14ac:dyDescent="0.25">
      <c r="A18" s="90" t="s">
        <v>177</v>
      </c>
      <c r="B18" s="90" t="s">
        <v>86</v>
      </c>
      <c r="C18" s="125" t="s">
        <v>89</v>
      </c>
      <c r="D18" s="90"/>
      <c r="E18" s="90"/>
      <c r="F18" s="90"/>
      <c r="G18" s="107"/>
      <c r="H18" s="107"/>
      <c r="I18" s="107"/>
      <c r="J18" s="90"/>
      <c r="K18" s="90"/>
      <c r="L18" s="88"/>
    </row>
    <row r="19" spans="1:12" ht="15.75" customHeight="1" x14ac:dyDescent="0.25">
      <c r="A19" s="90" t="s">
        <v>59</v>
      </c>
      <c r="B19" s="90" t="s">
        <v>178</v>
      </c>
      <c r="C19" s="125" t="s">
        <v>60</v>
      </c>
      <c r="D19" s="90"/>
      <c r="E19" s="90"/>
      <c r="F19" s="90"/>
      <c r="G19" s="107"/>
      <c r="H19" s="107"/>
      <c r="I19" s="107"/>
      <c r="J19" s="90"/>
      <c r="K19" s="90"/>
      <c r="L19" s="88"/>
    </row>
    <row r="20" spans="1:12" ht="15.75" customHeight="1" x14ac:dyDescent="0.25">
      <c r="A20" s="90" t="s">
        <v>61</v>
      </c>
      <c r="B20" s="90" t="s">
        <v>62</v>
      </c>
      <c r="C20" s="125" t="s">
        <v>60</v>
      </c>
      <c r="D20" s="90"/>
      <c r="E20" s="90"/>
      <c r="F20" s="90"/>
      <c r="G20" s="107"/>
      <c r="H20" s="107"/>
      <c r="I20" s="107"/>
      <c r="J20" s="90"/>
      <c r="K20" s="90"/>
      <c r="L20" s="88"/>
    </row>
    <row r="21" spans="1:12" ht="15.75" customHeight="1" x14ac:dyDescent="0.25">
      <c r="A21" s="90" t="s">
        <v>63</v>
      </c>
      <c r="B21" s="90" t="s">
        <v>23</v>
      </c>
      <c r="C21" s="125" t="s">
        <v>60</v>
      </c>
      <c r="D21" s="90"/>
      <c r="E21" s="90"/>
      <c r="F21" s="90"/>
      <c r="G21" s="107"/>
      <c r="H21" s="107"/>
      <c r="I21" s="107"/>
      <c r="J21" s="90"/>
      <c r="K21" s="90"/>
      <c r="L21" s="88"/>
    </row>
    <row r="22" spans="1:12" ht="15.75" customHeight="1" x14ac:dyDescent="0.25">
      <c r="A22" s="90" t="s">
        <v>64</v>
      </c>
      <c r="B22" s="90" t="s">
        <v>24</v>
      </c>
      <c r="C22" s="125" t="s">
        <v>60</v>
      </c>
      <c r="D22" s="90"/>
      <c r="E22" s="90"/>
      <c r="F22" s="90"/>
      <c r="G22" s="107"/>
      <c r="H22" s="107"/>
      <c r="I22" s="107"/>
      <c r="J22" s="90"/>
      <c r="K22" s="90"/>
      <c r="L22" s="88"/>
    </row>
    <row r="23" spans="1:12" ht="15.75" customHeight="1" x14ac:dyDescent="0.25">
      <c r="A23" s="90" t="s">
        <v>65</v>
      </c>
      <c r="B23" s="90" t="s">
        <v>66</v>
      </c>
      <c r="C23" s="125" t="s">
        <v>60</v>
      </c>
      <c r="D23" s="90"/>
      <c r="E23" s="90"/>
      <c r="F23" s="90"/>
      <c r="G23" s="107"/>
      <c r="H23" s="107"/>
      <c r="I23" s="107"/>
      <c r="J23" s="90"/>
      <c r="K23" s="90"/>
      <c r="L23" s="88"/>
    </row>
    <row r="24" spans="1:12" ht="15.75" customHeight="1" x14ac:dyDescent="0.25">
      <c r="A24" s="90" t="s">
        <v>67</v>
      </c>
      <c r="B24" s="90" t="s">
        <v>68</v>
      </c>
      <c r="C24" s="125" t="s">
        <v>60</v>
      </c>
      <c r="D24" s="90"/>
      <c r="E24" s="90"/>
      <c r="F24" s="90"/>
      <c r="G24" s="107"/>
      <c r="H24" s="107"/>
      <c r="I24" s="107"/>
      <c r="J24" s="90"/>
      <c r="K24" s="90"/>
      <c r="L24" s="88"/>
    </row>
    <row r="25" spans="1:12" ht="15.75" customHeight="1" x14ac:dyDescent="0.25">
      <c r="A25" s="90" t="s">
        <v>69</v>
      </c>
      <c r="B25" s="90" t="s">
        <v>70</v>
      </c>
      <c r="C25" s="125" t="s">
        <v>60</v>
      </c>
      <c r="D25" s="90"/>
      <c r="E25" s="90"/>
      <c r="F25" s="90"/>
      <c r="G25" s="107"/>
      <c r="H25" s="107"/>
      <c r="I25" s="107"/>
      <c r="J25" s="90"/>
      <c r="K25" s="90"/>
      <c r="L25" s="88"/>
    </row>
  </sheetData>
  <mergeCells count="1">
    <mergeCell ref="F2:I2"/>
  </mergeCells>
  <conditionalFormatting sqref="A5:A5000">
    <cfRule type="duplicateValues" dxfId="2"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theme="9" tint="0.39997558519241921"/>
  </sheetPr>
  <dimension ref="A1:J35"/>
  <sheetViews>
    <sheetView zoomScaleNormal="100" workbookViewId="0">
      <pane ySplit="4" topLeftCell="A8" activePane="bottomLeft" state="frozen"/>
      <selection activeCell="Q35" sqref="P35:Q35"/>
      <selection pane="bottomLeft" activeCell="D1" sqref="D1"/>
    </sheetView>
  </sheetViews>
  <sheetFormatPr defaultColWidth="21.6640625" defaultRowHeight="15" x14ac:dyDescent="0.2"/>
  <cols>
    <col min="1" max="1" width="15" style="71" bestFit="1" customWidth="1"/>
    <col min="2" max="2" width="23.83203125" style="71" bestFit="1" customWidth="1"/>
    <col min="3" max="3" width="26" style="71" customWidth="1"/>
    <col min="4" max="4" width="21.6640625" style="71" bestFit="1" customWidth="1"/>
    <col min="5" max="5" width="13.5" style="71" bestFit="1" customWidth="1"/>
    <col min="6" max="6" width="16.5" style="71" bestFit="1" customWidth="1"/>
    <col min="7" max="7" width="13" style="71" bestFit="1" customWidth="1"/>
    <col min="8" max="8" width="17.6640625" style="71" bestFit="1" customWidth="1"/>
    <col min="9" max="9" width="7.83203125" style="71" bestFit="1" customWidth="1"/>
    <col min="10" max="10" width="7.33203125" style="71" bestFit="1" customWidth="1"/>
    <col min="11" max="16384" width="21.6640625" style="71"/>
  </cols>
  <sheetData>
    <row r="1" spans="1:10" s="83" customFormat="1" x14ac:dyDescent="0.2">
      <c r="A1" s="82" t="s">
        <v>43</v>
      </c>
      <c r="B1" s="181" t="s">
        <v>15</v>
      </c>
      <c r="C1" s="84" t="s">
        <v>44</v>
      </c>
      <c r="D1" s="182" t="s">
        <v>378</v>
      </c>
      <c r="E1" s="82" t="s">
        <v>209</v>
      </c>
      <c r="F1" s="181" t="s">
        <v>947</v>
      </c>
      <c r="G1" s="82" t="s">
        <v>9</v>
      </c>
      <c r="H1" s="181" t="s">
        <v>211</v>
      </c>
      <c r="I1" s="82" t="s">
        <v>262</v>
      </c>
      <c r="J1" s="181" t="b">
        <v>0</v>
      </c>
    </row>
    <row r="2" spans="1:10" s="66" customFormat="1" x14ac:dyDescent="0.2">
      <c r="A2" s="104" t="s">
        <v>366</v>
      </c>
      <c r="B2" s="149" t="s">
        <v>365</v>
      </c>
      <c r="C2" s="149" t="s">
        <v>199</v>
      </c>
      <c r="D2" s="149" t="s">
        <v>363</v>
      </c>
      <c r="E2" s="150"/>
      <c r="F2" s="284" t="s">
        <v>292</v>
      </c>
      <c r="G2" s="285"/>
      <c r="H2" s="285"/>
      <c r="I2" s="286"/>
    </row>
    <row r="3" spans="1:10" s="66" customFormat="1" x14ac:dyDescent="0.2">
      <c r="A3" s="141" t="s">
        <v>404</v>
      </c>
      <c r="B3" s="149" t="s">
        <v>362</v>
      </c>
      <c r="C3" s="149" t="s">
        <v>293</v>
      </c>
      <c r="D3" s="149" t="s">
        <v>364</v>
      </c>
      <c r="E3" s="150"/>
      <c r="F3" s="106" t="s">
        <v>293</v>
      </c>
      <c r="G3" s="151"/>
      <c r="H3" s="151"/>
      <c r="I3" s="151"/>
    </row>
    <row r="4" spans="1:10" s="59" customFormat="1" x14ac:dyDescent="0.2">
      <c r="A4" s="142" t="s">
        <v>6</v>
      </c>
      <c r="B4" s="142" t="s">
        <v>209</v>
      </c>
      <c r="C4" s="123" t="s">
        <v>9</v>
      </c>
      <c r="D4" s="152" t="s">
        <v>45</v>
      </c>
      <c r="E4" s="153" t="s">
        <v>294</v>
      </c>
      <c r="F4" s="108" t="s">
        <v>291</v>
      </c>
      <c r="G4" s="151"/>
      <c r="H4" s="151"/>
      <c r="I4" s="151"/>
      <c r="J4" s="60"/>
    </row>
    <row r="5" spans="1:10" ht="17.25" x14ac:dyDescent="0.25">
      <c r="A5" s="33">
        <v>0</v>
      </c>
      <c r="B5" s="33" t="s">
        <v>149</v>
      </c>
      <c r="C5" s="33" t="s">
        <v>413</v>
      </c>
    </row>
    <row r="6" spans="1:10" ht="17.25" x14ac:dyDescent="0.25">
      <c r="A6" s="33">
        <v>1</v>
      </c>
      <c r="B6" s="33" t="s">
        <v>150</v>
      </c>
      <c r="C6" s="33" t="s">
        <v>414</v>
      </c>
    </row>
    <row r="7" spans="1:10" x14ac:dyDescent="0.25">
      <c r="A7" s="33">
        <v>2</v>
      </c>
      <c r="B7" s="33" t="s">
        <v>151</v>
      </c>
      <c r="C7" s="33" t="s">
        <v>379</v>
      </c>
    </row>
    <row r="8" spans="1:10" x14ac:dyDescent="0.25">
      <c r="A8" s="33">
        <v>3</v>
      </c>
      <c r="B8" s="33" t="s">
        <v>152</v>
      </c>
      <c r="C8" s="33" t="s">
        <v>380</v>
      </c>
    </row>
    <row r="9" spans="1:10" ht="17.25" x14ac:dyDescent="0.25">
      <c r="A9" s="33">
        <v>4</v>
      </c>
      <c r="B9" s="33" t="s">
        <v>153</v>
      </c>
      <c r="C9" s="33" t="s">
        <v>415</v>
      </c>
    </row>
    <row r="10" spans="1:10" ht="17.25" x14ac:dyDescent="0.25">
      <c r="A10" s="33">
        <v>5</v>
      </c>
      <c r="B10" s="33" t="s">
        <v>154</v>
      </c>
      <c r="C10" s="33" t="s">
        <v>416</v>
      </c>
    </row>
    <row r="11" spans="1:10" ht="17.25" x14ac:dyDescent="0.25">
      <c r="A11" s="33">
        <v>6</v>
      </c>
      <c r="B11" s="33" t="s">
        <v>155</v>
      </c>
      <c r="C11" s="33" t="s">
        <v>417</v>
      </c>
    </row>
    <row r="12" spans="1:10" ht="17.25" x14ac:dyDescent="0.25">
      <c r="A12" s="33">
        <v>7</v>
      </c>
      <c r="B12" s="33" t="s">
        <v>381</v>
      </c>
      <c r="C12" s="33" t="s">
        <v>418</v>
      </c>
    </row>
    <row r="13" spans="1:10" ht="17.25" x14ac:dyDescent="0.25">
      <c r="A13" s="33">
        <v>8</v>
      </c>
      <c r="B13" s="33" t="s">
        <v>382</v>
      </c>
      <c r="C13" s="33" t="s">
        <v>419</v>
      </c>
    </row>
    <row r="14" spans="1:10" ht="17.25" x14ac:dyDescent="0.25">
      <c r="A14" s="33">
        <v>9</v>
      </c>
      <c r="B14" s="33" t="s">
        <v>156</v>
      </c>
      <c r="C14" s="33" t="s">
        <v>420</v>
      </c>
    </row>
    <row r="15" spans="1:10" ht="17.25" x14ac:dyDescent="0.25">
      <c r="A15" s="33">
        <v>10</v>
      </c>
      <c r="B15" s="33" t="s">
        <v>383</v>
      </c>
      <c r="C15" s="33" t="s">
        <v>421</v>
      </c>
    </row>
    <row r="16" spans="1:10" ht="17.25" x14ac:dyDescent="0.25">
      <c r="A16" s="33">
        <v>11</v>
      </c>
      <c r="B16" s="33" t="s">
        <v>384</v>
      </c>
      <c r="C16" s="33" t="s">
        <v>422</v>
      </c>
    </row>
    <row r="17" spans="1:3" ht="17.25" x14ac:dyDescent="0.25">
      <c r="A17" s="33">
        <v>12</v>
      </c>
      <c r="B17" s="33" t="s">
        <v>385</v>
      </c>
      <c r="C17" s="33" t="s">
        <v>423</v>
      </c>
    </row>
    <row r="18" spans="1:3" ht="17.25" x14ac:dyDescent="0.25">
      <c r="A18" s="33">
        <v>13</v>
      </c>
      <c r="B18" s="33" t="s">
        <v>386</v>
      </c>
      <c r="C18" s="33" t="s">
        <v>424</v>
      </c>
    </row>
    <row r="19" spans="1:3" ht="17.25" x14ac:dyDescent="0.25">
      <c r="A19" s="33">
        <v>14</v>
      </c>
      <c r="B19" s="33" t="s">
        <v>387</v>
      </c>
      <c r="C19" s="33" t="s">
        <v>425</v>
      </c>
    </row>
    <row r="20" spans="1:3" ht="17.25" x14ac:dyDescent="0.25">
      <c r="A20" s="33">
        <v>15</v>
      </c>
      <c r="B20" s="33" t="s">
        <v>388</v>
      </c>
      <c r="C20" s="33" t="s">
        <v>426</v>
      </c>
    </row>
    <row r="21" spans="1:3" ht="17.25" x14ac:dyDescent="0.25">
      <c r="A21" s="33">
        <v>-1</v>
      </c>
      <c r="B21" s="33" t="s">
        <v>389</v>
      </c>
      <c r="C21" s="33" t="s">
        <v>427</v>
      </c>
    </row>
    <row r="22" spans="1:3" ht="17.25" x14ac:dyDescent="0.25">
      <c r="A22" s="33">
        <v>-2</v>
      </c>
      <c r="B22" s="33" t="s">
        <v>390</v>
      </c>
      <c r="C22" s="33" t="s">
        <v>428</v>
      </c>
    </row>
    <row r="23" spans="1:3" ht="17.25" x14ac:dyDescent="0.25">
      <c r="A23" s="33">
        <v>-3</v>
      </c>
      <c r="B23" s="33" t="s">
        <v>376</v>
      </c>
      <c r="C23" s="33" t="s">
        <v>429</v>
      </c>
    </row>
    <row r="24" spans="1:3" ht="17.25" x14ac:dyDescent="0.25">
      <c r="A24" s="33">
        <v>-4</v>
      </c>
      <c r="B24" s="33" t="s">
        <v>391</v>
      </c>
      <c r="C24" s="33" t="s">
        <v>430</v>
      </c>
    </row>
    <row r="25" spans="1:3" ht="17.25" x14ac:dyDescent="0.25">
      <c r="A25" s="33">
        <v>-5</v>
      </c>
      <c r="B25" s="33" t="s">
        <v>392</v>
      </c>
      <c r="C25" s="33" t="s">
        <v>431</v>
      </c>
    </row>
    <row r="26" spans="1:3" ht="17.25" x14ac:dyDescent="0.25">
      <c r="A26" s="33">
        <v>-6</v>
      </c>
      <c r="B26" s="33" t="s">
        <v>393</v>
      </c>
      <c r="C26" s="33" t="s">
        <v>432</v>
      </c>
    </row>
    <row r="27" spans="1:3" ht="17.25" x14ac:dyDescent="0.25">
      <c r="A27" s="33">
        <v>-7</v>
      </c>
      <c r="B27" s="33" t="s">
        <v>394</v>
      </c>
      <c r="C27" s="33" t="s">
        <v>433</v>
      </c>
    </row>
    <row r="28" spans="1:3" ht="17.25" x14ac:dyDescent="0.25">
      <c r="A28" s="33">
        <v>-8</v>
      </c>
      <c r="B28" s="33" t="s">
        <v>395</v>
      </c>
      <c r="C28" s="33" t="s">
        <v>434</v>
      </c>
    </row>
    <row r="29" spans="1:3" ht="17.25" x14ac:dyDescent="0.25">
      <c r="A29" s="33">
        <v>-9</v>
      </c>
      <c r="B29" s="33" t="s">
        <v>396</v>
      </c>
      <c r="C29" s="33" t="s">
        <v>435</v>
      </c>
    </row>
    <row r="30" spans="1:3" ht="17.25" x14ac:dyDescent="0.25">
      <c r="A30" s="33">
        <v>-10</v>
      </c>
      <c r="B30" s="33" t="s">
        <v>397</v>
      </c>
      <c r="C30" s="33" t="s">
        <v>436</v>
      </c>
    </row>
    <row r="31" spans="1:3" ht="17.25" x14ac:dyDescent="0.25">
      <c r="A31" s="33">
        <v>-11</v>
      </c>
      <c r="B31" s="33" t="s">
        <v>398</v>
      </c>
      <c r="C31" s="33" t="s">
        <v>437</v>
      </c>
    </row>
    <row r="32" spans="1:3" ht="17.25" x14ac:dyDescent="0.25">
      <c r="A32" s="33">
        <v>-12</v>
      </c>
      <c r="B32" s="33" t="s">
        <v>399</v>
      </c>
      <c r="C32" s="33" t="s">
        <v>438</v>
      </c>
    </row>
    <row r="33" spans="1:3" ht="17.25" x14ac:dyDescent="0.25">
      <c r="A33" s="33">
        <v>-13</v>
      </c>
      <c r="B33" s="33" t="s">
        <v>400</v>
      </c>
      <c r="C33" s="33" t="s">
        <v>439</v>
      </c>
    </row>
    <row r="34" spans="1:3" ht="17.25" x14ac:dyDescent="0.25">
      <c r="A34" s="33">
        <v>-14</v>
      </c>
      <c r="B34" s="33" t="s">
        <v>401</v>
      </c>
      <c r="C34" s="33" t="s">
        <v>440</v>
      </c>
    </row>
    <row r="35" spans="1:3" ht="17.25" x14ac:dyDescent="0.25">
      <c r="A35" s="33">
        <v>-15</v>
      </c>
      <c r="B35" s="33" t="s">
        <v>402</v>
      </c>
      <c r="C35" s="33" t="s">
        <v>441</v>
      </c>
    </row>
  </sheetData>
  <mergeCells count="1">
    <mergeCell ref="F2:I2"/>
  </mergeCells>
  <conditionalFormatting sqref="A5:A5000">
    <cfRule type="duplicateValues" dxfId="1"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tabColor theme="9" tint="0.39997558519241921"/>
  </sheetPr>
  <dimension ref="A1:J14"/>
  <sheetViews>
    <sheetView zoomScaleNormal="100" workbookViewId="0">
      <selection activeCell="G16" sqref="G16"/>
    </sheetView>
  </sheetViews>
  <sheetFormatPr defaultRowHeight="12.75" x14ac:dyDescent="0.2"/>
  <cols>
    <col min="1" max="1" width="15" style="129" bestFit="1" customWidth="1"/>
    <col min="2" max="2" width="17.1640625" style="129" bestFit="1" customWidth="1"/>
    <col min="3" max="3" width="13.6640625" style="129" customWidth="1"/>
    <col min="4" max="4" width="21.6640625" style="129" bestFit="1" customWidth="1"/>
    <col min="5" max="5" width="13.5" style="129" bestFit="1" customWidth="1"/>
    <col min="6" max="6" width="13.83203125" style="129" customWidth="1"/>
    <col min="7" max="9" width="9.33203125" style="129"/>
  </cols>
  <sheetData>
    <row r="1" spans="1:10" ht="15" x14ac:dyDescent="0.25">
      <c r="A1" s="85" t="s">
        <v>43</v>
      </c>
      <c r="B1" s="183"/>
      <c r="C1" s="87" t="s">
        <v>44</v>
      </c>
      <c r="D1" s="184"/>
      <c r="E1" s="85" t="s">
        <v>209</v>
      </c>
      <c r="F1" s="183"/>
      <c r="G1" s="85" t="s">
        <v>9</v>
      </c>
      <c r="H1" s="183"/>
      <c r="I1" s="82" t="s">
        <v>262</v>
      </c>
      <c r="J1" s="181" t="b">
        <v>0</v>
      </c>
    </row>
    <row r="2" spans="1:10" ht="15" x14ac:dyDescent="0.25">
      <c r="A2" s="156" t="s">
        <v>366</v>
      </c>
      <c r="B2" s="157" t="s">
        <v>365</v>
      </c>
      <c r="C2" s="157" t="s">
        <v>199</v>
      </c>
      <c r="D2" s="157" t="s">
        <v>363</v>
      </c>
      <c r="E2" s="155"/>
      <c r="F2" s="285" t="s">
        <v>292</v>
      </c>
      <c r="G2" s="285"/>
      <c r="H2" s="285"/>
      <c r="I2" s="286"/>
      <c r="J2" s="66"/>
    </row>
    <row r="3" spans="1:10" ht="15" x14ac:dyDescent="0.25">
      <c r="A3" s="158" t="s">
        <v>404</v>
      </c>
      <c r="B3" s="157" t="s">
        <v>362</v>
      </c>
      <c r="C3" s="157" t="s">
        <v>293</v>
      </c>
      <c r="D3" s="157" t="s">
        <v>364</v>
      </c>
      <c r="E3" s="155"/>
      <c r="F3" s="154" t="s">
        <v>293</v>
      </c>
      <c r="J3" s="66"/>
    </row>
    <row r="4" spans="1:10" s="128" customFormat="1" ht="15" x14ac:dyDescent="0.2">
      <c r="A4" s="61" t="s">
        <v>6</v>
      </c>
      <c r="B4" s="61" t="s">
        <v>209</v>
      </c>
      <c r="C4" s="62" t="s">
        <v>9</v>
      </c>
      <c r="D4" s="63" t="s">
        <v>45</v>
      </c>
      <c r="E4" s="64" t="s">
        <v>294</v>
      </c>
      <c r="F4" s="108" t="s">
        <v>291</v>
      </c>
      <c r="G4" s="129"/>
      <c r="H4" s="129"/>
      <c r="I4" s="129"/>
      <c r="J4" s="159"/>
    </row>
    <row r="5" spans="1:10" ht="15" x14ac:dyDescent="0.25">
      <c r="J5" s="89"/>
    </row>
    <row r="6" spans="1:10" ht="15" x14ac:dyDescent="0.25">
      <c r="J6" s="89"/>
    </row>
    <row r="7" spans="1:10" ht="15" x14ac:dyDescent="0.25">
      <c r="J7" s="89"/>
    </row>
    <row r="8" spans="1:10" ht="15" x14ac:dyDescent="0.25">
      <c r="J8" s="89"/>
    </row>
    <row r="9" spans="1:10" ht="15" x14ac:dyDescent="0.25">
      <c r="J9" s="89"/>
    </row>
    <row r="10" spans="1:10" ht="15" x14ac:dyDescent="0.25">
      <c r="J10" s="89"/>
    </row>
    <row r="11" spans="1:10" ht="15" x14ac:dyDescent="0.25">
      <c r="J11" s="89"/>
    </row>
    <row r="12" spans="1:10" ht="15" x14ac:dyDescent="0.25">
      <c r="J12" s="89"/>
    </row>
    <row r="13" spans="1:10" ht="15" x14ac:dyDescent="0.25">
      <c r="J13" s="89"/>
    </row>
    <row r="14" spans="1:10" ht="15" x14ac:dyDescent="0.25">
      <c r="J14" s="89"/>
    </row>
  </sheetData>
  <protectedRanges>
    <protectedRange algorithmName="SHA-512" hashValue="tJCJQaOgfmy2r1rFYCnjXhzZEhE2kP4S8Vf+gB8pONH/1a7tGQ/hC3ume17TqtVdr7YBov/Z4zJR/nYK8XqTtQ==" saltValue="EGiuSnaV98/e+Uxf8wUSWg==" spinCount="100000" sqref="A2:E4 F3 F2:I2 F4" name="Range1"/>
  </protectedRanges>
  <mergeCells count="1">
    <mergeCell ref="F2:I2"/>
  </mergeCells>
  <conditionalFormatting sqref="A5:A5000">
    <cfRule type="duplicateValues" dxfId="0" priority="1"/>
  </conditionalFormatting>
  <hyperlinks>
    <hyperlink ref="B2" location="'Generate SDMX-ML'!A1" display="Generate"/>
    <hyperlink ref="B3" location="'Concept Scheme'!A1" display="Concept Scheme"/>
    <hyperlink ref="C2" location="DSDs!A1" display="DSDs"/>
    <hyperlink ref="C3" location="Dataflows!A1" display="Dataflows"/>
    <hyperlink ref="D2" location="'DSD-Concept Matrix'!A1" display="Matrix"/>
    <hyperlink ref="D3" location="ConstraintsSummary!A1" display="Constraints Summary"/>
    <hyperlink ref="A3" location="'Indicator-Concept Matrix'!A1" display="Indicator Matrix"/>
  </hyperlinks>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22</vt:i4>
      </vt:variant>
      <vt:variant>
        <vt:lpstr>Named Ranges</vt:lpstr>
      </vt:variant>
      <vt:variant>
        <vt:i4>15</vt:i4>
      </vt:variant>
    </vt:vector>
  </HeadingPairs>
  <TitlesOfParts>
    <vt:vector size="37" baseType="lpstr">
      <vt:lpstr>Generate SDMX &amp; Params</vt:lpstr>
      <vt:lpstr>Dropdowns</vt:lpstr>
      <vt:lpstr>How to use</vt:lpstr>
      <vt:lpstr>Indicator-Concept Matrix</vt:lpstr>
      <vt:lpstr>Concept Scheme</vt:lpstr>
      <vt:lpstr>DSDs</vt:lpstr>
      <vt:lpstr>Dataflows</vt:lpstr>
      <vt:lpstr>DSD-Concept Matrix</vt:lpstr>
      <vt:lpstr>CountDims</vt:lpstr>
      <vt:lpstr>XML_Fragments</vt:lpstr>
      <vt:lpstr>ConstraintsSummary</vt:lpstr>
      <vt:lpstr>CL_FREQ</vt:lpstr>
      <vt:lpstr>XML_Output</vt:lpstr>
      <vt:lpstr>CL_AREA</vt:lpstr>
      <vt:lpstr>CL_MEASURE</vt:lpstr>
      <vt:lpstr>CL_UNIT_MEASURE</vt:lpstr>
      <vt:lpstr>CL_CONF_STATUS</vt:lpstr>
      <vt:lpstr>CL_DECIMALS</vt:lpstr>
      <vt:lpstr>CL_OBS_STATUS</vt:lpstr>
      <vt:lpstr>CL_TIME_FORMAT</vt:lpstr>
      <vt:lpstr>CL_UNIT_MULT</vt:lpstr>
      <vt:lpstr>New CL Template</vt:lpstr>
      <vt:lpstr>ConAttrVals</vt:lpstr>
      <vt:lpstr>ConDims</vt:lpstr>
      <vt:lpstr>ConDimVals</vt:lpstr>
      <vt:lpstr>CountConsforDSDs</vt:lpstr>
      <vt:lpstr>CountDSDs</vt:lpstr>
      <vt:lpstr>CountUniqueDSDs</vt:lpstr>
      <vt:lpstr>'Indicator-Concept Matrix'!Criteria</vt:lpstr>
      <vt:lpstr>drpBoolean</vt:lpstr>
      <vt:lpstr>drpConceptRoles</vt:lpstr>
      <vt:lpstr>drpDimAttrMeas</vt:lpstr>
      <vt:lpstr>drpSenderReceiver</vt:lpstr>
      <vt:lpstr>drpTypes</vt:lpstr>
      <vt:lpstr>DSDDimCount</vt:lpstr>
      <vt:lpstr>DSDs</vt:lpstr>
      <vt:lpstr>FIRSTROW</vt:lpstr>
    </vt:vector>
  </TitlesOfParts>
  <Company>European Central Bank</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National Account DSD Matrix</dc:title>
  <dc:creator>Daniel Suranyi</dc:creator>
  <cp:lastModifiedBy>BARRACLOUGH David</cp:lastModifiedBy>
  <cp:lastPrinted>2014-08-06T09:27:06Z</cp:lastPrinted>
  <dcterms:created xsi:type="dcterms:W3CDTF">2011-12-08T17:03:22Z</dcterms:created>
  <dcterms:modified xsi:type="dcterms:W3CDTF">2019-02-27T15:09:42Z</dcterms:modified>
</cp:coreProperties>
</file>