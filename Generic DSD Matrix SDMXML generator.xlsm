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activeTab="17"/>
  </bookViews>
  <sheets>
    <sheet name="Generate SDMX &amp; Params" sheetId="84" r:id="rId1"/>
    <sheet name="Dropdowns" sheetId="92" r:id="rId2"/>
    <sheet name="How to use" sheetId="75" r:id="rId3"/>
    <sheet name="Indicator-Concept Matrix" sheetId="76" r:id="rId4"/>
    <sheet name="Concept Scheme" sheetId="68" r:id="rId5"/>
    <sheet name="CS with CL_REG" sheetId="129" state="hidden" r:id="rId6"/>
    <sheet name="DSDs" sheetId="85" r:id="rId7"/>
    <sheet name="Dataflows" sheetId="87" r:id="rId8"/>
    <sheet name="DSD-Concept Matrix" sheetId="2" r:id="rId9"/>
    <sheet name="Constraints" sheetId="88" state="hidden" r:id="rId10"/>
    <sheet name="CountDims" sheetId="77" state="hidden" r:id="rId11"/>
    <sheet name="XML_Fragments" sheetId="82" r:id="rId12"/>
    <sheet name="Constraints (2)" sheetId="89" state="hidden" r:id="rId13"/>
    <sheet name="DSD Matrix with CL_REG" sheetId="130" state="hidden" r:id="rId14"/>
    <sheet name="ConstraintsSummary" sheetId="90" r:id="rId15"/>
    <sheet name="CL_FREQ" sheetId="54" r:id="rId16"/>
    <sheet name="XML_Output" sheetId="83" state="hidden" r:id="rId17"/>
    <sheet name="CL_AREA" sheetId="49" r:id="rId18"/>
    <sheet name="CL_MEASURE" sheetId="78" r:id="rId19"/>
    <sheet name="CL_UNIT_MEASURE" sheetId="80" r:id="rId20"/>
    <sheet name="CL_CONF_STATUS" sheetId="69" r:id="rId21"/>
    <sheet name="CL_DECIMALS" sheetId="131" r:id="rId22"/>
    <sheet name="CL_OBS_STATUS" sheetId="70" r:id="rId23"/>
    <sheet name="CL_TIME_FORMAT" sheetId="72" r:id="rId24"/>
    <sheet name="CL_UNIT_MULT" sheetId="73" r:id="rId25"/>
    <sheet name="CL_AGGREGATION_OPERATION" sheetId="101" r:id="rId26"/>
    <sheet name="New CL Template" sheetId="91" r:id="rId27"/>
  </sheets>
  <functionGroups builtInGroupCount="18"/>
  <definedNames>
    <definedName name="_xlnm._FilterDatabase" localSheetId="17" hidden="1">CL_AREA!$A$4:$B$971</definedName>
    <definedName name="_xlnm._FilterDatabase" localSheetId="15" hidden="1">CL_FREQ!$A$4:$B$4</definedName>
    <definedName name="_xlnm._FilterDatabase" localSheetId="18" hidden="1">CL_MEASURE!$A$1:$B$940</definedName>
    <definedName name="_xlnm._FilterDatabase" localSheetId="19" hidden="1">CL_UNIT_MEASURE!$A$1:$B$944</definedName>
    <definedName name="_xlnm._FilterDatabase" localSheetId="13" hidden="1">'DSD Matrix with CL_REG'!$H$5:$N$5</definedName>
    <definedName name="_xlnm._FilterDatabase" localSheetId="8" hidden="1">'DSD-Concept Matrix'!$H$5:$K$5</definedName>
    <definedName name="_xlnm._FilterDatabase" localSheetId="3" hidden="1">'Indicator-Concept Matrix'!$A$1:$A$556</definedName>
    <definedName name="_Toc521320262" localSheetId="17">CL_AREA!#REF!</definedName>
    <definedName name="ConAttrs" localSheetId="13">'DSD Matrix with CL_REG'!$Q$15:$T$16</definedName>
    <definedName name="ConAttrs">'DSD-Concept Matrix'!#REF!</definedName>
    <definedName name="ConAttrVals" localSheetId="13">'DSD Matrix with CL_REG'!$L$6:$N$89</definedName>
    <definedName name="ConAttrVals">'DSD-Concept Matrix'!$K$6:$K$42</definedName>
    <definedName name="ConDims" localSheetId="13">'DSD Matrix with CL_REG'!$H$3:$J$4</definedName>
    <definedName name="ConDims">'DSD-Concept Matrix'!$H$3:$I$4</definedName>
    <definedName name="ConDimVals" localSheetId="13">'DSD Matrix with CL_REG'!$F$6:$AZ$100</definedName>
    <definedName name="ConDimVals">'DSD-Concept Matrix'!$F$6:$L$53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13">'DSD Matrix with CL_REG'!$D$6:$D$89</definedName>
    <definedName name="DSDDimCount">'DSD-Concept Matrix'!$D$6:$D$42</definedName>
    <definedName name="DSDIds">OFFSET(DSDs!$A$2,0,0,COUNTA(DSDs!$A:$A),1)</definedName>
    <definedName name="DSDs" localSheetId="13">'DSD Matrix with CL_REG'!$C$6:$C$89</definedName>
    <definedName name="DSDs">'DSD-Concept Matrix'!$C$6:$C$42</definedName>
    <definedName name="FIRSTROW">CountDims!$AR$2:$CB$2</definedName>
    <definedName name="Functional_category">#VALUE!</definedName>
    <definedName name="International_account_item" localSheetId="25">#REF!</definedName>
    <definedName name="International_account_item" localSheetId="18">#REF!</definedName>
    <definedName name="International_account_item" localSheetId="19">#REF!</definedName>
    <definedName name="International_account_item" localSheetId="12">#REF!</definedName>
    <definedName name="International_account_item" localSheetId="5">#REF!</definedName>
    <definedName name="International_account_item" localSheetId="7">#REF!</definedName>
    <definedName name="International_account_item" localSheetId="13">#REF!</definedName>
    <definedName name="International_account_item">#REF!</definedName>
    <definedName name="old_iai" localSheetId="25">#REF!</definedName>
    <definedName name="old_iai" localSheetId="18">#REF!</definedName>
    <definedName name="old_iai" localSheetId="19">#REF!</definedName>
    <definedName name="old_iai" localSheetId="12">#REF!</definedName>
    <definedName name="old_iai" localSheetId="5">#REF!</definedName>
    <definedName name="old_iai" localSheetId="7">#REF!</definedName>
    <definedName name="old_iai" localSheetId="13">#REF!</definedName>
    <definedName name="old_iai">#REF!</definedName>
    <definedName name="old_range" localSheetId="25">#REF!</definedName>
    <definedName name="old_range" localSheetId="18">#REF!</definedName>
    <definedName name="old_range" localSheetId="19">#REF!</definedName>
    <definedName name="old_range" localSheetId="12">#REF!</definedName>
    <definedName name="old_range" localSheetId="5">#REF!</definedName>
    <definedName name="old_range" localSheetId="7">#REF!</definedName>
    <definedName name="old_range" localSheetId="13">#REF!</definedName>
    <definedName name="old_range">#REF!</definedName>
    <definedName name="old_test" localSheetId="25">#REF!</definedName>
    <definedName name="old_test" localSheetId="18">#REF!</definedName>
    <definedName name="old_test" localSheetId="19">#REF!</definedName>
    <definedName name="old_test" localSheetId="12">#REF!</definedName>
    <definedName name="old_test" localSheetId="5">#REF!</definedName>
    <definedName name="old_test" localSheetId="7">#REF!</definedName>
    <definedName name="old_test" localSheetId="13">#REF!</definedName>
    <definedName name="old_test">#REF!</definedName>
    <definedName name="old_test1" localSheetId="25">#REF!</definedName>
    <definedName name="old_test1" localSheetId="18">#REF!</definedName>
    <definedName name="old_test1" localSheetId="19">#REF!</definedName>
    <definedName name="old_test1" localSheetId="12">#REF!</definedName>
    <definedName name="old_test1" localSheetId="5">#REF!</definedName>
    <definedName name="old_test1" localSheetId="7">#REF!</definedName>
    <definedName name="old_test1" localSheetId="13">#REF!</definedName>
    <definedName name="old_test1">#REF!</definedName>
    <definedName name="Range_DSTNotes" localSheetId="25">#REF!</definedName>
    <definedName name="Range_DSTNotes" localSheetId="18">#REF!</definedName>
    <definedName name="Range_DSTNotes" localSheetId="19">#REF!</definedName>
    <definedName name="Range_DSTNotes" localSheetId="12">#REF!</definedName>
    <definedName name="Range_DSTNotes" localSheetId="5">#REF!</definedName>
    <definedName name="Range_DSTNotes" localSheetId="7">#REF!</definedName>
    <definedName name="Range_DSTNotes" localSheetId="13">#REF!</definedName>
    <definedName name="Range_DSTNotes">#REF!</definedName>
    <definedName name="Reporting_sector_financial">#VALUE!</definedName>
    <definedName name="Test" localSheetId="25">#REF!</definedName>
    <definedName name="Test" localSheetId="18">#REF!</definedName>
    <definedName name="Test" localSheetId="19">#REF!</definedName>
    <definedName name="Test" localSheetId="12">#REF!</definedName>
    <definedName name="Test" localSheetId="5">#REF!</definedName>
    <definedName name="Test" localSheetId="7">#REF!</definedName>
    <definedName name="Test" localSheetId="13">#REF!</definedName>
    <definedName name="Test">#REF!</definedName>
    <definedName name="Test1" localSheetId="25">#REF!</definedName>
    <definedName name="Test1" localSheetId="18">#REF!</definedName>
    <definedName name="Test1" localSheetId="19">#REF!</definedName>
    <definedName name="Test1" localSheetId="12">#REF!</definedName>
    <definedName name="Test1" localSheetId="5">#REF!</definedName>
    <definedName name="Test1" localSheetId="7">#REF!</definedName>
    <definedName name="Test1" localSheetId="13">#REF!</definedName>
    <definedName name="Test1">#REF!</definedName>
    <definedName name="Z_609B000A_3B9D_4F2C_A882_9D8FED21A0B4_.wvu.Cols" localSheetId="13" hidden="1">'DSD Matrix with CL_REG'!#REF!</definedName>
    <definedName name="Z_609B000A_3B9D_4F2C_A882_9D8FED21A0B4_.wvu.Cols" localSheetId="8" hidden="1">'DSD-Concept Matrix'!#REF!</definedName>
    <definedName name="Z_609B000A_3B9D_4F2C_A882_9D8FED21A0B4_.wvu.FilterData" localSheetId="17" hidden="1">CL_AREA!$A$4:$B$737</definedName>
    <definedName name="Z_609B000A_3B9D_4F2C_A882_9D8FED21A0B4_.wvu.FilterData" localSheetId="15" hidden="1">CL_FREQ!$A$4:$B$4</definedName>
    <definedName name="Z_609B000A_3B9D_4F2C_A882_9D8FED21A0B4_.wvu.FilterData" localSheetId="18" hidden="1">CL_MEASURE!$A$1:$B$706</definedName>
    <definedName name="Z_609B000A_3B9D_4F2C_A882_9D8FED21A0B4_.wvu.FilterData" localSheetId="19" hidden="1">CL_UNIT_MEASURE!$A$1:$B$710</definedName>
    <definedName name="Z_609B000A_3B9D_4F2C_A882_9D8FED21A0B4_.wvu.FilterData" localSheetId="13" hidden="1">'DSD Matrix with CL_REG'!$A$5:$M$84</definedName>
    <definedName name="Z_609B000A_3B9D_4F2C_A882_9D8FED21A0B4_.wvu.FilterData" localSheetId="8" hidden="1">'DSD-Concept Matrix'!$A$5:$K$37</definedName>
    <definedName name="Z_AA319F07_CC98_498A_B8F0_88469E3CB718_.wvu.Cols" localSheetId="13" hidden="1">'DSD Matrix with CL_REG'!#REF!</definedName>
    <definedName name="Z_AA319F07_CC98_498A_B8F0_88469E3CB718_.wvu.Cols" localSheetId="8" hidden="1">'DSD-Concept Matrix'!#REF!</definedName>
    <definedName name="Z_AA319F07_CC98_498A_B8F0_88469E3CB718_.wvu.FilterData" localSheetId="17" hidden="1">CL_AREA!$A$4:$B$737</definedName>
    <definedName name="Z_AA319F07_CC98_498A_B8F0_88469E3CB718_.wvu.FilterData" localSheetId="15" hidden="1">CL_FREQ!$A$4:$B$4</definedName>
    <definedName name="Z_AA319F07_CC98_498A_B8F0_88469E3CB718_.wvu.FilterData" localSheetId="18" hidden="1">CL_MEASURE!$A$1:$B$706</definedName>
    <definedName name="Z_AA319F07_CC98_498A_B8F0_88469E3CB718_.wvu.FilterData" localSheetId="19" hidden="1">CL_UNIT_MEASURE!$A$1:$B$710</definedName>
    <definedName name="Z_AA319F07_CC98_498A_B8F0_88469E3CB718_.wvu.FilterData" localSheetId="13" hidden="1">'DSD Matrix with CL_REG'!$A$5:$M$84</definedName>
    <definedName name="Z_AA319F07_CC98_498A_B8F0_88469E3CB718_.wvu.FilterData" localSheetId="8" hidden="1">'DSD-Concept Matrix'!$A$5:$K$37</definedName>
    <definedName name="Z_ACF55590_2DD5_4F64_8513_A5656764A8B4_.wvu.FilterData" localSheetId="17" hidden="1">CL_AREA!$A$4:$B$737</definedName>
    <definedName name="Z_ACF55590_2DD5_4F64_8513_A5656764A8B4_.wvu.FilterData" localSheetId="15" hidden="1">CL_FREQ!$A$4:$B$4</definedName>
    <definedName name="Z_ACF55590_2DD5_4F64_8513_A5656764A8B4_.wvu.FilterData" localSheetId="18" hidden="1">CL_MEASURE!$A$1:$B$706</definedName>
    <definedName name="Z_ACF55590_2DD5_4F64_8513_A5656764A8B4_.wvu.FilterData" localSheetId="19" hidden="1">CL_UNIT_MEASURE!$A$1:$B$710</definedName>
    <definedName name="Z_ACF55590_2DD5_4F64_8513_A5656764A8B4_.wvu.FilterData" localSheetId="13" hidden="1">'DSD Matrix with CL_REG'!$A$5:$M$84</definedName>
    <definedName name="Z_ACF55590_2DD5_4F64_8513_A5656764A8B4_.wvu.FilterData" localSheetId="8" hidden="1">'DSD-Concept Matrix'!$A$5:$K$37</definedName>
    <definedName name="Z_E66E0E75_407A_4A45_A7DD_4716A0845D40_.wvu.FilterData" localSheetId="17" hidden="1">CL_AREA!$A$4:$B$737</definedName>
    <definedName name="Z_E66E0E75_407A_4A45_A7DD_4716A0845D40_.wvu.FilterData" localSheetId="15" hidden="1">CL_FREQ!$A$4:$B$4</definedName>
    <definedName name="Z_E66E0E75_407A_4A45_A7DD_4716A0845D40_.wvu.FilterData" localSheetId="18" hidden="1">CL_MEASURE!$A$1:$B$706</definedName>
    <definedName name="Z_E66E0E75_407A_4A45_A7DD_4716A0845D40_.wvu.FilterData" localSheetId="19" hidden="1">CL_UNIT_MEASURE!$A$1:$B$710</definedName>
    <definedName name="Z_E66E0E75_407A_4A45_A7DD_4716A0845D40_.wvu.FilterData" localSheetId="13" hidden="1">'DSD Matrix with CL_REG'!$A$5:$M$84</definedName>
    <definedName name="Z_E66E0E75_407A_4A45_A7DD_4716A0845D40_.wvu.FilterData" localSheetId="8" hidden="1">'DSD-Concept Matrix'!$A$5:$K$37</definedName>
    <definedName name="Z_E7F7CB01_84EF_4CA7_B9F6_361080D9FD6D_.wvu.Cols" localSheetId="13" hidden="1">'DSD Matrix with CL_REG'!#REF!</definedName>
    <definedName name="Z_E7F7CB01_84EF_4CA7_B9F6_361080D9FD6D_.wvu.Cols" localSheetId="8" hidden="1">'DSD-Concept Matrix'!#REF!</definedName>
    <definedName name="Z_E7F7CB01_84EF_4CA7_B9F6_361080D9FD6D_.wvu.FilterData" localSheetId="17" hidden="1">CL_AREA!$A$4:$B$737</definedName>
    <definedName name="Z_E7F7CB01_84EF_4CA7_B9F6_361080D9FD6D_.wvu.FilterData" localSheetId="15" hidden="1">CL_FREQ!$A$4:$B$4</definedName>
    <definedName name="Z_E7F7CB01_84EF_4CA7_B9F6_361080D9FD6D_.wvu.FilterData" localSheetId="18" hidden="1">CL_MEASURE!$A$1:$B$706</definedName>
    <definedName name="Z_E7F7CB01_84EF_4CA7_B9F6_361080D9FD6D_.wvu.FilterData" localSheetId="19" hidden="1">CL_UNIT_MEASURE!$A$1:$B$710</definedName>
    <definedName name="Z_E7F7CB01_84EF_4CA7_B9F6_361080D9FD6D_.wvu.FilterData" localSheetId="13" hidden="1">'DSD Matrix with CL_REG'!$A$5:$M$84</definedName>
    <definedName name="Z_E7F7CB01_84EF_4CA7_B9F6_361080D9FD6D_.wvu.FilterData" localSheetId="8" hidden="1">'DSD-Concept Matrix'!$A$5:$K$37</definedName>
    <definedName name="Z_F7C97EE9_0129_4AF7_B3C1_B3102CE6FFA5_.wvu.FilterData" localSheetId="17" hidden="1">CL_AREA!$A$4:$B$737</definedName>
    <definedName name="Z_F7C97EE9_0129_4AF7_B3C1_B3102CE6FFA5_.wvu.FilterData" localSheetId="15" hidden="1">CL_FREQ!$A$4:$B$4</definedName>
    <definedName name="Z_F7C97EE9_0129_4AF7_B3C1_B3102CE6FFA5_.wvu.FilterData" localSheetId="18" hidden="1">CL_MEASURE!$A$1:$B$706</definedName>
    <definedName name="Z_F7C97EE9_0129_4AF7_B3C1_B3102CE6FFA5_.wvu.FilterData" localSheetId="19" hidden="1">CL_UNIT_MEASURE!$A$1:$B$710</definedName>
    <definedName name="Z_F7C97EE9_0129_4AF7_B3C1_B3102CE6FFA5_.wvu.FilterData" localSheetId="13" hidden="1">'DSD Matrix with CL_REG'!$A$5:$M$84</definedName>
    <definedName name="Z_F7C97EE9_0129_4AF7_B3C1_B3102CE6FFA5_.wvu.FilterData" localSheetId="8" hidden="1">'DSD-Concept Matrix'!$A$5:$K$37</definedName>
    <definedName name="Z_FC4FBBDB_A3CF_4CB2_B1C9_D5DDEB34891E_.wvu.FilterData" localSheetId="17" hidden="1">CL_AREA!$A$4:$B$737</definedName>
    <definedName name="Z_FC4FBBDB_A3CF_4CB2_B1C9_D5DDEB34891E_.wvu.FilterData" localSheetId="15" hidden="1">CL_FREQ!$A$4:$B$4</definedName>
    <definedName name="Z_FC4FBBDB_A3CF_4CB2_B1C9_D5DDEB34891E_.wvu.FilterData" localSheetId="18" hidden="1">CL_MEASURE!$A$1:$B$706</definedName>
    <definedName name="Z_FC4FBBDB_A3CF_4CB2_B1C9_D5DDEB34891E_.wvu.FilterData" localSheetId="19" hidden="1">CL_UNIT_MEASURE!$A$1:$B$710</definedName>
    <definedName name="Z_FC4FBBDB_A3CF_4CB2_B1C9_D5DDEB34891E_.wvu.FilterData" localSheetId="13" hidden="1">'DSD Matrix with CL_REG'!$A$5:$M$84</definedName>
    <definedName name="Z_FC4FBBDB_A3CF_4CB2_B1C9_D5DDEB34891E_.wvu.FilterData" localSheetId="8" hidden="1">'DSD-Concept Matrix'!$A$5:$K$37</definedName>
  </definedNames>
  <calcPr calcId="162913"/>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C5" i="130" l="1" a="1"/>
  <c r="C5" i="130" s="1"/>
  <c r="K2" i="87"/>
  <c r="C40" i="85" l="1"/>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D8" i="130"/>
  <c r="D38" i="130"/>
  <c r="D15" i="130"/>
  <c r="D48" i="130"/>
  <c r="D31" i="130"/>
  <c r="D24" i="130"/>
  <c r="D13" i="130"/>
  <c r="D25" i="130"/>
  <c r="D43" i="130"/>
  <c r="D14" i="130"/>
  <c r="D40" i="130"/>
  <c r="D18" i="130"/>
  <c r="BG10" i="77"/>
  <c r="AS10" i="77"/>
  <c r="AZ10" i="77"/>
  <c r="BL10" i="77"/>
  <c r="D7" i="130"/>
  <c r="BX10" i="77"/>
  <c r="D37" i="130"/>
  <c r="D22" i="130"/>
  <c r="D11" i="130"/>
  <c r="D39" i="130"/>
  <c r="D47" i="130"/>
  <c r="D21" i="130"/>
  <c r="D35" i="130"/>
  <c r="D19" i="130"/>
  <c r="D34" i="130"/>
  <c r="D50" i="130"/>
  <c r="D49" i="130"/>
  <c r="AQ37" i="77"/>
  <c r="AQ38" i="77" s="1"/>
  <c r="AQ39" i="77" s="1"/>
  <c r="AQ40" i="77" s="1"/>
  <c r="AQ41" i="77" s="1"/>
  <c r="AQ42" i="77" s="1"/>
  <c r="AQ43" i="77" s="1"/>
  <c r="AQ44" i="77" s="1"/>
  <c r="AQ45" i="77" s="1"/>
  <c r="AQ46" i="77" s="1"/>
  <c r="AQ47" i="77" s="1"/>
  <c r="AQ48" i="77" s="1"/>
  <c r="D51" i="130"/>
  <c r="D52" i="130"/>
  <c r="D30" i="130"/>
  <c r="D33" i="130"/>
  <c r="D9" i="130"/>
  <c r="D44" i="130"/>
  <c r="D26" i="130"/>
  <c r="D46" i="130"/>
  <c r="D20" i="130"/>
  <c r="D16" i="130"/>
  <c r="D10" i="130"/>
  <c r="BZ11" i="77"/>
  <c r="BJ10" i="77"/>
  <c r="BC10" i="77"/>
  <c r="BS10" i="77"/>
  <c r="AU10" i="77"/>
  <c r="D6" i="130"/>
  <c r="D5" i="130" s="1"/>
  <c r="D45" i="130"/>
  <c r="D32" i="130"/>
  <c r="D12" i="130"/>
  <c r="D42" i="130"/>
  <c r="D41" i="130"/>
  <c r="D17" i="130"/>
  <c r="D29" i="130"/>
  <c r="D36" i="130"/>
  <c r="D27" i="130"/>
  <c r="D23" i="130"/>
  <c r="D28" i="130"/>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E51" authorId="0" shapeId="0">
      <text>
        <r>
          <rPr>
            <b/>
            <sz val="9"/>
            <color indexed="81"/>
            <rFont val="Tahoma"/>
            <charset val="1"/>
          </rPr>
          <t>BARRACLOUGH David:</t>
        </r>
        <r>
          <rPr>
            <sz val="9"/>
            <color indexed="81"/>
            <rFont val="Tahoma"/>
            <charset val="1"/>
          </rPr>
          <t xml:space="preserve">
Need to define this</t>
        </r>
      </text>
    </comment>
  </commentList>
</comments>
</file>

<file path=xl/comments2.xml><?xml version="1.0" encoding="utf-8"?>
<comments xmlns="http://schemas.openxmlformats.org/spreadsheetml/2006/main">
  <authors>
    <author>Daniel SURANYI</author>
  </authors>
  <commentLis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65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B27" authorId="0" shapeId="0">
      <text>
        <r>
          <rPr>
            <b/>
            <sz val="9"/>
            <color indexed="81"/>
            <rFont val="Tahoma"/>
            <family val="2"/>
          </rPr>
          <t>Daniel SURANYI:</t>
        </r>
        <r>
          <rPr>
            <sz val="9"/>
            <color indexed="81"/>
            <rFont val="Tahoma"/>
            <family val="2"/>
          </rPr>
          <t xml:space="preserve">
Label changed</t>
        </r>
      </text>
    </comment>
    <comment ref="B658"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<sst xmlns="http://schemas.openxmlformats.org/spreadsheetml/2006/main" count="3702" uniqueCount="1287">
  <si>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</si>
  <si>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</si>
  <si>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</si>
  <si>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</si>
  <si>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</si>
  <si>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</si>
  <si>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</si>
  <si>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</si>
  <si>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</si>
  <si>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</si>
  <si>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</si>
  <si>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</si>
  <si>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</si>
  <si>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</si>
  <si>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</si>
  <si>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</si>
  <si>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</si>
  <si>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</si>
  <si>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</si>
  <si>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</si>
  <si>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</si>
  <si>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</si>
  <si>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</si>
  <si>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</si>
  <si>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</si>
  <si>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</si>
  <si>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</si>
  <si>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</si>
  <si>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</si>
  <si>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</si>
  <si>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TIME_FORMAT</t>
  </si>
  <si>
    <t>UNIT_MULT</t>
  </si>
  <si>
    <t>CL_CONF_STATUS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</si>
  <si>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</si>
  <si>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</si>
  <si>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</si>
  <si>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</si>
  <si>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</si>
  <si>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</si>
  <si>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</si>
  <si>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</si>
  <si>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</si>
  <si>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</si>
  <si>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</si>
  <si>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</si>
  <si>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</si>
  <si>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</si>
  <si>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</si>
  <si>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</si>
  <si>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</si>
  <si>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</si>
  <si>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</si>
  <si>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</si>
  <si>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</si>
  <si>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</si>
  <si>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</si>
  <si>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</si>
  <si>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</si>
  <si>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</si>
  <si>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</si>
  <si>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</si>
  <si>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</si>
  <si>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</si>
  <si>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</si>
  <si>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</si>
  <si>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</si>
  <si>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</si>
  <si>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</si>
  <si>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</si>
  <si>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</si>
  <si>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</si>
  <si>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</si>
  <si>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</si>
  <si>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</si>
  <si>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</si>
  <si>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</si>
  <si>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</si>
  <si>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</si>
  <si>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</si>
  <si>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</si>
  <si>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</si>
  <si>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</si>
  <si>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</si>
  <si>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</si>
  <si>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</si>
  <si>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</si>
  <si>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</si>
  <si>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</si>
  <si>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</si>
  <si>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</si>
  <si>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</si>
  <si>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</si>
  <si>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</si>
  <si>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</si>
  <si>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</si>
  <si>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</si>
  <si>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</si>
  <si>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</si>
  <si>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</si>
  <si>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</si>
  <si>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</si>
  <si>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</si>
  <si>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</si>
  <si>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</si>
  <si>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</si>
  <si>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</si>
  <si>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</si>
  <si>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</si>
  <si>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</si>
  <si>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</si>
  <si>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</si>
  <si>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</si>
  <si>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</si>
  <si>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</si>
  <si>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</si>
  <si>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</si>
  <si>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</si>
  <si>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</si>
  <si>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</si>
  <si>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</si>
  <si>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</si>
  <si>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</si>
  <si>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</si>
  <si>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</si>
  <si>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</si>
  <si>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</si>
  <si>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</si>
  <si>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</si>
  <si>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</si>
  <si>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</si>
  <si>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</si>
  <si>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</si>
  <si>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</si>
  <si>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</si>
  <si>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</si>
  <si>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</si>
  <si>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</si>
  <si>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</si>
  <si>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</si>
  <si>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</si>
  <si>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</si>
  <si>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</si>
  <si>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</si>
  <si>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</si>
  <si>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</si>
  <si>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</si>
  <si>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</si>
  <si>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</si>
  <si>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</si>
  <si>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</si>
  <si>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</si>
  <si>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</si>
  <si>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</si>
  <si>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</si>
  <si>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</si>
  <si>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</si>
  <si>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</si>
  <si>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</si>
  <si>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</si>
  <si>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</si>
  <si>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</si>
  <si>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</si>
  <si>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</si>
  <si>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</si>
  <si>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</si>
  <si>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</si>
  <si>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</si>
  <si>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</si>
  <si>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</si>
  <si>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</si>
  <si>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</si>
  <si>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</si>
  <si>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</si>
  <si>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</si>
  <si>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</si>
  <si>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</si>
  <si>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</si>
  <si>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</si>
  <si>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</si>
  <si>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</si>
  <si>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</si>
  <si>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</si>
  <si>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</si>
  <si>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</si>
  <si>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</si>
  <si>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</si>
  <si>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</si>
  <si>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</si>
  <si>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</si>
  <si>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</si>
  <si>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</si>
  <si>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</si>
  <si>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</si>
  <si>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</si>
  <si>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</si>
  <si>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</si>
  <si>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</si>
  <si>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</si>
  <si>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</si>
  <si>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</si>
  <si>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</si>
  <si>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</si>
  <si>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</si>
  <si>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</si>
  <si>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</si>
  <si>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</si>
  <si>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</si>
  <si>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</si>
  <si>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</si>
  <si>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</si>
  <si>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</si>
  <si>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</si>
  <si>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</si>
  <si>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</si>
  <si>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</si>
  <si>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</si>
  <si>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</si>
  <si>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</si>
  <si>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</si>
  <si>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</si>
  <si>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</si>
  <si>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</si>
  <si>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</si>
  <si>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</si>
  <si>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</si>
  <si>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</si>
  <si>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</si>
  <si>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</si>
  <si>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</si>
  <si>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</si>
  <si>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</si>
  <si>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</si>
  <si>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</si>
  <si>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</si>
  <si>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</si>
  <si>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</si>
  <si>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</si>
  <si>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</si>
  <si>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</si>
  <si>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</si>
  <si>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</si>
  <si>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</si>
  <si>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</si>
  <si>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</si>
  <si>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</si>
  <si>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</si>
  <si>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</si>
  <si>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</si>
  <si>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ELF</t>
  </si>
  <si>
    <t>Extended labour force</t>
  </si>
  <si>
    <t>PLF</t>
  </si>
  <si>
    <t>LF</t>
  </si>
  <si>
    <t>Labour force</t>
  </si>
  <si>
    <t>EMP</t>
  </si>
  <si>
    <t>Employment</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</si>
  <si>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</si>
  <si>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</si>
  <si>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</si>
  <si>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</si>
  <si>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</si>
  <si>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</si>
  <si>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</si>
  <si>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</si>
  <si>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</si>
  <si>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</si>
  <si>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</si>
  <si>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</si>
  <si>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</si>
  <si>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</si>
  <si>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</si>
  <si>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</si>
  <si>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</si>
  <si>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</si>
  <si>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</si>
  <si>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</si>
  <si>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</si>
  <si>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</si>
  <si>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</si>
  <si>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</si>
  <si>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</si>
  <si>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</si>
  <si>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</si>
  <si>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</si>
  <si>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</si>
  <si>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</si>
  <si>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</si>
  <si>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</si>
  <si>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</si>
  <si>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</si>
  <si>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</si>
  <si>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</si>
  <si>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</si>
  <si>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</si>
  <si>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</si>
  <si>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</si>
  <si>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</si>
  <si>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</si>
  <si>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</si>
  <si>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</si>
  <si>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</si>
  <si>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</si>
  <si>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</si>
  <si>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</si>
  <si>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</si>
  <si>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</si>
  <si>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</si>
  <si>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</si>
  <si>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</si>
  <si>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</si>
  <si>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</si>
  <si>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</si>
  <si>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</si>
  <si>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</si>
  <si>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</si>
  <si>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</si>
  <si>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</si>
  <si>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</si>
  <si>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</si>
  <si>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</si>
  <si>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</si>
  <si>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</si>
  <si>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</si>
  <si>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</si>
  <si>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</si>
  <si>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</si>
  <si>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</si>
  <si>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</si>
  <si>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</si>
  <si>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</si>
  <si>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</si>
  <si>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</si>
  <si>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</si>
  <si>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</si>
  <si>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</si>
  <si>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</si>
  <si>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</si>
  <si>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</si>
  <si>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</si>
  <si>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</si>
  <si>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</si>
  <si>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</si>
  <si>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</si>
  <si>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</si>
  <si>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</si>
  <si>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</si>
  <si>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</si>
  <si>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</si>
  <si>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</si>
  <si>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</si>
  <si>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</si>
  <si>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</si>
  <si>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</si>
  <si>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</si>
  <si>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</si>
  <si>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</si>
  <si>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</si>
  <si>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</si>
  <si>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POP</t>
  </si>
  <si>
    <t>PS</t>
  </si>
  <si>
    <t>PF</t>
  </si>
  <si>
    <t>VAC</t>
  </si>
  <si>
    <t>Category</t>
  </si>
  <si>
    <t>CategorisationMain</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</si>
  <si>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</si>
  <si>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</si>
  <si>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</si>
  <si>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</si>
  <si>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</si>
  <si>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</si>
  <si>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</si>
  <si>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</si>
  <si>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</si>
  <si>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</si>
  <si>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</si>
  <si>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</si>
  <si>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</si>
  <si>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A,Q</t>
  </si>
  <si>
    <t>Test</t>
  </si>
  <si>
    <t>AD,AE</t>
  </si>
  <si>
    <t>US,AE</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</si>
  <si>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</si>
  <si>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</si>
  <si>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</si>
  <si>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</si>
  <si>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</si>
  <si>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</si>
  <si>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</si>
  <si>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</si>
  <si>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</si>
  <si>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</si>
  <si>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</si>
  <si>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</si>
  <si>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</si>
  <si>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</si>
  <si>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</si>
  <si>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</si>
  <si>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</si>
  <si>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</si>
  <si>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</si>
  <si>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</si>
  <si>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</si>
  <si>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</si>
  <si>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</si>
  <si>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</si>
  <si>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</si>
  <si>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</si>
  <si>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</si>
  <si>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</si>
  <si>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</si>
  <si>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</si>
  <si>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</si>
  <si>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</si>
  <si>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</si>
  <si>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</si>
  <si>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</si>
  <si>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</si>
  <si>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</si>
  <si>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</si>
  <si>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</si>
  <si>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</si>
  <si>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</si>
  <si>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</si>
  <si>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</si>
  <si>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</si>
  <si>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</si>
  <si>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</si>
  <si>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</si>
  <si>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</si>
  <si>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</si>
  <si>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</si>
  <si>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</si>
  <si>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</si>
  <si>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</si>
  <si>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</si>
  <si>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</si>
  <si>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</si>
  <si>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</si>
  <si>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</si>
  <si>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</si>
  <si>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</si>
  <si>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</si>
  <si>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</si>
  <si>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</si>
  <si>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</si>
  <si>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</si>
  <si>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</si>
  <si>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</si>
  <si>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</si>
  <si>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</si>
  <si>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</si>
  <si>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</si>
  <si>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</si>
  <si>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</si>
  <si>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</si>
  <si>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</si>
  <si>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</si>
  <si>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</si>
  <si>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</si>
  <si>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</si>
  <si>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</si>
  <si>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</si>
  <si>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</si>
  <si>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</si>
  <si>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</si>
  <si>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</si>
  <si>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</si>
  <si>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</si>
  <si>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</si>
  <si>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</si>
  <si>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</si>
  <si>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</si>
  <si>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</si>
  <si>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</si>
  <si>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</si>
  <si>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</si>
  <si>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</si>
  <si>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</si>
  <si>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</si>
  <si>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</si>
  <si>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</si>
  <si>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</si>
  <si>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</si>
  <si>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</si>
  <si>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</si>
  <si>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</si>
  <si>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</si>
  <si>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</si>
  <si>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</si>
  <si>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</si>
  <si>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</si>
  <si>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</si>
  <si>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</si>
  <si>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</si>
  <si>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</si>
  <si>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</si>
  <si>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</si>
  <si>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</si>
  <si>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</si>
  <si>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</si>
  <si>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</si>
  <si>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</si>
  <si>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</si>
  <si>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</si>
  <si>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</si>
  <si>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</si>
  <si>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</si>
  <si>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</si>
  <si>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</si>
  <si>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</si>
  <si>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</si>
  <si>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</si>
  <si>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</si>
  <si>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</si>
  <si>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</si>
  <si>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</si>
  <si>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</si>
  <si>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</si>
  <si>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</si>
  <si>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</si>
  <si>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</si>
  <si>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</si>
  <si>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</si>
  <si>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</si>
  <si>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</si>
  <si>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</si>
  <si>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</si>
  <si>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</si>
  <si>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</si>
  <si>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</si>
  <si>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</si>
  <si>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</si>
  <si>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</si>
  <si>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</si>
  <si>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</si>
  <si>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</si>
  <si>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ESTAT</t>
  </si>
  <si>
    <t>Count</t>
  </si>
  <si>
    <t>PLF_NSA_D</t>
  </si>
  <si>
    <t>UNE</t>
  </si>
  <si>
    <t>EMP_TRU</t>
  </si>
  <si>
    <t>COUNT</t>
  </si>
  <si>
    <t>ILO</t>
  </si>
  <si>
    <t>AGGREGATION_OPERATION</t>
  </si>
  <si>
    <t>HOURS_TYPE</t>
  </si>
  <si>
    <t>INDICATOR_REF_PER</t>
  </si>
  <si>
    <t>VALUE_TYPE</t>
  </si>
  <si>
    <t>SEX</t>
  </si>
  <si>
    <t>AGE</t>
  </si>
  <si>
    <t>WORKER_STATUS</t>
  </si>
  <si>
    <t>EDUCATION_LEV</t>
  </si>
  <si>
    <t>ACTIVITY</t>
  </si>
  <si>
    <t>OCCUPATION</t>
  </si>
  <si>
    <t>DEG_URB</t>
  </si>
  <si>
    <t>SEASONAL_ADJUST</t>
  </si>
  <si>
    <t>MIGRANT_STATUS</t>
  </si>
  <si>
    <t>MIGRANT_ORIGIN</t>
  </si>
  <si>
    <t>NATIONALITY</t>
  </si>
  <si>
    <t>PROD_UNIT</t>
  </si>
  <si>
    <t>SIZECLASS</t>
  </si>
  <si>
    <t>COMPOSITE_BREAKDOWN</t>
  </si>
  <si>
    <t>Aggregation Operation</t>
  </si>
  <si>
    <t>Representation of the calculation type when a single value is calculated from a collection of values.</t>
  </si>
  <si>
    <t>Reference period of the indicator</t>
  </si>
  <si>
    <t>Time interval to which indicator refers</t>
  </si>
  <si>
    <t>Type of hours</t>
  </si>
  <si>
    <t>Type of hours worked</t>
  </si>
  <si>
    <t>Type of value</t>
  </si>
  <si>
    <t>SOURCE_TYPE</t>
  </si>
  <si>
    <t>Data Source</t>
  </si>
  <si>
    <t>Characteristics and components of the raw statistical data used for compiling statistical aggregates.</t>
  </si>
  <si>
    <t>Sex</t>
  </si>
  <si>
    <t>State of being male or female.</t>
  </si>
  <si>
    <t>Age</t>
  </si>
  <si>
    <t>Length of time that an entity has lived or existed.</t>
  </si>
  <si>
    <t>Labour force status</t>
  </si>
  <si>
    <t>Classification of the working-age population based on the person's relation to the labour market, including labour market attachment</t>
  </si>
  <si>
    <t>Status of Worker</t>
  </si>
  <si>
    <t xml:space="preserve">Refers to the nature of the relationship between a worker and the economic unit in which or for which the work is performed </t>
  </si>
  <si>
    <t>Education level (eg, ISCED)</t>
  </si>
  <si>
    <t xml:space="preserve">An ordered set which groups and classifies education programmes according to the knowledge, skills, competencies and qualifications which they are designed to impart. </t>
  </si>
  <si>
    <t>Economic activity (eg, ISIC)</t>
  </si>
  <si>
    <t>Combination of actions that result in the production, distribution and consumption of goods or services</t>
  </si>
  <si>
    <t>Occupation (eg, ISCO)</t>
  </si>
  <si>
    <t>Job or position held by an individual who performs a set of tasks and duties</t>
  </si>
  <si>
    <t>Degree of urbanisation (residence)</t>
  </si>
  <si>
    <t>Degree to which area of residence is urbanised</t>
  </si>
  <si>
    <t>Seasonal Adjustment</t>
  </si>
  <si>
    <t>Statistical technique used to remove the effects of seasonal and calendar influences operating on a data series.</t>
  </si>
  <si>
    <t>Migrant status</t>
  </si>
  <si>
    <t xml:space="preserve">Distinction between migrants and non-migrants
</t>
  </si>
  <si>
    <t>Origin of migrant</t>
  </si>
  <si>
    <t xml:space="preserve">Refers to the country of origin of a migrant
</t>
  </si>
  <si>
    <t>Nationality</t>
  </si>
  <si>
    <t>Refers to the country of nationality of a person</t>
  </si>
  <si>
    <t>Type of Production Unit, e.g. Informal, Formal, Household</t>
  </si>
  <si>
    <t>Refers to the nature of the economic unit in which a job is located as determined by its legal organization, type of accounts keep and orientation of the output</t>
  </si>
  <si>
    <t>Number of persons engaged in the economic unit</t>
  </si>
  <si>
    <t xml:space="preserve">Refers to the number of employed persons engaged in the economic unit in which a job is located </t>
  </si>
  <si>
    <t>EARNINGS_CASE</t>
  </si>
  <si>
    <t>Earnings case</t>
  </si>
  <si>
    <t>Household composition and income situation of average workers at national level</t>
  </si>
  <si>
    <t>Time span or point in time to which the observation actually refers</t>
  </si>
  <si>
    <t>Time interval at which observations occur over a given time period</t>
  </si>
  <si>
    <t>Composite breakdown</t>
  </si>
  <si>
    <t xml:space="preserve">A single dimension used to hold multiple breakdowns which are seldom used and not in the same data exchange. </t>
  </si>
  <si>
    <t>Value of a particular variable</t>
  </si>
  <si>
    <t>CURRENCY</t>
  </si>
  <si>
    <t>Currencies</t>
  </si>
  <si>
    <t>Values for currencies using ISO 4217 3-character codes</t>
  </si>
  <si>
    <t>Information about the confidentiality status of the object to which this attribute is attached</t>
  </si>
  <si>
    <t>Number of digits of an observation to the right of a decimal point</t>
  </si>
  <si>
    <t>Information on the quality of a value or an unusual or missing value</t>
  </si>
  <si>
    <t>A(obs, optional)</t>
  </si>
  <si>
    <t>COMPOSITE_BREAKDOWN_PFX</t>
  </si>
  <si>
    <t>Composite breakdown in use</t>
  </si>
  <si>
    <t>used in conjunction with the composite breakdown dimension to provide the prefix corresponding to the breakdown used</t>
  </si>
  <si>
    <t>A (series, optional - depending on DSD)</t>
  </si>
  <si>
    <t>Technical format for the representation of time</t>
  </si>
  <si>
    <t>Exponent in base 10 specified so that multiplying the observation numeric values by 10^UNIT_MULT gives a value expressed in the unit of measure</t>
  </si>
  <si>
    <t>DATA_COMP</t>
  </si>
  <si>
    <t>Data compilation</t>
  </si>
  <si>
    <t>Operations performed on data to derive new information according to a given set of rules</t>
  </si>
  <si>
    <t>COMMENT_TS</t>
  </si>
  <si>
    <t xml:space="preserve">Detailed description of the group of series </t>
  </si>
  <si>
    <t>Descriptive text which can be attached to the time series</t>
  </si>
  <si>
    <t>COMMENT_OBS</t>
  </si>
  <si>
    <t xml:space="preserve">Comments to the observation value </t>
  </si>
  <si>
    <t>Descriptive text which can be attached to the observation</t>
  </si>
  <si>
    <t>COMMENT_DSET</t>
  </si>
  <si>
    <t>Comments on dataset level</t>
  </si>
  <si>
    <t>Descriptive text which can be attached to the dataset</t>
  </si>
  <si>
    <t>A (series, optional/mandatory - depending on DSD)</t>
  </si>
  <si>
    <t>TIME_PER_COLLECT</t>
  </si>
  <si>
    <t>Time period collection</t>
  </si>
  <si>
    <t>Dates or periods during which the observations have been collected (such as middle, average or end of period) for the target reference period</t>
  </si>
  <si>
    <t>DISS_ORG</t>
  </si>
  <si>
    <t>Organisation disseminating the data being reported.</t>
  </si>
  <si>
    <t>This metadata element is needed in order to differentiate the compiling organisation from the organisation disseminating the data. The dissemination agency could be different from the reporting agency and the compilation agency.</t>
  </si>
  <si>
    <t>COMPILING_ORG</t>
  </si>
  <si>
    <t>Compiling organisation</t>
  </si>
  <si>
    <t>A(obs,
optional)</t>
  </si>
  <si>
    <t>EMBARGO_TIME</t>
  </si>
  <si>
    <t>Embargo date and time</t>
  </si>
  <si>
    <t>BASE_PER</t>
  </si>
  <si>
    <t>Base period</t>
  </si>
  <si>
    <t>Period of time used as the base of an index number, or to which a constant series refers</t>
  </si>
  <si>
    <t>PRE_BREAK_VALUE</t>
  </si>
  <si>
    <t>Pre-break value</t>
  </si>
  <si>
    <t>Observation, at a time series break period, that was calculated using the old methodology</t>
  </si>
  <si>
    <t>BREAK_REASON</t>
  </si>
  <si>
    <t>Reason for break in series</t>
  </si>
  <si>
    <t>To identify reason for break in series</t>
  </si>
  <si>
    <t>COVERAGE_MAXAGE</t>
  </si>
  <si>
    <t xml:space="preserve">Maximum age </t>
  </si>
  <si>
    <t>Maximum age of the population of this series</t>
  </si>
  <si>
    <t>COVERAGE_MINAGE</t>
  </si>
  <si>
    <t xml:space="preserve">Minimum age </t>
  </si>
  <si>
    <t>Minimum age of the population of this series</t>
  </si>
  <si>
    <t>COVERAGE_OWN</t>
  </si>
  <si>
    <t>Ownership sector</t>
  </si>
  <si>
    <t>COVERAGE_GEO</t>
  </si>
  <si>
    <t>Geographical coverage</t>
  </si>
  <si>
    <t>Characterisation of the statistical units according to geographical criteria.</t>
  </si>
  <si>
    <t>COVERAGE_ACTIVITY</t>
  </si>
  <si>
    <t>Economic or other sectors covered by the statistics.</t>
  </si>
  <si>
    <t>This metadata element lists the sectors covered by the data set produced These sectors can be institutional sectors, economic or other sectors (e.g. local government, agriculture, forestry, or business services).</t>
  </si>
  <si>
    <t>COVERAGE_SIZECLASS</t>
  </si>
  <si>
    <t>Economic unit size coverage</t>
  </si>
  <si>
    <t>MEASURE_NOTES1 to MEASURE_NOTES5</t>
  </si>
  <si>
    <t>Measure notes</t>
  </si>
  <si>
    <t>Placeholders to accommodate measure related coded metadata</t>
  </si>
  <si>
    <t>TITLE_STAT_SOURCE</t>
  </si>
  <si>
    <t>Title of the statistical source</t>
  </si>
  <si>
    <t>TITLE_TS</t>
  </si>
  <si>
    <t xml:space="preserve">Title </t>
  </si>
  <si>
    <t>Textual label used to refer to a statistical object on the time series</t>
  </si>
  <si>
    <t>CL_AGGREGATION_OPERATION</t>
  </si>
  <si>
    <t>CL_HOURS_TYPE</t>
  </si>
  <si>
    <t>CL_VALUE_TYPE</t>
  </si>
  <si>
    <t>IMF</t>
  </si>
  <si>
    <t>CL_REGIONAL</t>
  </si>
  <si>
    <t>CL_SOURCE_TYPE</t>
  </si>
  <si>
    <t>CL_SEX</t>
  </si>
  <si>
    <t>CL_AGE</t>
  </si>
  <si>
    <t>CL_LABOUR_FORCE_STATUS</t>
  </si>
  <si>
    <t>CL_WORKER_STATUS</t>
  </si>
  <si>
    <t>CL_EDUCATION_LEV</t>
  </si>
  <si>
    <t>UIS</t>
  </si>
  <si>
    <t>CL_ACTIVITY</t>
  </si>
  <si>
    <t>CL_OCCUPATION</t>
  </si>
  <si>
    <t>CL_DEG_URB</t>
  </si>
  <si>
    <t>CL_SEASONAL_ADJUST</t>
  </si>
  <si>
    <t>CL_MIGRANT_STATUS</t>
  </si>
  <si>
    <t>CL_PRODUNIT</t>
  </si>
  <si>
    <t>CL_SIZECLASS</t>
  </si>
  <si>
    <t>CL_EARNINGS_CASE</t>
  </si>
  <si>
    <t>Observational TimePeriod</t>
  </si>
  <si>
    <t>CL_COMPOSITE_BREAKDOWN</t>
  </si>
  <si>
    <t>CL_CURRENCY</t>
  </si>
  <si>
    <t>CL_COMPOSITE_BREAKDOWN_PFX</t>
  </si>
  <si>
    <t xml:space="preserve">CL_TIME_PER_COLLECT
</t>
  </si>
  <si>
    <t>CL_ORGANISATION</t>
  </si>
  <si>
    <t>DateTime</t>
  </si>
  <si>
    <t>Double</t>
  </si>
  <si>
    <t>CL_BREAK</t>
  </si>
  <si>
    <t>CL_COVERAGE_MAXAGE</t>
  </si>
  <si>
    <t>CL_COVERAGE_MINAGE</t>
  </si>
  <si>
    <t>CL_COVERAGE_OWN</t>
  </si>
  <si>
    <t>CL_COVERAGE_GEO</t>
  </si>
  <si>
    <t>CL_COVERAGE_ACTIVITY</t>
  </si>
  <si>
    <t>CL_MEASURE_NOTES</t>
  </si>
  <si>
    <t>JV</t>
  </si>
  <si>
    <t>JVS</t>
  </si>
  <si>
    <t>NE</t>
  </si>
  <si>
    <t>LCI</t>
  </si>
  <si>
    <t>LCS</t>
  </si>
  <si>
    <t>JVSFN</t>
  </si>
  <si>
    <t>JVSFL</t>
  </si>
  <si>
    <t>MW</t>
  </si>
  <si>
    <t>NW</t>
  </si>
  <si>
    <t>LP</t>
  </si>
  <si>
    <t>HP</t>
  </si>
  <si>
    <t>USQ</t>
  </si>
  <si>
    <t>UGQ</t>
  </si>
  <si>
    <t>TU</t>
  </si>
  <si>
    <t>IP</t>
  </si>
  <si>
    <t>ES</t>
  </si>
  <si>
    <t>MATLF</t>
  </si>
  <si>
    <t>DJ</t>
  </si>
  <si>
    <t>QMIE</t>
  </si>
  <si>
    <t>QMIN</t>
  </si>
  <si>
    <t>MLI</t>
  </si>
  <si>
    <t>NL</t>
  </si>
  <si>
    <t>WT</t>
  </si>
  <si>
    <t>LMSOM</t>
  </si>
  <si>
    <t>RUM</t>
  </si>
  <si>
    <t>RU</t>
  </si>
  <si>
    <t>IR</t>
  </si>
  <si>
    <t>OI</t>
  </si>
  <si>
    <t>WP</t>
  </si>
  <si>
    <t>MU</t>
  </si>
  <si>
    <t>QVD</t>
  </si>
  <si>
    <t>JSTTE</t>
  </si>
  <si>
    <t>LCIQ</t>
  </si>
  <si>
    <t>LCIW</t>
  </si>
  <si>
    <t>LCIL</t>
  </si>
  <si>
    <t>LSTTE</t>
  </si>
  <si>
    <t>WKIQ</t>
  </si>
  <si>
    <t>EL</t>
  </si>
  <si>
    <t>EARN</t>
  </si>
  <si>
    <t>UNEMP</t>
  </si>
  <si>
    <t>INFORM</t>
  </si>
  <si>
    <t>STRIKE</t>
  </si>
  <si>
    <t>Formula to Convert Name to Code</t>
  </si>
  <si>
    <t>EMPLOYEE</t>
  </si>
  <si>
    <t>EMPLOYMENT</t>
  </si>
  <si>
    <t>REF_AREA:CL_AREA</t>
  </si>
  <si>
    <t>REF_AREA:CL_REGIONAL</t>
  </si>
  <si>
    <t>BREAK</t>
  </si>
  <si>
    <t>COVERAGE_SECTOR</t>
  </si>
  <si>
    <t>COVERAGE_PER</t>
  </si>
  <si>
    <t>COVERAGE_REFG</t>
  </si>
  <si>
    <t>COVERAGE_ECO</t>
  </si>
  <si>
    <t>INDICATOR_NOTES1</t>
  </si>
  <si>
    <t>INDICATOR_NOTES2</t>
  </si>
  <si>
    <t>INDICATOR_NOTES3</t>
  </si>
  <si>
    <t>INDICATOR_NOTES4</t>
  </si>
  <si>
    <t>INDICATOR_NOTES5</t>
  </si>
  <si>
    <t>STAT_ACTIVITY_TITLE</t>
  </si>
  <si>
    <t>COV_INST</t>
  </si>
  <si>
    <t>COV_ECO</t>
  </si>
  <si>
    <t>INDICATOR_NOTES1 to INDICATOR_NOTES5</t>
  </si>
  <si>
    <t>INDICATOR_NOTES1 to INDICATOR_NOTES6</t>
  </si>
  <si>
    <t>INDICATOR_NOTES1 to INDICATOR_NOTES7</t>
  </si>
  <si>
    <t>INDICATOR_NOTES1 to INDICATOR_NOTES8</t>
  </si>
  <si>
    <t>INDICATOR_NOTES1 to INDICATOR_NOTES9</t>
  </si>
  <si>
    <t>_Z</t>
  </si>
  <si>
    <t>A2</t>
  </si>
  <si>
    <t>PAID</t>
  </si>
  <si>
    <t>NOM</t>
  </si>
  <si>
    <t>ME</t>
  </si>
  <si>
    <t>A4</t>
  </si>
  <si>
    <t>IX</t>
  </si>
  <si>
    <t>HS_LFS</t>
  </si>
  <si>
    <t>HH</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</si>
  <si>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</si>
  <si>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</si>
  <si>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</si>
  <si>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</si>
  <si>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</si>
  <si>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</si>
  <si>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</si>
  <si>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</si>
  <si>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</si>
  <si>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</si>
  <si>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</si>
  <si>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</si>
  <si>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</si>
  <si>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</si>
  <si>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</si>
  <si>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</si>
  <si>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</si>
  <si>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</si>
  <si>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</si>
  <si>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</si>
  <si>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</si>
  <si>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</si>
  <si>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</si>
  <si>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</si>
  <si>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</si>
  <si>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</si>
  <si>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</si>
  <si>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</si>
  <si>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</si>
  <si>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</si>
  <si>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</si>
  <si>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</si>
  <si>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</si>
  <si>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</si>
  <si>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</si>
  <si>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</si>
  <si>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</si>
  <si>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</si>
  <si>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</si>
  <si>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</si>
  <si>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</si>
  <si>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</si>
  <si>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</si>
  <si>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</si>
  <si>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</si>
  <si>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</si>
  <si>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</si>
  <si>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</si>
  <si>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</si>
  <si>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</si>
  <si>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</si>
  <si>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</si>
  <si>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</si>
  <si>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</si>
  <si>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</si>
  <si>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</si>
  <si>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</si>
  <si>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</si>
  <si>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</si>
  <si>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</si>
  <si>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</si>
  <si>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</si>
  <si>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</si>
  <si>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</si>
  <si>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</si>
  <si>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</si>
  <si>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</si>
  <si>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</si>
  <si>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</si>
  <si>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</si>
  <si>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</si>
  <si>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</si>
  <si>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</si>
  <si>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</si>
  <si>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</si>
  <si>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</si>
  <si>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</si>
  <si>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</si>
  <si>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</si>
  <si>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</si>
  <si>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</si>
  <si>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</si>
  <si>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</si>
  <si>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</si>
  <si>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</si>
  <si>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</si>
  <si>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</si>
  <si>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</si>
  <si>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</si>
  <si>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</si>
  <si>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</si>
  <si>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</si>
  <si>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</si>
  <si>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</si>
  <si>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</si>
  <si>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</si>
  <si>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</si>
  <si>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</si>
  <si>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</si>
  <si>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</si>
  <si>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</si>
  <si>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</si>
  <si>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</si>
  <si>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</si>
  <si>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</si>
  <si>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</si>
  <si>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</si>
  <si>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</si>
  <si>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</si>
  <si>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</si>
  <si>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</si>
  <si>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</si>
  <si>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</si>
  <si>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</si>
  <si>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</si>
  <si>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</si>
  <si>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</si>
  <si>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</si>
  <si>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</si>
  <si>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</si>
  <si>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</si>
  <si>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</si>
  <si>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</si>
  <si>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</si>
  <si>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</si>
  <si>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</si>
  <si>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</si>
  <si>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</si>
  <si>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</si>
  <si>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</si>
  <si>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</si>
  <si>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</si>
  <si>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</si>
  <si>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</si>
  <si>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</si>
  <si>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</si>
  <si>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</si>
  <si>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</si>
  <si>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</si>
  <si>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</si>
  <si>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</si>
  <si>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</si>
  <si>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</si>
  <si>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</si>
  <si>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</si>
  <si>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</si>
  <si>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</si>
  <si>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</si>
  <si>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</si>
  <si>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</si>
  <si>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</si>
  <si>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</si>
  <si>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</si>
  <si>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</si>
  <si>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</si>
  <si>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</si>
  <si>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</si>
  <si>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</si>
  <si>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</si>
  <si>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</si>
  <si>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</si>
  <si>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</si>
  <si>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</si>
  <si>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</si>
  <si>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</si>
  <si>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</si>
  <si>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</si>
  <si>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</si>
  <si>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</si>
  <si>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</si>
  <si>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</si>
  <si>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</si>
  <si>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</si>
  <si>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</si>
  <si>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</si>
  <si>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</si>
  <si>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</si>
  <si>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</si>
  <si>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</si>
  <si>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</si>
  <si>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</si>
  <si>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</si>
  <si>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</si>
  <si>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</si>
  <si>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</si>
  <si>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</si>
  <si>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</si>
  <si>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</si>
  <si>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</si>
  <si>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</si>
  <si>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</si>
  <si>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</si>
  <si>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</si>
  <si>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</si>
  <si>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</si>
  <si>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</si>
  <si>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</si>
  <si>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</si>
  <si>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</si>
  <si>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</si>
  <si>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</si>
  <si>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</si>
  <si>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</si>
  <si>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</si>
  <si>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</si>
  <si>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</si>
  <si>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</si>
  <si>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</si>
  <si>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</si>
  <si>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</si>
  <si>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</si>
  <si>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</si>
  <si>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</si>
  <si>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</si>
  <si>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</si>
  <si>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</si>
  <si>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</si>
  <si>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</si>
  <si>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</si>
  <si>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</si>
  <si>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</si>
  <si>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</si>
  <si>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</si>
  <si>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</si>
  <si>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</si>
  <si>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</si>
  <si>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</si>
  <si>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</si>
  <si>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</si>
  <si>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</si>
  <si>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</si>
  <si>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</si>
  <si>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</si>
  <si>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</si>
  <si>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</si>
  <si>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</si>
  <si>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</si>
  <si>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</si>
  <si>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</si>
  <si>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</si>
  <si>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</si>
  <si>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</si>
  <si>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</si>
  <si>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</si>
  <si>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</si>
  <si>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</si>
  <si>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</si>
  <si>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</si>
  <si>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</si>
  <si>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</si>
  <si>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</si>
  <si>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</si>
  <si>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</si>
  <si>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</si>
  <si>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</si>
  <si>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</si>
  <si>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</si>
  <si>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</si>
  <si>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</si>
  <si>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</si>
  <si>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</si>
  <si>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</si>
  <si>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</si>
  <si>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</si>
  <si>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</si>
  <si>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</si>
  <si>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</si>
  <si>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</si>
  <si>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</si>
  <si>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</si>
  <si>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</si>
  <si>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</si>
  <si>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</si>
  <si>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</si>
  <si>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</si>
  <si>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</si>
  <si>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</si>
  <si>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</si>
  <si>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</si>
  <si>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</si>
  <si>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</si>
  <si>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</si>
  <si>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</si>
  <si>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</si>
  <si>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</si>
  <si>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</si>
  <si>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</si>
  <si>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</si>
  <si>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</si>
  <si>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</si>
  <si>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</si>
  <si>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</si>
  <si>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</si>
  <si>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</si>
  <si>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</si>
  <si>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</si>
  <si>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</si>
  <si>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</si>
  <si>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</si>
  <si>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</si>
  <si>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</si>
  <si>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</si>
  <si>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</si>
  <si>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</si>
  <si>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</si>
  <si>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</si>
  <si>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</si>
  <si>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</si>
  <si>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</si>
  <si>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</si>
  <si>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</si>
  <si>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</si>
  <si>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</si>
  <si>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</si>
  <si>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</si>
  <si>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</si>
  <si>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</si>
  <si>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</si>
  <si>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</si>
  <si>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</si>
  <si>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</si>
  <si>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</si>
  <si>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</si>
  <si>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</si>
  <si>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</si>
  <si>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</si>
  <si>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</si>
  <si>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</si>
  <si>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</si>
  <si>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</si>
  <si>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</si>
  <si>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</si>
  <si>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</si>
  <si>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</si>
  <si>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</si>
  <si>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</si>
  <si>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</si>
  <si>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</si>
  <si>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</si>
  <si>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</si>
  <si>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</si>
  <si>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</si>
  <si>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</si>
  <si>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</si>
  <si>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</si>
  <si>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</si>
  <si>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</si>
  <si>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</si>
  <si>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</si>
  <si>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</si>
  <si>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</si>
  <si>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</si>
  <si>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</si>
  <si>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</si>
  <si>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</si>
  <si>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</si>
  <si>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</si>
  <si>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</si>
  <si>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</si>
  <si>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</si>
  <si>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</si>
  <si>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</si>
  <si>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</si>
  <si>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</si>
  <si>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</si>
  <si>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</si>
  <si>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</si>
  <si>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</si>
  <si>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</si>
  <si>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</si>
  <si>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</si>
  <si>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</si>
  <si>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</si>
  <si>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</si>
  <si>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</si>
  <si>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</si>
  <si>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</si>
  <si>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</si>
  <si>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</si>
  <si>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</si>
  <si>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</si>
  <si>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</si>
  <si>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</si>
  <si>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</si>
  <si>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</si>
  <si>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</si>
  <si>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</si>
  <si>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</si>
  <si>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</si>
  <si>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</si>
  <si>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</si>
  <si>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</si>
  <si>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</si>
  <si>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</si>
  <si>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</si>
  <si>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</si>
  <si>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</si>
  <si>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</si>
  <si>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</si>
  <si>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</si>
  <si>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</si>
  <si>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</si>
  <si>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</si>
  <si>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</si>
  <si>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</si>
  <si>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</si>
  <si>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</si>
  <si>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</si>
  <si>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</si>
  <si>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</si>
  <si>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</si>
  <si>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</si>
  <si>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</si>
  <si>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</si>
  <si>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</si>
  <si>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</si>
  <si>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</si>
  <si>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</si>
  <si>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</si>
  <si>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</si>
  <si>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</si>
  <si>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</si>
  <si>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</si>
  <si>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</si>
  <si>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</si>
  <si>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</si>
  <si>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</si>
  <si>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</si>
  <si>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</si>
  <si>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</si>
  <si>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</si>
  <si>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</si>
  <si>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</si>
  <si>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</si>
  <si>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</si>
  <si>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</si>
  <si>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</si>
  <si>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</si>
  <si>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</si>
  <si>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</si>
  <si>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</si>
  <si>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</si>
  <si>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</si>
  <si>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</si>
  <si>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</si>
  <si>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</si>
  <si>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</si>
  <si>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</si>
  <si>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</si>
  <si>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</si>
  <si>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</si>
  <si>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</si>
  <si>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</si>
  <si>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</si>
  <si>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</si>
  <si>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</si>
  <si>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</si>
  <si>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</si>
  <si>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</si>
  <si>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</si>
  <si>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</si>
  <si>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</si>
  <si>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</si>
  <si>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</si>
  <si>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</si>
  <si>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</si>
  <si>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</si>
  <si>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</si>
  <si>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</si>
  <si>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</si>
  <si>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</si>
  <si>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</si>
  <si>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</si>
  <si>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</si>
  <si>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</si>
  <si>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</si>
  <si>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</si>
  <si>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</si>
  <si>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</si>
  <si>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</si>
  <si>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</si>
  <si>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</si>
  <si>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</si>
  <si>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</si>
  <si>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</si>
  <si>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</si>
  <si>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</si>
  <si>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</si>
  <si>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CS_LABOUR</t>
  </si>
  <si>
    <t>Concept scheme for labour statistics</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</si>
  <si>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</si>
  <si>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</si>
  <si>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</si>
  <si>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</si>
  <si>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</si>
  <si>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</si>
  <si>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</si>
  <si>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</si>
  <si>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</si>
  <si>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</si>
  <si>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</si>
  <si>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https://registry.sdmx.org/schemas/v2_1/SDMXMessage.xsd"&gt;&lt;mes:Header&gt;&lt;mes:ID&gt;IDREF6620&lt;/mes:ID&gt;&lt;mes:Test&gt;false&lt;/mes:Test&gt;&lt;mes:Prepared&gt;2019-01-28T14:38:28&lt;/mes:Prepared&gt;&lt;mes:Sender id="OECD"/&gt;&lt;mes:Receiver id="OECD"/&gt;&lt;/mes:Header&gt;&lt;mes:Structures/&gt;&lt;/mes:Structure&gt;_x000D_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</si>
</sst>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2"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theme="1"/>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sz val="11"/>
      <name val="Calibri"/>
      <family val="2"/>
    </font>
    <font>
      <sz val="8"/>
      <color theme="1"/>
      <name val="Arial"/>
    </font>
    <font>
      <i/>
      <sz val="8"/>
      <name val="Arial"/>
      <family val="2"/>
    </font>
    <font>
      <sz val="11"/>
      <color rgb="FF002060"/>
      <name val="Calibri"/>
      <family val="2"/>
      <scheme val="minor"/>
    </font>
    <font>
      <b/>
      <u/>
      <sz val="12"/>
      <color indexed="12"/>
      <name val="Arial"/>
      <family val="2"/>
    </font>
    <font>
      <u/>
      <sz val="10"/>
      <color indexed="12"/>
      <name val="Calibri"/>
      <family val="2"/>
      <scheme val="minor"/>
    </font>
    <font>
      <u/>
      <sz val="10"/>
      <color indexed="12"/>
      <name val="Arial"/>
      <family val="2"/>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rgb="FFFDE9D9"/>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bottom/>
      <diagonal/>
    </border>
    <border>
      <left style="hair">
        <color indexed="64"/>
      </left>
      <right style="hair">
        <color indexed="64"/>
      </right>
      <top style="thin">
        <color indexed="64"/>
      </top>
      <bottom/>
      <diagonal/>
    </border>
  </borders>
  <cellStyleXfs count="228">
    <xf numFmtId="0" fontId="0" fillId="0" borderId="0"/>
    <xf numFmtId="0" fontId="22" fillId="2" borderId="0" applyNumberFormat="0" applyBorder="0" applyAlignment="0" applyProtection="0"/>
    <xf numFmtId="0" fontId="22" fillId="2"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4" fillId="26" borderId="0" applyNumberFormat="0" applyBorder="0" applyAlignment="0" applyProtection="0"/>
    <xf numFmtId="0" fontId="25" fillId="26" borderId="0" applyNumberFormat="0" applyBorder="0" applyAlignment="0" applyProtection="0"/>
    <xf numFmtId="0" fontId="26" fillId="27" borderId="7" applyNumberFormat="0" applyAlignment="0" applyProtection="0"/>
    <xf numFmtId="0" fontId="27" fillId="28" borderId="8" applyNumberFormat="0" applyAlignment="0" applyProtection="0"/>
    <xf numFmtId="0" fontId="28" fillId="0" borderId="0" applyNumberFormat="0" applyFill="0" applyBorder="0" applyAlignment="0" applyProtection="0"/>
    <xf numFmtId="0" fontId="29" fillId="29" borderId="0" applyNumberFormat="0" applyBorder="0" applyAlignment="0" applyProtection="0"/>
    <xf numFmtId="0" fontId="30" fillId="29"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4" fillId="30" borderId="7" applyNumberFormat="0" applyAlignment="0" applyProtection="0"/>
    <xf numFmtId="0" fontId="35" fillId="0" borderId="12" applyNumberFormat="0" applyFill="0" applyAlignment="0" applyProtection="0"/>
    <xf numFmtId="0" fontId="36" fillId="31" borderId="0" applyNumberFormat="0" applyBorder="0" applyAlignment="0" applyProtection="0"/>
    <xf numFmtId="0" fontId="37" fillId="31"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6" fillId="0" borderId="0"/>
    <xf numFmtId="0" fontId="8" fillId="0" borderId="0"/>
    <xf numFmtId="0" fontId="7" fillId="0" borderId="0"/>
    <xf numFmtId="0" fontId="4" fillId="0" borderId="0"/>
    <xf numFmtId="0" fontId="4" fillId="0" borderId="0"/>
    <xf numFmtId="0" fontId="22" fillId="0" borderId="0"/>
    <xf numFmtId="0" fontId="22" fillId="0" borderId="0"/>
    <xf numFmtId="0" fontId="22" fillId="0" borderId="0"/>
    <xf numFmtId="0" fontId="22" fillId="0" borderId="0"/>
    <xf numFmtId="0" fontId="21" fillId="0" borderId="0"/>
    <xf numFmtId="0" fontId="4" fillId="0" borderId="0"/>
    <xf numFmtId="0" fontId="4" fillId="0" borderId="0"/>
    <xf numFmtId="0" fontId="38"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4"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3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12" fillId="0" borderId="0"/>
    <xf numFmtId="0" fontId="22"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9" fillId="27" borderId="14" applyNumberFormat="0" applyAlignment="0" applyProtection="0"/>
    <xf numFmtId="0" fontId="12" fillId="0" borderId="0">
      <alignment vertical="top"/>
    </xf>
    <xf numFmtId="0" fontId="40" fillId="0" borderId="0" applyNumberFormat="0" applyFill="0" applyBorder="0" applyAlignment="0" applyProtection="0"/>
    <xf numFmtId="0" fontId="41" fillId="0" borderId="15" applyNumberFormat="0" applyFill="0" applyAlignment="0" applyProtection="0"/>
    <xf numFmtId="0" fontId="42" fillId="0" borderId="0" applyNumberFormat="0" applyFill="0" applyBorder="0" applyAlignment="0" applyProtection="0"/>
    <xf numFmtId="0" fontId="2" fillId="0" borderId="0"/>
    <xf numFmtId="0" fontId="12" fillId="0" borderId="0"/>
    <xf numFmtId="0" fontId="4" fillId="0" borderId="1"/>
    <xf numFmtId="0" fontId="4" fillId="0" borderId="0"/>
    <xf numFmtId="0" fontId="84" fillId="0" borderId="0"/>
    <xf numFmtId="0" fontId="1" fillId="0" borderId="0"/>
  </cellStyleXfs>
  <cellXfs count="393">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20"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5" fillId="0" borderId="0" xfId="55" applyFont="1"/>
    <xf numFmtId="164" fontId="45" fillId="0" borderId="0" xfId="55" applyNumberFormat="1" applyFont="1"/>
    <xf numFmtId="0" fontId="45" fillId="0" borderId="0" xfId="55" applyFont="1" applyAlignment="1">
      <alignment wrapText="1"/>
    </xf>
    <xf numFmtId="0" fontId="6" fillId="0" borderId="0" xfId="212" applyFont="1" applyFill="1"/>
    <xf numFmtId="0" fontId="41" fillId="37" borderId="3" xfId="106" applyFont="1" applyFill="1" applyBorder="1" applyAlignment="1">
      <alignment horizontal="left" vertical="center" wrapText="1"/>
    </xf>
    <xf numFmtId="0" fontId="52" fillId="0" borderId="0" xfId="106" applyFont="1"/>
    <xf numFmtId="0" fontId="22" fillId="34" borderId="1" xfId="106" applyFont="1" applyFill="1" applyBorder="1" applyAlignment="1">
      <alignment horizontal="left" wrapText="1"/>
    </xf>
    <xf numFmtId="0" fontId="22" fillId="34" borderId="1" xfId="106" applyFont="1" applyFill="1" applyBorder="1" applyAlignment="1">
      <alignment horizontal="left"/>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3" fillId="0" borderId="1" xfId="106" applyFont="1" applyFill="1" applyBorder="1" applyAlignment="1">
      <alignment horizontal="center" vertical="center" textRotation="90" wrapText="1"/>
    </xf>
    <xf numFmtId="0" fontId="53" fillId="34" borderId="1" xfId="106" applyFont="1" applyFill="1" applyBorder="1" applyAlignment="1">
      <alignment horizontal="left" wrapText="1"/>
    </xf>
    <xf numFmtId="0" fontId="52" fillId="0" borderId="0" xfId="0" applyFont="1"/>
    <xf numFmtId="0" fontId="50" fillId="0" borderId="0" xfId="0" applyFont="1"/>
    <xf numFmtId="0" fontId="54" fillId="0" borderId="0" xfId="0" applyFont="1"/>
    <xf numFmtId="0" fontId="55" fillId="0" borderId="0" xfId="0" applyFont="1"/>
    <xf numFmtId="0" fontId="41" fillId="0" borderId="0" xfId="0" applyFont="1"/>
    <xf numFmtId="0" fontId="0" fillId="39" borderId="1" xfId="106" applyFont="1" applyFill="1" applyBorder="1" applyAlignment="1">
      <alignment horizontal="center"/>
    </xf>
    <xf numFmtId="0" fontId="57" fillId="0" borderId="0" xfId="0" applyFont="1" applyAlignment="1">
      <alignment vertical="center"/>
    </xf>
    <xf numFmtId="0" fontId="0" fillId="0" borderId="0" xfId="0" applyFont="1"/>
    <xf numFmtId="0" fontId="41" fillId="0" borderId="0" xfId="0" applyFont="1" applyAlignment="1">
      <alignment wrapText="1"/>
    </xf>
    <xf numFmtId="0" fontId="58" fillId="36" borderId="0" xfId="106" applyFont="1" applyFill="1" applyAlignment="1">
      <alignment horizontal="center" wrapText="1"/>
    </xf>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49" fontId="0" fillId="0" borderId="0" xfId="0" applyNumberFormat="1" applyAlignment="1">
      <alignment wrapText="1"/>
    </xf>
    <xf numFmtId="0" fontId="61" fillId="0" borderId="0" xfId="0" applyFont="1"/>
    <xf numFmtId="49" fontId="0" fillId="0" borderId="0" xfId="0" applyNumberFormat="1"/>
    <xf numFmtId="49" fontId="45" fillId="0" borderId="0" xfId="55" applyNumberFormat="1" applyFont="1"/>
    <xf numFmtId="0" fontId="62" fillId="0" borderId="0" xfId="0" applyFont="1"/>
    <xf numFmtId="0" fontId="63" fillId="0" borderId="0" xfId="0" applyFont="1"/>
    <xf numFmtId="0" fontId="64" fillId="0" borderId="0" xfId="0" applyFont="1"/>
    <xf numFmtId="0" fontId="65" fillId="0" borderId="0" xfId="48" applyFont="1" applyAlignment="1" applyProtection="1"/>
    <xf numFmtId="49" fontId="4" fillId="0" borderId="0" xfId="0" applyNumberFormat="1" applyFont="1"/>
    <xf numFmtId="0" fontId="66" fillId="0" borderId="0" xfId="48" applyFont="1" applyAlignment="1" applyProtection="1"/>
    <xf numFmtId="0" fontId="52" fillId="0" borderId="4" xfId="0" applyFont="1" applyBorder="1" applyAlignment="1">
      <alignment horizontal="left" vertical="top"/>
    </xf>
    <xf numFmtId="0" fontId="52" fillId="0" borderId="4" xfId="212" applyFont="1" applyFill="1" applyBorder="1" applyAlignment="1">
      <alignment horizontal="left" vertical="top"/>
    </xf>
    <xf numFmtId="0" fontId="52" fillId="0" borderId="0" xfId="0" applyFont="1" applyAlignment="1">
      <alignment horizontal="left" vertical="top"/>
    </xf>
    <xf numFmtId="49" fontId="52" fillId="0" borderId="0" xfId="0" applyNumberFormat="1" applyFont="1" applyFill="1" applyBorder="1" applyAlignment="1">
      <alignment horizontal="left" vertical="top" wrapText="1"/>
    </xf>
    <xf numFmtId="0" fontId="52" fillId="0" borderId="0" xfId="0" applyFont="1" applyFill="1" applyBorder="1" applyAlignment="1">
      <alignment horizontal="left" vertical="top" wrapText="1"/>
    </xf>
    <xf numFmtId="0" fontId="52" fillId="0" borderId="0" xfId="0" applyFont="1" applyFill="1" applyBorder="1" applyAlignment="1">
      <alignment horizontal="left" vertical="top"/>
    </xf>
    <xf numFmtId="0" fontId="50" fillId="0" borderId="0" xfId="0" applyFont="1" applyAlignment="1">
      <alignment horizontal="left"/>
    </xf>
    <xf numFmtId="0" fontId="59"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53" fillId="34" borderId="0" xfId="106" applyFont="1" applyFill="1" applyBorder="1" applyAlignment="1">
      <alignment horizontal="left" wrapText="1"/>
    </xf>
    <xf numFmtId="0" fontId="22" fillId="34" borderId="0" xfId="106" applyFont="1" applyFill="1" applyBorder="1" applyAlignment="1">
      <alignment horizontal="left" wrapText="1"/>
    </xf>
    <xf numFmtId="0" fontId="50" fillId="0" borderId="0" xfId="0" applyFont="1" applyBorder="1"/>
    <xf numFmtId="0" fontId="50" fillId="0" borderId="18" xfId="0" applyFont="1" applyBorder="1" applyAlignment="1">
      <alignment horizontal="left" vertical="top"/>
    </xf>
    <xf numFmtId="0" fontId="50" fillId="0" borderId="0" xfId="0" applyFont="1" applyAlignment="1">
      <alignment wrapText="1"/>
    </xf>
    <xf numFmtId="0" fontId="61" fillId="0" borderId="0" xfId="0" applyFont="1" applyAlignment="1">
      <alignment vertical="top"/>
    </xf>
    <xf numFmtId="0" fontId="61" fillId="0" borderId="0" xfId="0" applyFont="1" applyAlignment="1">
      <alignment vertical="top" wrapText="1"/>
    </xf>
    <xf numFmtId="0" fontId="68" fillId="0" borderId="0" xfId="0" applyFont="1" applyAlignment="1">
      <alignment horizontal="left" vertical="top"/>
    </xf>
    <xf numFmtId="0" fontId="50" fillId="0" borderId="0" xfId="0" applyFont="1" applyAlignment="1">
      <alignment horizontal="center" vertical="top"/>
    </xf>
    <xf numFmtId="0" fontId="69" fillId="0" borderId="0" xfId="0" applyFont="1"/>
    <xf numFmtId="0" fontId="50" fillId="0" borderId="0" xfId="223" applyFont="1" applyFill="1" applyBorder="1" applyAlignment="1">
      <alignment wrapText="1"/>
    </xf>
    <xf numFmtId="0" fontId="50" fillId="0" borderId="0" xfId="224" applyFont="1" applyBorder="1"/>
    <xf numFmtId="0" fontId="50" fillId="0" borderId="17" xfId="48" applyFont="1" applyBorder="1" applyAlignment="1" applyProtection="1">
      <alignment horizontal="left" vertical="top"/>
    </xf>
    <xf numFmtId="0" fontId="50" fillId="0" borderId="18" xfId="48" applyFont="1" applyBorder="1" applyAlignment="1" applyProtection="1">
      <alignment horizontal="left" vertical="top"/>
    </xf>
    <xf numFmtId="0" fontId="49" fillId="0" borderId="0" xfId="48" applyFont="1" applyAlignment="1" applyProtection="1">
      <alignment horizontal="left" vertical="top"/>
    </xf>
    <xf numFmtId="0" fontId="51" fillId="40" borderId="0" xfId="213" applyFont="1" applyFill="1" applyAlignment="1">
      <alignment vertical="top"/>
    </xf>
    <xf numFmtId="0" fontId="59" fillId="40" borderId="0" xfId="213" applyFont="1" applyFill="1" applyAlignment="1">
      <alignment vertical="top"/>
    </xf>
    <xf numFmtId="0" fontId="52" fillId="40" borderId="0" xfId="0"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0" fillId="35" borderId="0" xfId="0" applyFont="1" applyFill="1" applyAlignment="1">
      <alignment horizontal="left"/>
    </xf>
    <xf numFmtId="0" fontId="60" fillId="35" borderId="0" xfId="0" applyFont="1" applyFill="1"/>
    <xf numFmtId="0" fontId="71" fillId="35" borderId="2" xfId="0" applyFont="1" applyFill="1" applyBorder="1"/>
    <xf numFmtId="0" fontId="67"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2" fillId="35" borderId="0" xfId="0" applyFont="1" applyFill="1" applyAlignment="1">
      <alignment vertical="top"/>
    </xf>
    <xf numFmtId="49" fontId="52" fillId="35" borderId="0" xfId="0" applyNumberFormat="1" applyFont="1" applyFill="1" applyBorder="1" applyAlignment="1">
      <alignment horizontal="center" vertical="top" wrapText="1"/>
    </xf>
    <xf numFmtId="0" fontId="52" fillId="35" borderId="0" xfId="0" applyFont="1" applyFill="1" applyBorder="1" applyAlignment="1">
      <alignment vertical="top" wrapText="1"/>
    </xf>
    <xf numFmtId="0" fontId="52" fillId="0" borderId="4" xfId="0" applyFont="1" applyFill="1" applyBorder="1" applyAlignment="1">
      <alignment horizontal="left" vertical="top"/>
    </xf>
    <xf numFmtId="0" fontId="51" fillId="33" borderId="0" xfId="213" applyFont="1" applyFill="1"/>
    <xf numFmtId="0" fontId="59" fillId="33" borderId="0" xfId="213" applyFont="1" applyFill="1"/>
    <xf numFmtId="0" fontId="51" fillId="33" borderId="0" xfId="213" applyFont="1" applyFill="1" applyAlignment="1">
      <alignment vertical="top"/>
    </xf>
    <xf numFmtId="0" fontId="59" fillId="33" borderId="0" xfId="213" applyFont="1" applyFill="1" applyAlignment="1">
      <alignment vertical="top"/>
    </xf>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55"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20" fillId="0" borderId="1" xfId="212" applyFont="1" applyFill="1" applyBorder="1" applyAlignment="1">
      <alignment horizontal="left"/>
    </xf>
    <xf numFmtId="0" fontId="6" fillId="0" borderId="1" xfId="212" applyFont="1" applyFill="1" applyBorder="1" applyAlignment="1">
      <alignment horizontal="left"/>
    </xf>
    <xf numFmtId="0" fontId="50" fillId="38" borderId="1" xfId="0" applyFont="1" applyFill="1" applyBorder="1" applyAlignment="1">
      <alignment horizontal="left" vertical="top"/>
    </xf>
    <xf numFmtId="0" fontId="22" fillId="0" borderId="0" xfId="0" applyFont="1" applyFill="1" applyBorder="1" applyAlignment="1">
      <alignment vertical="center"/>
    </xf>
    <xf numFmtId="0" fontId="52" fillId="40" borderId="0" xfId="0" applyFont="1" applyFill="1" applyAlignment="1">
      <alignment wrapText="1"/>
    </xf>
    <xf numFmtId="0" fontId="22" fillId="0" borderId="0" xfId="0" applyFont="1" applyFill="1" applyBorder="1" applyAlignment="1">
      <alignment vertical="center" wrapText="1"/>
    </xf>
    <xf numFmtId="0" fontId="50" fillId="0" borderId="0" xfId="0" applyFont="1" applyFill="1" applyBorder="1" applyAlignment="1">
      <alignment vertical="center" wrapText="1"/>
    </xf>
    <xf numFmtId="0" fontId="15" fillId="40" borderId="0" xfId="0" applyFont="1" applyFill="1"/>
    <xf numFmtId="0" fontId="52" fillId="40" borderId="0" xfId="0" applyFont="1" applyFill="1" applyAlignment="1">
      <alignment vertical="top" wrapText="1"/>
    </xf>
    <xf numFmtId="49" fontId="52" fillId="0" borderId="0" xfId="0" applyNumberFormat="1" applyFont="1" applyFill="1" applyBorder="1" applyAlignment="1">
      <alignment horizontal="center" vertical="top" wrapText="1"/>
    </xf>
    <xf numFmtId="0" fontId="52"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6" fillId="0" borderId="0" xfId="0" applyFont="1" applyFill="1" applyBorder="1" applyAlignment="1">
      <alignment horizontal="center" vertical="center" wrapText="1"/>
    </xf>
    <xf numFmtId="0" fontId="45"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6" fillId="0" borderId="6" xfId="55" applyFont="1" applyFill="1" applyBorder="1" applyAlignment="1">
      <alignment horizontal="left" vertical="top"/>
    </xf>
    <xf numFmtId="0" fontId="45" fillId="0" borderId="0" xfId="55" applyFont="1" applyAlignment="1">
      <alignment horizontal="left" vertical="top"/>
    </xf>
    <xf numFmtId="0" fontId="45" fillId="0" borderId="0" xfId="55" applyFont="1" applyAlignment="1">
      <alignment horizontal="left" vertical="top" wrapText="1"/>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72" fillId="41" borderId="0" xfId="213" applyFont="1" applyFill="1"/>
    <xf numFmtId="0" fontId="73" fillId="41" borderId="0" xfId="213" applyFont="1" applyFill="1"/>
    <xf numFmtId="0" fontId="61" fillId="41" borderId="0" xfId="0" applyFont="1" applyFill="1"/>
    <xf numFmtId="49" fontId="74" fillId="41" borderId="0" xfId="0" applyNumberFormat="1" applyFont="1" applyFill="1"/>
    <xf numFmtId="49" fontId="72" fillId="41" borderId="0" xfId="213" applyNumberFormat="1" applyFont="1" applyFill="1"/>
    <xf numFmtId="0" fontId="72" fillId="41" borderId="0" xfId="213" applyFont="1" applyFill="1" applyAlignment="1">
      <alignment vertical="top" wrapText="1"/>
    </xf>
    <xf numFmtId="0" fontId="73" fillId="41" borderId="0" xfId="213" applyFont="1" applyFill="1" applyAlignment="1">
      <alignment vertical="top"/>
    </xf>
    <xf numFmtId="0" fontId="75" fillId="33" borderId="0" xfId="48" applyFont="1" applyFill="1" applyAlignment="1" applyProtection="1"/>
    <xf numFmtId="0" fontId="52" fillId="0" borderId="0" xfId="0" applyFont="1" applyAlignment="1">
      <alignment vertical="top"/>
    </xf>
    <xf numFmtId="0" fontId="15" fillId="0" borderId="0" xfId="0" applyFont="1" applyAlignment="1">
      <alignment horizontal="center"/>
    </xf>
    <xf numFmtId="0" fontId="56"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6" fillId="0" borderId="0" xfId="0" applyFont="1" applyAlignment="1">
      <alignment horizontal="center"/>
    </xf>
    <xf numFmtId="0" fontId="0" fillId="0" borderId="0" xfId="0" applyFill="1" applyAlignment="1">
      <alignment horizontal="center"/>
    </xf>
    <xf numFmtId="0" fontId="22" fillId="34" borderId="1" xfId="106" applyFont="1" applyFill="1" applyBorder="1" applyAlignment="1">
      <alignment horizontal="center"/>
    </xf>
    <xf numFmtId="0" fontId="22" fillId="34" borderId="0" xfId="106" applyFont="1" applyFill="1" applyBorder="1" applyAlignment="1">
      <alignment horizontal="center" wrapText="1"/>
    </xf>
    <xf numFmtId="0" fontId="50" fillId="0" borderId="0" xfId="106" applyFont="1" applyAlignment="1">
      <alignment horizontal="center"/>
    </xf>
    <xf numFmtId="0" fontId="75" fillId="33" borderId="0" xfId="48" applyFont="1" applyFill="1" applyAlignment="1" applyProtection="1">
      <alignment vertical="top"/>
    </xf>
    <xf numFmtId="0" fontId="51" fillId="0" borderId="0" xfId="213" applyFont="1" applyFill="1" applyAlignment="1">
      <alignment vertical="top"/>
    </xf>
    <xf numFmtId="0" fontId="5" fillId="38" borderId="1" xfId="48" applyFill="1" applyBorder="1" applyAlignment="1" applyProtection="1">
      <alignment vertical="top"/>
    </xf>
    <xf numFmtId="0" fontId="52" fillId="0" borderId="0" xfId="0" applyFont="1" applyFill="1" applyBorder="1" applyAlignment="1">
      <alignment vertical="top" wrapText="1"/>
    </xf>
    <xf numFmtId="0" fontId="52" fillId="0" borderId="0" xfId="0" applyFont="1" applyFill="1" applyBorder="1" applyAlignment="1">
      <alignment horizontal="center" vertical="top"/>
    </xf>
    <xf numFmtId="0" fontId="52" fillId="38" borderId="21" xfId="0" applyFont="1" applyFill="1" applyBorder="1" applyAlignment="1">
      <alignment vertical="top" wrapText="1"/>
    </xf>
    <xf numFmtId="0" fontId="51" fillId="0" borderId="0" xfId="213" applyFont="1" applyFill="1" applyBorder="1"/>
    <xf numFmtId="0" fontId="51" fillId="0" borderId="0" xfId="213" applyFont="1" applyFill="1" applyBorder="1" applyAlignment="1">
      <alignment vertical="top"/>
    </xf>
    <xf numFmtId="0" fontId="75" fillId="0" borderId="0" xfId="48" applyFont="1" applyFill="1" applyBorder="1" applyAlignment="1" applyProtection="1">
      <alignment vertical="top"/>
    </xf>
    <xf numFmtId="0" fontId="75" fillId="0" borderId="0" xfId="48" applyFont="1" applyFill="1" applyBorder="1" applyAlignment="1" applyProtection="1"/>
    <xf numFmtId="0" fontId="52" fillId="0" borderId="0" xfId="212" applyFont="1" applyFill="1" applyBorder="1" applyAlignment="1">
      <alignment horizontal="left" vertical="top"/>
    </xf>
    <xf numFmtId="0" fontId="44" fillId="0" borderId="0" xfId="0" applyFont="1" applyFill="1" applyBorder="1" applyAlignment="1">
      <alignment horizontal="center"/>
    </xf>
    <xf numFmtId="0" fontId="44"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3" fillId="0" borderId="0" xfId="0" applyFont="1" applyFill="1" applyBorder="1" applyAlignment="1">
      <alignment horizontal="center"/>
    </xf>
    <xf numFmtId="0" fontId="47"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alignment horizontal="left"/>
    </xf>
    <xf numFmtId="0" fontId="6" fillId="0" borderId="0" xfId="0" applyFont="1" applyAlignment="1">
      <alignment horizontal="left"/>
    </xf>
    <xf numFmtId="0" fontId="0" fillId="0" borderId="0" xfId="0" applyAlignment="1">
      <alignment horizontal="left"/>
    </xf>
    <xf numFmtId="0" fontId="4" fillId="0" borderId="0" xfId="0" applyFont="1" applyFill="1" applyBorder="1" applyAlignment="1">
      <alignment horizontal="center" vertical="top"/>
    </xf>
    <xf numFmtId="0" fontId="6" fillId="0" borderId="0" xfId="0" applyFont="1" applyFill="1" applyBorder="1" applyAlignment="1">
      <alignment horizontal="center" vertical="top"/>
    </xf>
    <xf numFmtId="0" fontId="76" fillId="0" borderId="0" xfId="0" quotePrefix="1" applyFont="1" applyFill="1" applyBorder="1" applyAlignment="1">
      <alignment horizontal="center" vertical="top"/>
    </xf>
    <xf numFmtId="0" fontId="15" fillId="0" borderId="0" xfId="0" applyFont="1" applyFill="1" applyBorder="1" applyAlignment="1">
      <alignment horizontal="center" vertical="top"/>
    </xf>
    <xf numFmtId="0" fontId="15" fillId="0" borderId="0" xfId="0" applyFont="1" applyAlignment="1"/>
    <xf numFmtId="0" fontId="0" fillId="0" borderId="0" xfId="0" applyAlignment="1"/>
    <xf numFmtId="0" fontId="73" fillId="41" borderId="0" xfId="213" applyFont="1" applyFill="1" applyAlignment="1">
      <alignment horizontal="left"/>
    </xf>
    <xf numFmtId="0" fontId="46" fillId="0" borderId="0" xfId="0" applyFont="1" applyFill="1" applyBorder="1" applyAlignment="1">
      <alignment horizontal="left" vertical="center"/>
    </xf>
    <xf numFmtId="0" fontId="45" fillId="0" borderId="0" xfId="55" applyFont="1" applyAlignment="1">
      <alignment horizontal="left"/>
    </xf>
    <xf numFmtId="0" fontId="41" fillId="36" borderId="22" xfId="0" applyFont="1" applyFill="1" applyBorder="1" applyAlignment="1">
      <alignment vertical="top" wrapText="1"/>
    </xf>
    <xf numFmtId="0" fontId="41" fillId="36" borderId="25" xfId="0" applyFont="1" applyFill="1" applyBorder="1" applyAlignment="1">
      <alignment horizontal="left" vertical="top" wrapText="1"/>
    </xf>
    <xf numFmtId="0" fontId="79" fillId="40" borderId="3" xfId="55" applyFont="1" applyFill="1" applyBorder="1" applyAlignment="1">
      <alignment horizontal="center" vertical="center" wrapText="1"/>
    </xf>
    <xf numFmtId="0" fontId="79" fillId="40" borderId="3" xfId="55" applyFont="1" applyFill="1" applyBorder="1" applyAlignment="1">
      <alignment horizontal="center" vertical="center"/>
    </xf>
    <xf numFmtId="0" fontId="79" fillId="40" borderId="3" xfId="55" applyFont="1" applyFill="1" applyBorder="1" applyAlignment="1">
      <alignment horizontal="left" vertical="center" wrapText="1"/>
    </xf>
    <xf numFmtId="49" fontId="79" fillId="40" borderId="3" xfId="55" applyNumberFormat="1" applyFont="1" applyFill="1" applyBorder="1" applyAlignment="1">
      <alignment horizontal="left" vertical="center"/>
    </xf>
    <xf numFmtId="0" fontId="79" fillId="40" borderId="3" xfId="55" applyFont="1" applyFill="1" applyBorder="1" applyAlignment="1">
      <alignment horizontal="left" vertical="center"/>
    </xf>
    <xf numFmtId="0" fontId="80" fillId="40" borderId="0" xfId="55" applyFont="1" applyFill="1" applyAlignment="1">
      <alignment vertical="center" wrapText="1"/>
    </xf>
    <xf numFmtId="0" fontId="75" fillId="0" borderId="0" xfId="48" applyFont="1" applyAlignment="1" applyProtection="1">
      <alignment wrapText="1"/>
    </xf>
    <xf numFmtId="0" fontId="71" fillId="35" borderId="0" xfId="0" applyFont="1" applyFill="1" applyAlignment="1">
      <alignment vertical="top" wrapText="1"/>
    </xf>
    <xf numFmtId="0" fontId="67" fillId="0" borderId="0" xfId="0" applyFont="1" applyAlignment="1">
      <alignment vertical="top" wrapText="1"/>
    </xf>
    <xf numFmtId="0" fontId="59" fillId="42" borderId="0" xfId="213" applyFont="1" applyFill="1" applyAlignment="1">
      <alignment vertical="top"/>
    </xf>
    <xf numFmtId="49" fontId="50" fillId="42" borderId="0" xfId="0" applyNumberFormat="1" applyFont="1" applyFill="1" applyAlignment="1">
      <alignment vertical="top"/>
    </xf>
    <xf numFmtId="0" fontId="59" fillId="42" borderId="0" xfId="213" applyFont="1" applyFill="1"/>
    <xf numFmtId="49" fontId="50" fillId="42" borderId="0" xfId="0" applyNumberFormat="1" applyFont="1" applyFill="1"/>
    <xf numFmtId="0" fontId="13" fillId="0" borderId="0" xfId="0" applyFont="1" applyFill="1" applyAlignment="1">
      <alignment horizontal="center"/>
    </xf>
    <xf numFmtId="0" fontId="15" fillId="0" borderId="0" xfId="0" applyFont="1" applyAlignment="1">
      <alignment horizontal="center"/>
    </xf>
    <xf numFmtId="0" fontId="0" fillId="0" borderId="0" xfId="55" applyFont="1"/>
    <xf numFmtId="0" fontId="22" fillId="42" borderId="0" xfId="55" applyFill="1" applyAlignment="1">
      <alignment wrapText="1"/>
    </xf>
    <xf numFmtId="0" fontId="50" fillId="0" borderId="0" xfId="55" applyFont="1" applyAlignment="1">
      <alignment wrapText="1"/>
    </xf>
    <xf numFmtId="0" fontId="22" fillId="0" borderId="0" xfId="55"/>
    <xf numFmtId="0" fontId="0" fillId="0" borderId="0" xfId="55" applyFont="1" applyFill="1"/>
    <xf numFmtId="0" fontId="22" fillId="0" borderId="0" xfId="55" applyFill="1"/>
    <xf numFmtId="0" fontId="0" fillId="42" borderId="0" xfId="55" applyFont="1" applyFill="1" applyBorder="1" applyAlignment="1">
      <alignment wrapText="1"/>
    </xf>
    <xf numFmtId="0" fontId="50" fillId="0" borderId="0" xfId="55" applyFont="1" applyBorder="1" applyAlignment="1">
      <alignment wrapText="1"/>
    </xf>
    <xf numFmtId="0" fontId="0" fillId="0" borderId="0" xfId="55" applyFont="1" applyBorder="1"/>
    <xf numFmtId="0" fontId="22" fillId="0" borderId="0" xfId="55" applyBorder="1"/>
    <xf numFmtId="0" fontId="22" fillId="42" borderId="0" xfId="55" applyFill="1" applyBorder="1" applyAlignment="1">
      <alignment wrapText="1"/>
    </xf>
    <xf numFmtId="0" fontId="22" fillId="0" borderId="0" xfId="55" applyFill="1" applyAlignment="1">
      <alignment wrapText="1"/>
    </xf>
    <xf numFmtId="0" fontId="50" fillId="0" borderId="0" xfId="55" applyFont="1" applyFill="1" applyAlignment="1">
      <alignment wrapText="1"/>
    </xf>
    <xf numFmtId="0" fontId="22" fillId="0" borderId="0" xfId="106" quotePrefix="1" applyFont="1" applyFill="1" applyBorder="1" applyAlignment="1">
      <alignment horizontal="center"/>
    </xf>
    <xf numFmtId="0" fontId="0" fillId="42" borderId="0" xfId="55" applyFont="1" applyFill="1" applyAlignment="1">
      <alignment wrapText="1"/>
    </xf>
    <xf numFmtId="0" fontId="50" fillId="0" borderId="0" xfId="55" applyFont="1"/>
    <xf numFmtId="0" fontId="50" fillId="42" borderId="0" xfId="55" applyFont="1" applyFill="1" applyAlignment="1">
      <alignment wrapText="1"/>
    </xf>
    <xf numFmtId="0" fontId="50" fillId="0" borderId="0" xfId="106" quotePrefix="1" applyFont="1" applyFill="1" applyBorder="1" applyAlignment="1">
      <alignment horizontal="center"/>
    </xf>
    <xf numFmtId="0" fontId="50" fillId="42" borderId="0" xfId="55" applyFont="1" applyFill="1" applyBorder="1" applyAlignment="1">
      <alignment wrapText="1"/>
    </xf>
    <xf numFmtId="0" fontId="0" fillId="0" borderId="0" xfId="0" applyFill="1"/>
    <xf numFmtId="0" fontId="50" fillId="0" borderId="0" xfId="106" applyFont="1" applyFill="1" applyAlignment="1">
      <alignment horizontal="left" wrapText="1"/>
    </xf>
    <xf numFmtId="0" fontId="0" fillId="0" borderId="0" xfId="0" applyFill="1" applyAlignment="1">
      <alignment vertical="center"/>
    </xf>
    <xf numFmtId="0" fontId="5" fillId="0" borderId="0" xfId="48" applyAlignment="1" applyProtection="1">
      <alignment horizontal="center" vertical="center" textRotation="90" wrapText="1"/>
    </xf>
    <xf numFmtId="0" fontId="5" fillId="0" borderId="0" xfId="48" applyAlignment="1" applyProtection="1">
      <alignment horizontal="center" vertical="center" textRotation="90"/>
    </xf>
    <xf numFmtId="0" fontId="50" fillId="0" borderId="16" xfId="55" applyFont="1" applyBorder="1" applyAlignment="1">
      <alignment horizontal="center" vertical="top" wrapText="1"/>
    </xf>
    <xf numFmtId="0" fontId="50" fillId="0" borderId="16" xfId="55" applyFont="1" applyBorder="1" applyAlignment="1">
      <alignment vertical="top" wrapText="1"/>
    </xf>
    <xf numFmtId="0" fontId="50" fillId="0" borderId="16" xfId="55" applyFont="1" applyFill="1" applyBorder="1" applyAlignment="1">
      <alignment vertical="top" wrapText="1"/>
    </xf>
    <xf numFmtId="0" fontId="50" fillId="0" borderId="26" xfId="55" applyFont="1" applyFill="1" applyBorder="1" applyAlignment="1">
      <alignment horizontal="center" vertical="top" wrapText="1"/>
    </xf>
    <xf numFmtId="0" fontId="50" fillId="0" borderId="26" xfId="55" applyFont="1" applyFill="1" applyBorder="1" applyAlignment="1">
      <alignment horizontal="left" vertical="top" wrapText="1"/>
    </xf>
    <xf numFmtId="0" fontId="50" fillId="0" borderId="26" xfId="55" applyFont="1" applyBorder="1" applyAlignment="1">
      <alignment vertical="top" wrapText="1"/>
    </xf>
    <xf numFmtId="0" fontId="50" fillId="0" borderId="16" xfId="225" applyFont="1" applyBorder="1" applyAlignment="1">
      <alignment vertical="top" wrapText="1"/>
    </xf>
    <xf numFmtId="0" fontId="50" fillId="0" borderId="16" xfId="55" applyFont="1" applyFill="1" applyBorder="1" applyAlignment="1">
      <alignment horizontal="left" vertical="top" wrapText="1"/>
    </xf>
    <xf numFmtId="0" fontId="50" fillId="0" borderId="28" xfId="55" applyFont="1" applyFill="1" applyBorder="1" applyAlignment="1">
      <alignment vertical="top" wrapText="1"/>
    </xf>
    <xf numFmtId="0" fontId="50" fillId="0" borderId="16" xfId="55" applyFont="1" applyFill="1" applyBorder="1" applyAlignment="1">
      <alignment horizontal="center" vertical="top" wrapText="1"/>
    </xf>
    <xf numFmtId="0" fontId="85" fillId="0" borderId="0" xfId="226" applyFont="1" applyAlignment="1">
      <alignment vertical="top"/>
    </xf>
    <xf numFmtId="0" fontId="50" fillId="33" borderId="1" xfId="55" applyFont="1" applyFill="1" applyBorder="1" applyAlignment="1">
      <alignment horizontal="center" vertical="top" wrapText="1"/>
    </xf>
    <xf numFmtId="0" fontId="50" fillId="0" borderId="29" xfId="55" applyFont="1" applyFill="1" applyBorder="1" applyAlignment="1">
      <alignment horizontal="left" vertical="top" wrapText="1"/>
    </xf>
    <xf numFmtId="0" fontId="50" fillId="33" borderId="29" xfId="55" applyFont="1" applyFill="1" applyBorder="1" applyAlignment="1">
      <alignment horizontal="left" vertical="top" wrapText="1"/>
    </xf>
    <xf numFmtId="0" fontId="50" fillId="33" borderId="16" xfId="55" applyFont="1" applyFill="1" applyBorder="1" applyAlignment="1">
      <alignment horizontal="left" vertical="top" wrapText="1"/>
    </xf>
    <xf numFmtId="0" fontId="50" fillId="0" borderId="30" xfId="0" applyFont="1" applyFill="1" applyBorder="1" applyAlignment="1">
      <alignment vertical="top"/>
    </xf>
    <xf numFmtId="0" fontId="50" fillId="33" borderId="26" xfId="55" applyFont="1" applyFill="1" applyBorder="1" applyAlignment="1">
      <alignment horizontal="center" vertical="top" wrapText="1"/>
    </xf>
    <xf numFmtId="0" fontId="50" fillId="33" borderId="16" xfId="55" applyFont="1" applyFill="1" applyBorder="1" applyAlignment="1">
      <alignment vertical="top" wrapText="1"/>
    </xf>
    <xf numFmtId="0" fontId="50" fillId="33" borderId="27" xfId="55" applyFont="1" applyFill="1" applyBorder="1" applyAlignment="1">
      <alignment horizontal="center" vertical="top" wrapText="1"/>
    </xf>
    <xf numFmtId="0" fontId="50" fillId="33" borderId="31" xfId="55" applyFont="1" applyFill="1" applyBorder="1" applyAlignment="1">
      <alignment horizontal="center" vertical="top" wrapText="1"/>
    </xf>
    <xf numFmtId="0" fontId="50" fillId="33" borderId="1" xfId="55" applyFont="1" applyFill="1" applyBorder="1" applyAlignment="1">
      <alignment vertical="top" wrapText="1"/>
    </xf>
    <xf numFmtId="0" fontId="50" fillId="33" borderId="1" xfId="55" applyFont="1" applyFill="1" applyBorder="1" applyAlignment="1">
      <alignment horizontal="left" vertical="top" wrapText="1"/>
    </xf>
    <xf numFmtId="0" fontId="50" fillId="0" borderId="1" xfId="55" applyFont="1" applyBorder="1" applyAlignment="1">
      <alignment vertical="top" wrapText="1"/>
    </xf>
    <xf numFmtId="0" fontId="50" fillId="0" borderId="1" xfId="55" applyFont="1" applyBorder="1" applyAlignment="1">
      <alignment horizontal="left" vertical="top" wrapText="1"/>
    </xf>
    <xf numFmtId="0" fontId="50" fillId="33" borderId="32" xfId="55" applyFont="1" applyFill="1" applyBorder="1" applyAlignment="1">
      <alignment horizontal="center" vertical="top" wrapText="1"/>
    </xf>
    <xf numFmtId="0" fontId="50" fillId="0" borderId="3" xfId="55" applyFont="1" applyBorder="1" applyAlignment="1">
      <alignment vertical="top" wrapText="1"/>
    </xf>
    <xf numFmtId="0" fontId="50" fillId="0" borderId="3" xfId="55" applyFont="1" applyBorder="1" applyAlignment="1">
      <alignment horizontal="left" vertical="top" wrapText="1"/>
    </xf>
    <xf numFmtId="0" fontId="83" fillId="33" borderId="16" xfId="48" applyFont="1" applyFill="1" applyBorder="1" applyAlignment="1" applyProtection="1">
      <alignment vertical="top"/>
    </xf>
    <xf numFmtId="164" fontId="50" fillId="0" borderId="16" xfId="55" applyNumberFormat="1" applyFont="1" applyBorder="1" applyAlignment="1">
      <alignment horizontal="left" vertical="top" wrapText="1"/>
    </xf>
    <xf numFmtId="164" fontId="50" fillId="0" borderId="16" xfId="55" applyNumberFormat="1" applyFont="1" applyFill="1" applyBorder="1" applyAlignment="1">
      <alignment horizontal="left" vertical="top" wrapText="1"/>
    </xf>
    <xf numFmtId="0" fontId="5" fillId="33" borderId="16" xfId="48" applyFill="1" applyBorder="1" applyAlignment="1" applyProtection="1">
      <alignment vertical="top"/>
    </xf>
    <xf numFmtId="0" fontId="50" fillId="33" borderId="16" xfId="48" applyFont="1" applyFill="1" applyBorder="1" applyAlignment="1" applyProtection="1">
      <alignment vertical="top"/>
    </xf>
    <xf numFmtId="0" fontId="50" fillId="0" borderId="16" xfId="78" applyFont="1" applyFill="1" applyBorder="1" applyAlignment="1">
      <alignment horizontal="left" vertical="top" wrapText="1"/>
    </xf>
    <xf numFmtId="164" fontId="50" fillId="0" borderId="16" xfId="78" applyNumberFormat="1" applyFont="1" applyFill="1" applyBorder="1" applyAlignment="1">
      <alignment horizontal="left" vertical="top" wrapText="1"/>
    </xf>
    <xf numFmtId="164" fontId="50" fillId="0" borderId="16" xfId="223" applyNumberFormat="1" applyFont="1" applyFill="1" applyBorder="1" applyAlignment="1">
      <alignment horizontal="left" vertical="top" wrapText="1"/>
    </xf>
    <xf numFmtId="0" fontId="5" fillId="33" borderId="16" xfId="48" applyFill="1" applyBorder="1" applyAlignment="1" applyProtection="1">
      <alignment vertical="top" wrapText="1"/>
    </xf>
    <xf numFmtId="0" fontId="5" fillId="0" borderId="1" xfId="48" applyBorder="1" applyAlignment="1" applyProtection="1">
      <alignment vertical="top"/>
    </xf>
    <xf numFmtId="0" fontId="5" fillId="0" borderId="3" xfId="48" applyBorder="1" applyAlignment="1" applyProtection="1">
      <alignment vertical="top"/>
    </xf>
    <xf numFmtId="0" fontId="86" fillId="44" borderId="33" xfId="0" applyFont="1" applyFill="1" applyBorder="1"/>
    <xf numFmtId="0" fontId="86" fillId="0" borderId="33" xfId="0" applyFont="1" applyBorder="1"/>
    <xf numFmtId="0" fontId="5" fillId="44" borderId="33" xfId="48" applyFont="1" applyFill="1" applyBorder="1" applyAlignment="1" applyProtection="1"/>
    <xf numFmtId="0" fontId="27" fillId="43" borderId="34" xfId="0" applyFont="1" applyFill="1" applyBorder="1" applyAlignment="1">
      <alignment horizontal="left" vertical="top"/>
    </xf>
    <xf numFmtId="0" fontId="27" fillId="43" borderId="0" xfId="0" applyFont="1" applyFill="1" applyBorder="1" applyAlignment="1">
      <alignment horizontal="left" vertical="top"/>
    </xf>
    <xf numFmtId="49" fontId="27" fillId="43" borderId="0" xfId="0" applyNumberFormat="1" applyFont="1" applyFill="1" applyBorder="1" applyAlignment="1">
      <alignment horizontal="left" vertical="top"/>
    </xf>
    <xf numFmtId="0" fontId="0" fillId="0" borderId="0" xfId="0" applyFont="1" applyAlignment="1">
      <alignment horizontal="left" vertical="top"/>
    </xf>
    <xf numFmtId="0" fontId="54"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50" fillId="0" borderId="0" xfId="106" applyFont="1" applyFill="1" applyBorder="1" applyAlignment="1">
      <alignment wrapText="1"/>
    </xf>
    <xf numFmtId="0" fontId="87" fillId="0" borderId="0" xfId="0" applyFont="1"/>
    <xf numFmtId="0" fontId="87" fillId="0" borderId="0" xfId="0" applyNumberFormat="1" applyFont="1"/>
    <xf numFmtId="0" fontId="43" fillId="0" borderId="33" xfId="0" applyFont="1" applyBorder="1"/>
    <xf numFmtId="0" fontId="43" fillId="44" borderId="33" xfId="0" applyFont="1" applyFill="1" applyBorder="1"/>
    <xf numFmtId="0" fontId="50" fillId="0" borderId="0" xfId="106" applyFont="1" applyFill="1" applyBorder="1" applyAlignment="1">
      <alignment horizontal="center"/>
    </xf>
    <xf numFmtId="0" fontId="41" fillId="38" borderId="35" xfId="106" quotePrefix="1" applyFont="1" applyFill="1" applyBorder="1" applyAlignment="1">
      <alignment horizontal="center"/>
    </xf>
    <xf numFmtId="0" fontId="50" fillId="38" borderId="35" xfId="106" applyFont="1" applyFill="1" applyBorder="1"/>
    <xf numFmtId="0" fontId="0" fillId="38" borderId="35" xfId="0" applyFill="1" applyBorder="1"/>
    <xf numFmtId="0" fontId="0" fillId="0" borderId="0" xfId="106" quotePrefix="1" applyFont="1" applyFill="1" applyBorder="1" applyAlignment="1">
      <alignment horizontal="center"/>
    </xf>
    <xf numFmtId="0" fontId="41" fillId="0" borderId="0" xfId="106" quotePrefix="1" applyFont="1" applyFill="1" applyBorder="1" applyAlignment="1">
      <alignment horizontal="center"/>
    </xf>
    <xf numFmtId="0" fontId="22" fillId="33" borderId="0" xfId="106" quotePrefix="1" applyFont="1" applyFill="1" applyBorder="1" applyAlignment="1">
      <alignment horizontal="center"/>
    </xf>
    <xf numFmtId="0" fontId="52" fillId="0" borderId="0" xfId="106" quotePrefix="1" applyFont="1" applyFill="1" applyBorder="1" applyAlignment="1">
      <alignment horizontal="center"/>
    </xf>
    <xf numFmtId="0" fontId="50" fillId="33" borderId="0" xfId="106" applyFont="1" applyFill="1" applyBorder="1" applyAlignment="1">
      <alignment horizontal="center"/>
    </xf>
    <xf numFmtId="0" fontId="50" fillId="38" borderId="35" xfId="106" applyFont="1" applyFill="1" applyBorder="1" applyAlignment="1">
      <alignment horizontal="center"/>
    </xf>
    <xf numFmtId="0" fontId="52" fillId="38" borderId="35" xfId="106" quotePrefix="1" applyFont="1" applyFill="1" applyBorder="1" applyAlignment="1">
      <alignment horizontal="center"/>
    </xf>
    <xf numFmtId="0" fontId="0" fillId="0" borderId="0" xfId="0" applyFont="1" applyFill="1" applyBorder="1"/>
    <xf numFmtId="0" fontId="50" fillId="0" borderId="0" xfId="106" applyFont="1" applyFill="1" applyBorder="1" applyAlignment="1">
      <alignment horizontal="left"/>
    </xf>
    <xf numFmtId="0" fontId="22" fillId="0" borderId="0" xfId="106" quotePrefix="1" applyFont="1" applyFill="1" applyBorder="1" applyAlignment="1">
      <alignment horizontal="left"/>
    </xf>
    <xf numFmtId="0" fontId="22" fillId="0" borderId="0" xfId="106" applyFont="1" applyFill="1" applyBorder="1" applyAlignment="1">
      <alignment horizontal="center"/>
    </xf>
    <xf numFmtId="0" fontId="0" fillId="0" borderId="0" xfId="106" applyFont="1" applyFill="1" applyBorder="1" applyAlignment="1">
      <alignment horizontal="center"/>
    </xf>
    <xf numFmtId="49" fontId="50" fillId="0" borderId="0" xfId="106" applyNumberFormat="1" applyFont="1" applyFill="1" applyBorder="1"/>
    <xf numFmtId="0" fontId="50" fillId="0" borderId="0" xfId="225" applyFont="1" applyFill="1" applyBorder="1" applyAlignment="1">
      <alignment vertical="center"/>
    </xf>
    <xf numFmtId="0" fontId="89" fillId="45" borderId="0" xfId="48" applyFont="1" applyFill="1" applyAlignment="1" applyProtection="1"/>
    <xf numFmtId="0" fontId="73" fillId="45" borderId="0" xfId="213" applyFont="1" applyFill="1"/>
    <xf numFmtId="49" fontId="50" fillId="0" borderId="16" xfId="55" applyNumberFormat="1" applyFont="1" applyBorder="1" applyAlignment="1">
      <alignment horizontal="left" vertical="top" wrapText="1"/>
    </xf>
    <xf numFmtId="49" fontId="50" fillId="0" borderId="16" xfId="55" applyNumberFormat="1" applyFont="1" applyFill="1" applyBorder="1" applyAlignment="1">
      <alignment horizontal="left" vertical="top" wrapText="1"/>
    </xf>
    <xf numFmtId="49" fontId="50" fillId="0" borderId="16" xfId="78" applyNumberFormat="1" applyFont="1" applyFill="1" applyBorder="1" applyAlignment="1">
      <alignment horizontal="left" vertical="top" wrapText="1"/>
    </xf>
    <xf numFmtId="49" fontId="50" fillId="0" borderId="16" xfId="223" applyNumberFormat="1" applyFont="1" applyFill="1" applyBorder="1" applyAlignment="1">
      <alignment horizontal="left" vertical="top" wrapText="1"/>
    </xf>
    <xf numFmtId="49" fontId="72" fillId="41" borderId="0" xfId="213" applyNumberFormat="1" applyFont="1" applyFill="1" applyAlignment="1">
      <alignment horizontal="left"/>
    </xf>
    <xf numFmtId="164" fontId="50" fillId="0" borderId="26" xfId="55" applyNumberFormat="1" applyFont="1" applyFill="1" applyBorder="1" applyAlignment="1">
      <alignment horizontal="left" vertical="top" wrapText="1"/>
    </xf>
    <xf numFmtId="49" fontId="45" fillId="0" borderId="0" xfId="55" applyNumberFormat="1" applyFont="1" applyAlignment="1">
      <alignment horizontal="left"/>
    </xf>
    <xf numFmtId="0" fontId="22" fillId="38" borderId="35" xfId="55" applyFont="1" applyFill="1" applyBorder="1" applyAlignment="1">
      <alignment horizontal="center" textRotation="90" wrapText="1"/>
    </xf>
    <xf numFmtId="0" fontId="13" fillId="0" borderId="0" xfId="0" applyFont="1" applyFill="1" applyAlignment="1">
      <alignment horizontal="center"/>
    </xf>
    <xf numFmtId="0" fontId="49" fillId="33" borderId="16" xfId="48" applyFont="1" applyFill="1" applyBorder="1" applyAlignment="1" applyProtection="1">
      <alignment vertical="top"/>
    </xf>
    <xf numFmtId="0" fontId="91" fillId="0" borderId="0" xfId="48" applyFont="1" applyAlignment="1" applyProtection="1"/>
    <xf numFmtId="0" fontId="91" fillId="0" borderId="0" xfId="48" applyFont="1" applyFill="1" applyAlignment="1" applyProtection="1"/>
    <xf numFmtId="0" fontId="46" fillId="0" borderId="6" xfId="55" applyFont="1" applyFill="1" applyBorder="1" applyAlignment="1">
      <alignment horizontal="left" vertical="top" wrapText="1"/>
    </xf>
    <xf numFmtId="0" fontId="46" fillId="0" borderId="6" xfId="55" applyFont="1" applyFill="1" applyBorder="1" applyAlignment="1">
      <alignment horizontal="left" vertical="top"/>
    </xf>
    <xf numFmtId="49" fontId="46" fillId="0" borderId="6" xfId="55" applyNumberFormat="1" applyFont="1" applyFill="1" applyBorder="1" applyAlignment="1">
      <alignment horizontal="left" vertical="top"/>
    </xf>
    <xf numFmtId="0" fontId="46" fillId="0" borderId="6" xfId="78" applyFont="1" applyFill="1" applyBorder="1" applyAlignment="1">
      <alignment horizontal="left" vertical="top"/>
    </xf>
    <xf numFmtId="0" fontId="45" fillId="0" borderId="0" xfId="55" applyFont="1" applyAlignment="1">
      <alignment horizontal="left" vertical="top"/>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46" fillId="33" borderId="1" xfId="55" applyFont="1" applyFill="1" applyBorder="1" applyAlignment="1">
      <alignment horizontal="center" vertical="top" wrapText="1"/>
    </xf>
    <xf numFmtId="0" fontId="90" fillId="0" borderId="6" xfId="48" applyFont="1" applyFill="1" applyBorder="1" applyAlignment="1" applyProtection="1">
      <alignment horizontal="left" vertical="top" wrapText="1"/>
    </xf>
    <xf numFmtId="0" fontId="0" fillId="0" borderId="0" xfId="0"/>
    <xf numFmtId="0" fontId="52" fillId="0" borderId="0" xfId="0" applyFont="1"/>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0" fontId="59" fillId="0" borderId="0" xfId="213" applyFont="1" applyFill="1" applyAlignment="1">
      <alignment vertical="top"/>
    </xf>
    <xf numFmtId="0" fontId="51" fillId="40" borderId="0" xfId="213"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74" applyFont="1"/>
    <xf numFmtId="0" fontId="51" fillId="33" borderId="0" xfId="213" applyFont="1" applyFill="1"/>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75" fillId="33" borderId="0" xfId="48" applyFont="1" applyFill="1" applyAlignment="1" applyProtection="1"/>
    <xf numFmtId="0" fontId="59" fillId="42" borderId="0" xfId="213" applyFont="1" applyFill="1" applyAlignment="1">
      <alignment vertical="top"/>
    </xf>
    <xf numFmtId="0" fontId="59" fillId="42" borderId="0" xfId="213" applyFont="1" applyFill="1"/>
    <xf numFmtId="49" fontId="50" fillId="42" borderId="0" xfId="0" applyNumberFormat="1" applyFont="1" applyFill="1"/>
    <xf numFmtId="0" fontId="82" fillId="35" borderId="0" xfId="48" applyFont="1" applyFill="1" applyAlignment="1" applyProtection="1">
      <alignment horizontal="center"/>
    </xf>
    <xf numFmtId="0" fontId="15" fillId="0" borderId="0" xfId="0" applyFont="1" applyAlignment="1">
      <alignment horizontal="center"/>
    </xf>
    <xf numFmtId="0" fontId="50" fillId="46" borderId="0" xfId="0" applyFont="1" applyFill="1" applyAlignment="1">
      <alignment horizontal="center" textRotation="90"/>
    </xf>
    <xf numFmtId="0" fontId="52" fillId="0" borderId="0" xfId="0" applyFont="1" applyAlignment="1">
      <alignment horizontal="center" textRotation="90"/>
    </xf>
    <xf numFmtId="0" fontId="50" fillId="46" borderId="40" xfId="0" applyFont="1" applyFill="1" applyBorder="1" applyAlignment="1">
      <alignment horizontal="center" textRotation="90"/>
    </xf>
    <xf numFmtId="0" fontId="52" fillId="0" borderId="40" xfId="0" applyFont="1" applyBorder="1" applyAlignment="1">
      <alignment horizontal="center" textRotation="90"/>
    </xf>
    <xf numFmtId="0" fontId="22" fillId="38" borderId="35" xfId="55" applyFont="1" applyFill="1" applyBorder="1" applyAlignment="1">
      <alignment horizontal="center" textRotation="90" wrapText="1"/>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9" fillId="37" borderId="35" xfId="48" applyFont="1" applyFill="1" applyBorder="1" applyAlignment="1" applyProtection="1">
      <alignment horizontal="center" textRotation="90"/>
    </xf>
    <xf numFmtId="0" fontId="70" fillId="37" borderId="3" xfId="48" applyFont="1" applyFill="1" applyBorder="1" applyAlignment="1" applyProtection="1">
      <alignment horizontal="center" textRotation="90"/>
    </xf>
    <xf numFmtId="0" fontId="70" fillId="37" borderId="5" xfId="48" applyFont="1" applyFill="1" applyBorder="1" applyAlignment="1" applyProtection="1">
      <alignment horizontal="center" textRotation="90"/>
    </xf>
    <xf numFmtId="0" fontId="48" fillId="36" borderId="23" xfId="0" applyFont="1" applyFill="1" applyBorder="1" applyAlignment="1">
      <alignment horizontal="center" vertical="center" wrapText="1"/>
    </xf>
    <xf numFmtId="0" fontId="48" fillId="36" borderId="24" xfId="0" applyFont="1" applyFill="1" applyBorder="1" applyAlignment="1">
      <alignment horizontal="center" vertical="center" wrapText="1"/>
    </xf>
    <xf numFmtId="0" fontId="13" fillId="0" borderId="4" xfId="0" applyFont="1" applyBorder="1" applyAlignment="1">
      <alignment horizontal="center"/>
    </xf>
    <xf numFmtId="0" fontId="13" fillId="0" borderId="0" xfId="0" applyFont="1" applyFill="1" applyAlignment="1">
      <alignment horizontal="center"/>
    </xf>
    <xf numFmtId="0" fontId="5" fillId="37" borderId="35" xfId="48" applyFill="1" applyBorder="1" applyAlignment="1" applyProtection="1">
      <alignment horizontal="center" textRotation="90"/>
    </xf>
    <xf numFmtId="0" fontId="5" fillId="37" borderId="41" xfId="48" applyFill="1" applyBorder="1" applyAlignment="1" applyProtection="1">
      <alignment horizontal="center" textRotation="90"/>
    </xf>
    <xf numFmtId="0" fontId="5" fillId="37" borderId="38" xfId="48" applyFill="1" applyBorder="1" applyAlignment="1" applyProtection="1">
      <alignment horizontal="center" textRotation="90"/>
    </xf>
    <xf numFmtId="0" fontId="88" fillId="37" borderId="35" xfId="55" applyFont="1" applyFill="1" applyBorder="1" applyAlignment="1">
      <alignment horizontal="center" textRotation="90"/>
    </xf>
    <xf numFmtId="0" fontId="5" fillId="0" borderId="37" xfId="48" applyFill="1" applyBorder="1" applyAlignment="1" applyProtection="1">
      <alignment horizontal="center" textRotation="90"/>
    </xf>
    <xf numFmtId="0" fontId="5" fillId="0" borderId="39" xfId="48" applyFill="1" applyBorder="1" applyAlignment="1" applyProtection="1">
      <alignment horizontal="center" textRotation="90"/>
    </xf>
    <xf numFmtId="0" fontId="5" fillId="0" borderId="35" xfId="48" applyFill="1" applyBorder="1" applyAlignment="1" applyProtection="1">
      <alignment horizontal="center" textRotation="90"/>
    </xf>
    <xf numFmtId="0" fontId="5" fillId="0" borderId="36" xfId="48" applyFill="1" applyBorder="1" applyAlignment="1" applyProtection="1">
      <alignment horizontal="center" textRotation="90"/>
    </xf>
    <xf numFmtId="0" fontId="5" fillId="0" borderId="38" xfId="48" applyFill="1" applyBorder="1" applyAlignment="1" applyProtection="1">
      <alignment horizontal="center" textRotation="90"/>
    </xf>
    <xf numFmtId="0" fontId="5" fillId="38" borderId="35" xfId="48" applyFill="1" applyBorder="1" applyAlignment="1" applyProtection="1">
      <alignment horizontal="center" textRotation="90"/>
    </xf>
    <xf numFmtId="0" fontId="50" fillId="38" borderId="35" xfId="106" applyFont="1" applyFill="1" applyBorder="1" applyAlignment="1">
      <alignment horizontal="center" textRotation="90"/>
    </xf>
    <xf numFmtId="0" fontId="0" fillId="38" borderId="35" xfId="55" applyFont="1" applyFill="1" applyBorder="1" applyAlignment="1">
      <alignment horizontal="center" textRotation="90" wrapText="1"/>
    </xf>
    <xf numFmtId="0" fontId="50" fillId="38" borderId="35" xfId="55" applyFont="1" applyFill="1" applyBorder="1" applyAlignment="1">
      <alignment horizontal="center" textRotation="90" wrapText="1"/>
    </xf>
    <xf numFmtId="0" fontId="4" fillId="46" borderId="40" xfId="0" applyFont="1" applyFill="1" applyBorder="1" applyAlignment="1">
      <alignment horizontal="center" textRotation="90"/>
    </xf>
    <xf numFmtId="0" fontId="15" fillId="0" borderId="40" xfId="0" applyFont="1" applyBorder="1" applyAlignment="1">
      <alignment horizontal="center" textRotation="90"/>
    </xf>
    <xf numFmtId="0" fontId="52" fillId="38" borderId="19" xfId="0" applyFont="1" applyFill="1" applyBorder="1" applyAlignment="1">
      <alignment horizontal="center" vertical="top" wrapText="1"/>
    </xf>
    <xf numFmtId="0" fontId="52" fillId="38" borderId="20" xfId="0" applyFont="1" applyFill="1" applyBorder="1" applyAlignment="1">
      <alignment horizontal="center" vertical="top" wrapText="1"/>
    </xf>
    <xf numFmtId="0" fontId="52" fillId="38" borderId="21" xfId="0" applyFont="1" applyFill="1" applyBorder="1" applyAlignment="1">
      <alignment horizontal="center" vertical="top" wrapText="1"/>
    </xf>
    <xf numFmtId="0" fontId="52" fillId="38" borderId="22" xfId="0" applyFont="1" applyFill="1" applyBorder="1" applyAlignment="1">
      <alignment horizontal="center" vertical="top" wrapText="1"/>
    </xf>
    <xf numFmtId="0" fontId="52"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3">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ables/table1.xml><?xml version="1.0" encoding="utf-8"?>
<table xmlns="http://schemas.openxmlformats.org/spreadsheetml/2006/main" id="5" name="Table5" displayName="Table5" ref="A2:C8" totalsRowShown="0" headerRowDxfId="42" dataDxfId="41">
  <autoFilter ref="A2:C8"/>
  <tableColumns count="3">
    <tableColumn id="1" name="Generate? 0=no, 1=yes" dataDxfId="40"/>
    <tableColumn id="2" name="Action" dataDxfId="39"/>
    <tableColumn id="3" name="Prerequisites" dataDxfId="38"/>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4" dataDxfId="32" headerRowBorderDxfId="33" tableBorderDxfId="31">
  <autoFilter ref="A1:F2"/>
  <tableColumns count="6">
    <tableColumn id="1" name="ID" dataDxfId="30"/>
    <tableColumn id="2" name="Agency" dataDxfId="29"/>
    <tableColumn id="3" name="Version" dataDxfId="28"/>
    <tableColumn id="4" name="Name" dataDxfId="27"/>
    <tableColumn id="5" name="Description" dataDxfId="26"/>
    <tableColumn id="6" name="IsFinal" dataDxfId="25"/>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23"/>
    <tableColumn id="3" name="Version" dataDxfId="22"/>
    <tableColumn id="4" name="Name" dataDxfId="21" dataCellStyle="Normal 4"/>
    <tableColumn id="5" name="Description" dataDxfId="20" dataCellStyle="Normal 4"/>
    <tableColumn id="6" name="IsFinal"/>
    <tableColumn id="8" name="Cat.Sch Agency" dataDxfId="19"/>
    <tableColumn id="9" name="Cat.Scheme ID" dataDxfId="18"/>
    <tableColumn id="10" name="Cat.Sch Version" dataDxfId="17"/>
    <tableColumn id="7" name="Category" dataDxfId="16"/>
    <tableColumn id="11" name="Formula to Convert Name to Code" dataDxfId="15">
      <calculatedColumnFormula>FirstCharacters(D2,TRUE)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14" dataDxfId="13">
  <autoFilter ref="A1:D16"/>
  <tableColumns count="4">
    <tableColumn id="1" name="Dataflow" dataDxfId="12"/>
    <tableColumn id="2" name="Concept" dataDxfId="11"/>
    <tableColumn id="3" name="Co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8" dataDxfId="7">
  <autoFilter ref="A1:F13"/>
  <tableColumns count="6">
    <tableColumn id="1" name="Dataflow" dataDxfId="6"/>
    <tableColumn id="2" name="FREQ" dataDxfId="5"/>
    <tableColumn id="3" name="REF_AREA" dataDxfId="4"/>
    <tableColumn id="6" name="COUNTERPART_AREA" dataDxfId="3"/>
    <tableColumn id="4" name="OBS_STATUS" dataDxfId="2"/>
    <tableColumn id="5" name="IsFinal" dataDxfId="1"/>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3.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8.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MAIN@1"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5.bin"/><Relationship Id="rId5" Type="http://schemas.openxmlformats.org/officeDocument/2006/relationships/hyperlink" Target="mailto:DEUX@1" TargetMode="External"/><Relationship Id="rId4" Type="http://schemas.openxmlformats.org/officeDocument/2006/relationships/printerSettings" Target="../printerSettings/printerSettings2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9.bin"/><Relationship Id="rId7" Type="http://schemas.openxmlformats.org/officeDocument/2006/relationships/vmlDrawing" Target="../drawings/vmlDrawing2.v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3.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zoomScaleNormal="100" workbookViewId="0">
      <selection activeCell="D9" sqref="D8:D9"/>
    </sheetView>
  </sheetViews>
  <sheetFormatPr defaultRowHeight="15" x14ac:dyDescent="0.25"/>
  <cols>
    <col min="1" max="1" width="36.1640625" style="39" bestFit="1" customWidth="1"/>
    <col min="2" max="2" width="29.1640625" style="83" bestFit="1" customWidth="1"/>
    <col min="3" max="3" width="58.33203125" style="83" customWidth="1"/>
    <col min="4" max="4" width="33.6640625" style="83" customWidth="1"/>
    <col min="5" max="5" width="27.6640625" style="109" bestFit="1" customWidth="1"/>
    <col min="6" max="6" width="10.33203125" style="71" customWidth="1"/>
    <col min="7" max="7" width="8.1640625" style="39" customWidth="1"/>
    <col min="8" max="10" width="9.33203125" style="39"/>
    <col min="11" max="11" width="48.6640625" style="39" bestFit="1" customWidth="1"/>
    <col min="12" max="12" width="4.5" style="39" bestFit="1" customWidth="1"/>
    <col min="13" max="16384" width="9.33203125" style="39"/>
  </cols>
  <sheetData>
    <row r="1" spans="1:6" s="105" customFormat="1" ht="36" x14ac:dyDescent="0.55000000000000004">
      <c r="A1" s="356" t="s">
        <v>288</v>
      </c>
      <c r="B1" s="356"/>
      <c r="C1" s="356"/>
      <c r="D1" s="106" t="s">
        <v>281</v>
      </c>
      <c r="F1" s="104"/>
    </row>
    <row r="2" spans="1:6" s="84" customFormat="1" ht="18.75" x14ac:dyDescent="0.2">
      <c r="A2" s="84" t="s">
        <v>289</v>
      </c>
      <c r="B2" s="85" t="s">
        <v>224</v>
      </c>
      <c r="C2" s="85" t="s">
        <v>277</v>
      </c>
      <c r="D2" s="107" t="s">
        <v>258</v>
      </c>
      <c r="E2" s="93" t="s">
        <v>1276</v>
      </c>
    </row>
    <row r="3" spans="1:6" s="77" customFormat="1" ht="30" x14ac:dyDescent="0.2">
      <c r="A3" s="87">
        <v>1</v>
      </c>
      <c r="B3" s="75" t="s">
        <v>462</v>
      </c>
      <c r="C3" s="75" t="s">
        <v>278</v>
      </c>
      <c r="D3" s="107" t="s">
        <v>264</v>
      </c>
      <c r="E3" s="86">
        <v>1</v>
      </c>
    </row>
    <row r="4" spans="1:6" s="77" customFormat="1" ht="15.75" x14ac:dyDescent="0.2">
      <c r="A4" s="87">
        <v>1</v>
      </c>
      <c r="B4" s="75" t="s">
        <v>460</v>
      </c>
      <c r="C4" s="75" t="s">
        <v>461</v>
      </c>
      <c r="D4" s="107" t="s">
        <v>1275</v>
      </c>
      <c r="E4" s="76" t="s">
        <v>377</v>
      </c>
    </row>
    <row r="5" spans="1:6" s="77" customFormat="1" ht="30" x14ac:dyDescent="0.2">
      <c r="A5" s="87">
        <v>1</v>
      </c>
      <c r="B5" s="75" t="s">
        <v>223</v>
      </c>
      <c r="C5" s="75" t="s">
        <v>290</v>
      </c>
      <c r="D5" s="207" t="s">
        <v>463</v>
      </c>
      <c r="E5" s="108" t="s">
        <v>464</v>
      </c>
      <c r="F5" s="76"/>
    </row>
    <row r="6" spans="1:6" s="77" customFormat="1" x14ac:dyDescent="0.2">
      <c r="A6" s="87">
        <v>1</v>
      </c>
      <c r="B6" s="75" t="s">
        <v>219</v>
      </c>
      <c r="C6" s="75" t="s">
        <v>280</v>
      </c>
      <c r="D6" s="156"/>
      <c r="E6" s="138"/>
      <c r="F6" s="76"/>
    </row>
    <row r="7" spans="1:6" s="77" customFormat="1" ht="31.5" x14ac:dyDescent="0.2">
      <c r="A7" s="87">
        <v>1</v>
      </c>
      <c r="B7" s="75" t="s">
        <v>220</v>
      </c>
      <c r="C7" s="75" t="s">
        <v>279</v>
      </c>
      <c r="D7" s="206" t="s">
        <v>500</v>
      </c>
      <c r="E7" s="108"/>
      <c r="F7" s="76"/>
    </row>
    <row r="8" spans="1:6" s="77" customFormat="1" x14ac:dyDescent="0.2">
      <c r="A8" s="87">
        <v>1</v>
      </c>
      <c r="B8" s="75" t="s">
        <v>267</v>
      </c>
      <c r="C8" s="75" t="s">
        <v>276</v>
      </c>
      <c r="D8" s="322" t="s">
        <v>501</v>
      </c>
      <c r="E8" s="108"/>
      <c r="F8" s="76"/>
    </row>
    <row r="9" spans="1:6" s="77" customFormat="1" x14ac:dyDescent="0.2">
      <c r="B9" s="75"/>
      <c r="C9" s="75"/>
      <c r="D9" s="323" t="s">
        <v>502</v>
      </c>
      <c r="E9" s="108"/>
      <c r="F9" s="76"/>
    </row>
    <row r="10" spans="1:6" x14ac:dyDescent="0.25">
      <c r="A10" s="77"/>
      <c r="B10" s="75"/>
      <c r="C10" s="75"/>
      <c r="D10" s="75"/>
    </row>
    <row r="11" spans="1:6" x14ac:dyDescent="0.25">
      <c r="C11" s="75"/>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C14" sqref="C14"/>
    </sheetView>
  </sheetViews>
  <sheetFormatPr defaultRowHeight="12.75" x14ac:dyDescent="0.2"/>
  <cols>
    <col min="1" max="1" width="14" style="142" bestFit="1" customWidth="1"/>
    <col min="2" max="2" width="28.1640625" style="142" customWidth="1"/>
    <col min="3" max="16384" width="9.33203125" style="142"/>
  </cols>
  <sheetData>
    <row r="1" spans="1:2" x14ac:dyDescent="0.2">
      <c r="A1" s="142" t="s">
        <v>440</v>
      </c>
      <c r="B1" s="142" t="s">
        <v>21</v>
      </c>
    </row>
    <row r="2" spans="1:2" x14ac:dyDescent="0.2">
      <c r="B2" s="142" t="s">
        <v>22</v>
      </c>
    </row>
    <row r="3" spans="1:2" x14ac:dyDescent="0.2">
      <c r="B3" s="142" t="s">
        <v>3</v>
      </c>
    </row>
    <row r="4" spans="1:2" x14ac:dyDescent="0.2">
      <c r="B4" s="142" t="s">
        <v>1</v>
      </c>
    </row>
    <row r="5" spans="1:2" x14ac:dyDescent="0.2">
      <c r="B5" s="142" t="s">
        <v>225</v>
      </c>
    </row>
    <row r="6" spans="1:2" x14ac:dyDescent="0.2">
      <c r="B6" s="142" t="s">
        <v>441</v>
      </c>
    </row>
    <row r="7" spans="1:2" x14ac:dyDescent="0.2">
      <c r="B7" s="142" t="s">
        <v>26</v>
      </c>
    </row>
    <row r="8" spans="1:2" x14ac:dyDescent="0.2">
      <c r="B8" s="142" t="s">
        <v>43</v>
      </c>
    </row>
    <row r="9" spans="1:2" x14ac:dyDescent="0.2">
      <c r="B9" s="142" t="s">
        <v>442</v>
      </c>
    </row>
    <row r="10" spans="1:2" x14ac:dyDescent="0.2">
      <c r="B10" s="142" t="s">
        <v>443</v>
      </c>
    </row>
    <row r="11" spans="1:2" x14ac:dyDescent="0.2">
      <c r="A11" s="142" t="s">
        <v>444</v>
      </c>
      <c r="B11" s="142" t="s">
        <v>50</v>
      </c>
    </row>
    <row r="12" spans="1:2" x14ac:dyDescent="0.2">
      <c r="B12" s="143" t="s">
        <v>45</v>
      </c>
    </row>
    <row r="13" spans="1:2" x14ac:dyDescent="0.2">
      <c r="B13" s="143" t="s">
        <v>113</v>
      </c>
    </row>
    <row r="14" spans="1:2" x14ac:dyDescent="0.2">
      <c r="B14" s="142" t="s">
        <v>51</v>
      </c>
    </row>
    <row r="15" spans="1:2" x14ac:dyDescent="0.2">
      <c r="A15" s="142" t="s">
        <v>445</v>
      </c>
      <c r="B15" s="142" t="b">
        <v>1</v>
      </c>
    </row>
    <row r="16" spans="1:2" x14ac:dyDescent="0.2">
      <c r="B16" s="142" t="b">
        <v>0</v>
      </c>
    </row>
    <row r="17" spans="1:2" x14ac:dyDescent="0.2">
      <c r="A17" s="142" t="s">
        <v>446</v>
      </c>
      <c r="B17" s="142" t="s">
        <v>2</v>
      </c>
    </row>
    <row r="18" spans="1:2" x14ac:dyDescent="0.2">
      <c r="B18" s="142" t="s">
        <v>236</v>
      </c>
    </row>
    <row r="19" spans="1:2" x14ac:dyDescent="0.2">
      <c r="B19" s="142" t="s">
        <v>447</v>
      </c>
    </row>
    <row r="20" spans="1:2" x14ac:dyDescent="0.2">
      <c r="A20" s="142" t="s">
        <v>457</v>
      </c>
      <c r="B20" s="145" t="s">
        <v>448</v>
      </c>
    </row>
    <row r="21" spans="1:2" x14ac:dyDescent="0.2">
      <c r="B21" s="145" t="s">
        <v>18</v>
      </c>
    </row>
    <row r="22" spans="1:2" x14ac:dyDescent="0.2">
      <c r="B22" s="145" t="s">
        <v>450</v>
      </c>
    </row>
    <row r="23" spans="1:2" x14ac:dyDescent="0.2">
      <c r="B23" s="145" t="s">
        <v>459</v>
      </c>
    </row>
    <row r="24" spans="1:2" x14ac:dyDescent="0.2">
      <c r="B24" s="146" t="s">
        <v>451</v>
      </c>
    </row>
    <row r="25" spans="1:2" x14ac:dyDescent="0.2">
      <c r="B25" s="146" t="s">
        <v>449</v>
      </c>
    </row>
    <row r="26" spans="1:2" x14ac:dyDescent="0.2">
      <c r="B26" s="146" t="s">
        <v>458</v>
      </c>
    </row>
    <row r="27" spans="1:2" x14ac:dyDescent="0.2">
      <c r="B27" s="14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K10" sqref="K10"/>
    </sheetView>
  </sheetViews>
  <sheetFormatPr defaultRowHeight="18.75" x14ac:dyDescent="0.3"/>
  <cols>
    <col min="1" max="1" width="9.33203125" style="56"/>
    <col min="2" max="2" width="9.33203125" style="39"/>
    <col min="3" max="3" width="9.33203125" style="40"/>
    <col min="4" max="4" width="24" style="40" customWidth="1"/>
    <col min="5" max="16384" width="9.33203125" style="40"/>
  </cols>
  <sheetData>
    <row r="1" spans="1:5" s="60" customFormat="1" ht="21" x14ac:dyDescent="0.35">
      <c r="A1" s="59" t="s">
        <v>128</v>
      </c>
      <c r="B1" s="39"/>
      <c r="D1" s="61"/>
      <c r="E1" s="62"/>
    </row>
    <row r="2" spans="1:5" s="60" customFormat="1" ht="21" x14ac:dyDescent="0.35">
      <c r="A2" s="59">
        <v>0</v>
      </c>
      <c r="B2" s="39" t="s">
        <v>503</v>
      </c>
      <c r="D2" s="61"/>
      <c r="E2" s="62"/>
    </row>
    <row r="3" spans="1:5" x14ac:dyDescent="0.3">
      <c r="A3" s="56">
        <v>1</v>
      </c>
      <c r="B3" s="64" t="s">
        <v>190</v>
      </c>
    </row>
    <row r="4" spans="1:5" s="41" customFormat="1" x14ac:dyDescent="0.3">
      <c r="A4" s="56"/>
      <c r="B4" s="39"/>
      <c r="C4" s="41" t="s">
        <v>191</v>
      </c>
    </row>
    <row r="5" spans="1:5" s="41" customFormat="1" x14ac:dyDescent="0.3">
      <c r="A5" s="56"/>
      <c r="B5" s="39"/>
      <c r="C5" s="41" t="s">
        <v>194</v>
      </c>
    </row>
    <row r="6" spans="1:5" s="41" customFormat="1" x14ac:dyDescent="0.3">
      <c r="A6" s="56"/>
      <c r="B6" s="39"/>
      <c r="D6" s="41" t="s">
        <v>192</v>
      </c>
    </row>
    <row r="7" spans="1:5" s="41" customFormat="1" x14ac:dyDescent="0.3">
      <c r="A7" s="56"/>
      <c r="B7" s="39"/>
      <c r="D7" s="41" t="s">
        <v>193</v>
      </c>
    </row>
    <row r="8" spans="1:5" s="41" customFormat="1" x14ac:dyDescent="0.3">
      <c r="A8" s="56"/>
      <c r="B8" s="39"/>
      <c r="D8" s="41" t="s">
        <v>195</v>
      </c>
    </row>
    <row r="9" spans="1:5" x14ac:dyDescent="0.3">
      <c r="A9" s="56">
        <v>2</v>
      </c>
      <c r="B9" s="64" t="s">
        <v>131</v>
      </c>
    </row>
    <row r="10" spans="1:5" s="41" customFormat="1" x14ac:dyDescent="0.3">
      <c r="A10" s="56"/>
      <c r="B10" s="39"/>
      <c r="C10" s="41" t="s">
        <v>196</v>
      </c>
    </row>
    <row r="11" spans="1:5" s="41" customFormat="1" x14ac:dyDescent="0.3">
      <c r="A11" s="56"/>
      <c r="B11" s="39"/>
      <c r="C11" s="41" t="s">
        <v>132</v>
      </c>
    </row>
    <row r="12" spans="1:5" s="41" customFormat="1" x14ac:dyDescent="0.3">
      <c r="A12" s="56"/>
      <c r="B12" s="39"/>
      <c r="C12" s="41" t="s">
        <v>130</v>
      </c>
    </row>
    <row r="13" spans="1:5" s="41" customFormat="1" x14ac:dyDescent="0.3">
      <c r="A13" s="56"/>
      <c r="B13" s="39"/>
      <c r="C13" s="41" t="s">
        <v>184</v>
      </c>
    </row>
    <row r="14" spans="1:5" x14ac:dyDescent="0.3">
      <c r="A14" s="56">
        <v>3</v>
      </c>
      <c r="B14" s="88" t="s">
        <v>435</v>
      </c>
    </row>
    <row r="15" spans="1:5" x14ac:dyDescent="0.3">
      <c r="C15" s="41" t="s">
        <v>134</v>
      </c>
    </row>
    <row r="16" spans="1:5" x14ac:dyDescent="0.3">
      <c r="C16" s="41" t="s">
        <v>534</v>
      </c>
    </row>
    <row r="17" spans="1:4" x14ac:dyDescent="0.3">
      <c r="A17" s="56">
        <v>4</v>
      </c>
      <c r="B17" s="88" t="s">
        <v>129</v>
      </c>
    </row>
    <row r="18" spans="1:4" x14ac:dyDescent="0.3">
      <c r="C18" s="41" t="s">
        <v>136</v>
      </c>
    </row>
    <row r="19" spans="1:4" x14ac:dyDescent="0.3">
      <c r="C19" s="41" t="s">
        <v>135</v>
      </c>
    </row>
    <row r="20" spans="1:4" x14ac:dyDescent="0.3">
      <c r="C20" s="41" t="s">
        <v>185</v>
      </c>
    </row>
    <row r="21" spans="1:4" x14ac:dyDescent="0.3">
      <c r="C21" s="41" t="s">
        <v>186</v>
      </c>
    </row>
    <row r="22" spans="1:4" x14ac:dyDescent="0.3">
      <c r="C22" s="41" t="s">
        <v>187</v>
      </c>
    </row>
    <row r="23" spans="1:4" x14ac:dyDescent="0.3">
      <c r="A23" s="56">
        <v>5</v>
      </c>
      <c r="B23" s="64" t="s">
        <v>259</v>
      </c>
      <c r="C23" s="41"/>
    </row>
    <row r="24" spans="1:4" x14ac:dyDescent="0.3">
      <c r="A24" s="56">
        <v>6</v>
      </c>
      <c r="B24" s="64" t="s">
        <v>266</v>
      </c>
      <c r="C24" s="41"/>
    </row>
    <row r="25" spans="1:4" x14ac:dyDescent="0.3">
      <c r="A25" s="56">
        <v>7</v>
      </c>
      <c r="B25" s="64" t="s">
        <v>265</v>
      </c>
    </row>
    <row r="26" spans="1:4" s="41" customFormat="1" x14ac:dyDescent="0.3">
      <c r="A26" s="56"/>
      <c r="B26" s="39"/>
      <c r="C26" s="41" t="s">
        <v>210</v>
      </c>
    </row>
    <row r="27" spans="1:4" s="41" customFormat="1" x14ac:dyDescent="0.3">
      <c r="A27" s="56"/>
      <c r="B27" s="39"/>
      <c r="C27" s="41" t="s">
        <v>211</v>
      </c>
    </row>
    <row r="28" spans="1:4" s="41" customFormat="1" x14ac:dyDescent="0.3">
      <c r="A28" s="56"/>
      <c r="B28" s="39"/>
      <c r="C28" s="41" t="s">
        <v>212</v>
      </c>
    </row>
    <row r="29" spans="1:4" x14ac:dyDescent="0.3">
      <c r="D29" s="41" t="s">
        <v>133</v>
      </c>
    </row>
    <row r="30" spans="1:4" x14ac:dyDescent="0.3">
      <c r="C30" s="41" t="s">
        <v>213</v>
      </c>
    </row>
    <row r="31" spans="1:4" x14ac:dyDescent="0.3">
      <c r="D31" s="41" t="s">
        <v>214</v>
      </c>
    </row>
    <row r="32" spans="1:4" x14ac:dyDescent="0.3">
      <c r="A32" s="56">
        <v>8</v>
      </c>
      <c r="B32" s="88" t="s">
        <v>436</v>
      </c>
      <c r="D32" s="41"/>
    </row>
    <row r="33" spans="1:4" x14ac:dyDescent="0.3">
      <c r="C33" s="41" t="s">
        <v>438</v>
      </c>
      <c r="D33" s="41"/>
    </row>
    <row r="34" spans="1:4" x14ac:dyDescent="0.3">
      <c r="D34" s="41" t="s">
        <v>437</v>
      </c>
    </row>
    <row r="35" spans="1:4" x14ac:dyDescent="0.3">
      <c r="D35" s="41" t="s">
        <v>439</v>
      </c>
    </row>
    <row r="36" spans="1:4" s="39" customFormat="1" x14ac:dyDescent="0.3">
      <c r="A36" s="56">
        <v>9</v>
      </c>
      <c r="B36" s="64" t="s">
        <v>260</v>
      </c>
    </row>
    <row r="37" spans="1:4" x14ac:dyDescent="0.3">
      <c r="C37" s="41" t="s">
        <v>533</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0070C0"/>
  </sheetPr>
  <dimension ref="A1:F186"/>
  <sheetViews>
    <sheetView zoomScale="85" zoomScaleNormal="85" workbookViewId="0">
      <pane ySplit="3" topLeftCell="A78" activePane="bottomLeft" state="frozen"/>
      <selection activeCell="C49" sqref="C49"/>
      <selection pane="bottomLeft"/>
    </sheetView>
  </sheetViews>
  <sheetFormatPr defaultColWidth="10.6640625" defaultRowHeight="15" x14ac:dyDescent="0.25"/>
  <cols>
    <col min="1" max="1" width="17.5" style="32" bestFit="1" customWidth="1"/>
    <col min="2" max="2" width="65.1640625" style="33" customWidth="1"/>
    <col min="3" max="3" width="32.1640625" style="35" customWidth="1"/>
    <col min="4" max="4" width="31" style="34" customWidth="1"/>
    <col min="5" max="5" width="14.5" style="165" bestFit="1" customWidth="1"/>
    <col min="6" max="16384" width="10.6640625" style="32"/>
  </cols>
  <sheetData>
    <row r="1" spans="1:6" s="29" customFormat="1" ht="117.75" customHeight="1" x14ac:dyDescent="0.25">
      <c r="A1" s="205" t="s">
        <v>468</v>
      </c>
      <c r="B1" s="36" t="s">
        <v>189</v>
      </c>
      <c r="C1" s="236" t="s">
        <v>20</v>
      </c>
      <c r="D1" s="236" t="s">
        <v>201</v>
      </c>
      <c r="E1" s="237" t="s">
        <v>542</v>
      </c>
      <c r="F1" s="28"/>
    </row>
    <row r="2" spans="1:6" ht="26.25" x14ac:dyDescent="0.4">
      <c r="B2" s="37" t="s">
        <v>188</v>
      </c>
      <c r="C2" s="30"/>
      <c r="D2" s="31"/>
      <c r="E2" s="163"/>
    </row>
    <row r="3" spans="1:6" ht="26.25" x14ac:dyDescent="0.4">
      <c r="A3" s="29" t="s">
        <v>268</v>
      </c>
      <c r="B3" s="79"/>
      <c r="C3" s="80"/>
      <c r="D3" s="80"/>
      <c r="E3" s="164"/>
    </row>
    <row r="4" spans="1:6" s="217" customFormat="1" x14ac:dyDescent="0.25">
      <c r="A4" s="214"/>
      <c r="B4" s="215"/>
      <c r="C4" s="216"/>
      <c r="D4" s="216"/>
    </row>
    <row r="5" spans="1:6" s="217" customFormat="1" x14ac:dyDescent="0.25">
      <c r="A5" s="214"/>
      <c r="B5" s="215"/>
      <c r="C5" s="216"/>
      <c r="D5" s="216"/>
    </row>
    <row r="6" spans="1:6" s="217" customFormat="1" x14ac:dyDescent="0.25">
      <c r="A6" s="214"/>
      <c r="B6" s="215"/>
      <c r="C6" s="216"/>
      <c r="D6" s="216"/>
    </row>
    <row r="7" spans="1:6" s="217" customFormat="1" x14ac:dyDescent="0.25">
      <c r="A7" s="214"/>
      <c r="B7" s="215"/>
      <c r="C7" s="216"/>
      <c r="D7" s="216"/>
    </row>
    <row r="8" spans="1:6" s="217" customFormat="1" x14ac:dyDescent="0.25">
      <c r="A8" s="214"/>
      <c r="B8" s="215"/>
      <c r="C8" s="216"/>
      <c r="D8" s="216"/>
    </row>
    <row r="9" spans="1:6" s="217" customFormat="1" x14ac:dyDescent="0.25">
      <c r="A9" s="214"/>
      <c r="B9" s="215"/>
      <c r="C9" s="216"/>
      <c r="D9" s="216"/>
    </row>
    <row r="10" spans="1:6" s="217" customFormat="1" x14ac:dyDescent="0.25">
      <c r="A10" s="214"/>
      <c r="B10" s="215"/>
      <c r="C10" s="216"/>
      <c r="D10" s="216"/>
    </row>
    <row r="11" spans="1:6" s="217" customFormat="1" x14ac:dyDescent="0.25">
      <c r="A11" s="214"/>
      <c r="B11" s="215"/>
      <c r="C11" s="216"/>
      <c r="D11" s="216"/>
    </row>
    <row r="12" spans="1:6" s="217" customFormat="1" x14ac:dyDescent="0.25">
      <c r="A12" s="214"/>
      <c r="B12" s="215"/>
      <c r="C12" s="216"/>
      <c r="D12" s="216"/>
    </row>
    <row r="13" spans="1:6" s="217" customFormat="1" x14ac:dyDescent="0.25">
      <c r="A13" s="214"/>
      <c r="B13" s="215"/>
      <c r="C13" s="216"/>
      <c r="D13" s="216"/>
    </row>
    <row r="14" spans="1:6" s="217" customFormat="1" x14ac:dyDescent="0.25">
      <c r="A14" s="214"/>
      <c r="B14" s="215"/>
      <c r="C14" s="216"/>
      <c r="D14" s="216"/>
    </row>
    <row r="15" spans="1:6" s="217" customFormat="1" x14ac:dyDescent="0.25">
      <c r="A15" s="214"/>
      <c r="B15" s="215"/>
      <c r="C15" s="216"/>
      <c r="D15" s="216"/>
    </row>
    <row r="16" spans="1:6" s="217" customFormat="1" x14ac:dyDescent="0.25">
      <c r="A16" s="214"/>
      <c r="B16" s="215"/>
      <c r="C16" s="216"/>
      <c r="D16" s="216"/>
    </row>
    <row r="17" spans="1:5" s="217" customFormat="1" x14ac:dyDescent="0.25">
      <c r="A17" s="214"/>
      <c r="B17" s="215"/>
      <c r="C17" s="216"/>
      <c r="D17" s="216"/>
    </row>
    <row r="18" spans="1:5" s="217" customFormat="1" x14ac:dyDescent="0.25">
      <c r="A18" s="214"/>
      <c r="B18" s="215"/>
      <c r="C18" s="216"/>
      <c r="D18" s="216"/>
    </row>
    <row r="19" spans="1:5" s="217" customFormat="1" x14ac:dyDescent="0.25">
      <c r="A19" s="214"/>
      <c r="B19" s="215"/>
      <c r="C19" s="216"/>
      <c r="D19" s="216"/>
    </row>
    <row r="20" spans="1:5" s="217" customFormat="1" x14ac:dyDescent="0.25">
      <c r="A20" s="214"/>
      <c r="B20" s="215"/>
      <c r="C20" s="216"/>
      <c r="D20" s="216"/>
    </row>
    <row r="21" spans="1:5" s="217" customFormat="1" x14ac:dyDescent="0.25">
      <c r="A21" s="214"/>
      <c r="B21" s="215"/>
      <c r="C21" s="216"/>
      <c r="D21" s="216"/>
    </row>
    <row r="22" spans="1:5" s="217" customFormat="1" x14ac:dyDescent="0.25">
      <c r="A22" s="214"/>
      <c r="B22" s="215"/>
      <c r="C22" s="216"/>
      <c r="D22" s="216"/>
    </row>
    <row r="23" spans="1:5" s="217" customFormat="1" x14ac:dyDescent="0.25">
      <c r="A23" s="214"/>
      <c r="B23" s="215"/>
      <c r="C23" s="216"/>
      <c r="D23" s="216"/>
    </row>
    <row r="24" spans="1:5" s="217" customFormat="1" x14ac:dyDescent="0.25">
      <c r="A24" s="214"/>
      <c r="B24" s="215"/>
      <c r="C24" s="216"/>
      <c r="D24" s="216"/>
      <c r="E24" s="214"/>
    </row>
    <row r="25" spans="1:5" s="217" customFormat="1" x14ac:dyDescent="0.25">
      <c r="A25" s="214"/>
      <c r="B25" s="215"/>
      <c r="C25" s="216"/>
      <c r="D25" s="216"/>
      <c r="E25" s="214"/>
    </row>
    <row r="26" spans="1:5" s="217" customFormat="1" x14ac:dyDescent="0.25">
      <c r="A26" s="214"/>
      <c r="B26" s="215"/>
      <c r="C26" s="216"/>
      <c r="D26" s="216"/>
      <c r="E26" s="214"/>
    </row>
    <row r="27" spans="1:5" s="217" customFormat="1" x14ac:dyDescent="0.25">
      <c r="A27" s="214"/>
      <c r="B27" s="215"/>
      <c r="C27" s="216"/>
      <c r="D27" s="216"/>
      <c r="E27" s="214"/>
    </row>
    <row r="28" spans="1:5" s="217" customFormat="1" x14ac:dyDescent="0.25">
      <c r="A28" s="214"/>
      <c r="B28" s="215"/>
      <c r="C28" s="216"/>
      <c r="D28" s="216"/>
      <c r="E28" s="214"/>
    </row>
    <row r="29" spans="1:5" s="217" customFormat="1" x14ac:dyDescent="0.25">
      <c r="A29" s="214"/>
      <c r="B29" s="215"/>
      <c r="C29" s="216"/>
      <c r="D29" s="216"/>
      <c r="E29" s="214"/>
    </row>
    <row r="30" spans="1:5" s="217" customFormat="1" x14ac:dyDescent="0.25">
      <c r="A30" s="214"/>
      <c r="B30" s="215"/>
      <c r="C30" s="216"/>
      <c r="D30" s="216"/>
      <c r="E30" s="214"/>
    </row>
    <row r="31" spans="1:5" s="217" customFormat="1" x14ac:dyDescent="0.25">
      <c r="A31" s="214"/>
      <c r="B31" s="215"/>
      <c r="C31" s="216"/>
      <c r="D31" s="216"/>
      <c r="E31" s="214"/>
    </row>
    <row r="32" spans="1:5" s="217" customFormat="1" x14ac:dyDescent="0.25">
      <c r="A32" s="214"/>
      <c r="B32" s="215"/>
      <c r="C32" s="216"/>
      <c r="D32" s="216"/>
      <c r="E32" s="214"/>
    </row>
    <row r="33" spans="1:5" s="217" customFormat="1" x14ac:dyDescent="0.25">
      <c r="A33" s="214"/>
      <c r="B33" s="215"/>
      <c r="C33" s="216"/>
      <c r="D33" s="216"/>
      <c r="E33" s="214"/>
    </row>
    <row r="34" spans="1:5" s="217" customFormat="1" x14ac:dyDescent="0.25">
      <c r="A34" s="214"/>
      <c r="B34" s="215"/>
      <c r="C34" s="216"/>
      <c r="D34" s="216"/>
      <c r="E34" s="214"/>
    </row>
    <row r="35" spans="1:5" s="217" customFormat="1" x14ac:dyDescent="0.25">
      <c r="A35" s="214"/>
      <c r="B35" s="215"/>
      <c r="C35" s="216"/>
      <c r="D35" s="216"/>
      <c r="E35" s="214"/>
    </row>
    <row r="36" spans="1:5" s="217" customFormat="1" x14ac:dyDescent="0.25">
      <c r="A36" s="214"/>
      <c r="B36" s="215"/>
      <c r="C36" s="216"/>
      <c r="D36" s="216"/>
      <c r="E36" s="214"/>
    </row>
    <row r="37" spans="1:5" s="217" customFormat="1" x14ac:dyDescent="0.25">
      <c r="A37" s="214"/>
      <c r="B37" s="215"/>
      <c r="C37" s="216"/>
      <c r="D37" s="216"/>
      <c r="E37" s="214"/>
    </row>
    <row r="38" spans="1:5" s="217" customFormat="1" x14ac:dyDescent="0.25">
      <c r="A38" s="214"/>
      <c r="B38" s="215"/>
      <c r="C38" s="216"/>
      <c r="D38" s="216"/>
      <c r="E38"/>
    </row>
    <row r="39" spans="1:5" s="217" customFormat="1" x14ac:dyDescent="0.25">
      <c r="A39" s="214"/>
      <c r="B39" s="215"/>
      <c r="C39" s="216"/>
      <c r="D39" s="216"/>
      <c r="E39"/>
    </row>
    <row r="40" spans="1:5" s="217" customFormat="1" x14ac:dyDescent="0.25">
      <c r="A40" s="214"/>
      <c r="B40" s="215"/>
      <c r="C40" s="216"/>
      <c r="D40" s="216"/>
      <c r="E40"/>
    </row>
    <row r="41" spans="1:5" s="217" customFormat="1" x14ac:dyDescent="0.25">
      <c r="A41" s="214"/>
      <c r="B41" s="215"/>
      <c r="C41" s="216"/>
      <c r="D41" s="216"/>
      <c r="E41"/>
    </row>
    <row r="42" spans="1:5" s="217" customFormat="1" x14ac:dyDescent="0.25">
      <c r="A42" s="214"/>
      <c r="B42" s="215"/>
      <c r="C42" s="216"/>
      <c r="D42" s="216"/>
      <c r="E42" s="214"/>
    </row>
    <row r="43" spans="1:5" s="217" customFormat="1" x14ac:dyDescent="0.25">
      <c r="A43" s="214"/>
      <c r="B43" s="215"/>
      <c r="C43" s="216"/>
      <c r="D43" s="216"/>
      <c r="E43" s="214"/>
    </row>
    <row r="44" spans="1:5" s="217" customFormat="1" x14ac:dyDescent="0.25">
      <c r="A44" s="214"/>
      <c r="B44" s="215"/>
      <c r="C44" s="216"/>
      <c r="D44" s="216"/>
      <c r="E44" s="214"/>
    </row>
    <row r="45" spans="1:5" s="217" customFormat="1" x14ac:dyDescent="0.25">
      <c r="A45" s="214"/>
      <c r="B45" s="215"/>
      <c r="C45" s="216"/>
      <c r="D45" s="216"/>
      <c r="E45" s="214"/>
    </row>
    <row r="46" spans="1:5" s="217" customFormat="1" x14ac:dyDescent="0.25">
      <c r="A46" s="214"/>
      <c r="B46" s="215"/>
      <c r="C46" s="216"/>
      <c r="D46" s="216"/>
      <c r="E46" s="214"/>
    </row>
    <row r="47" spans="1:5" s="217" customFormat="1" x14ac:dyDescent="0.25">
      <c r="A47" s="214"/>
      <c r="B47" s="215"/>
      <c r="C47" s="216"/>
      <c r="D47" s="216"/>
      <c r="E47" s="214"/>
    </row>
    <row r="48" spans="1:5" s="217" customFormat="1" x14ac:dyDescent="0.25">
      <c r="A48" s="214"/>
      <c r="B48" s="215"/>
      <c r="C48" s="216"/>
      <c r="D48" s="216"/>
      <c r="E48" s="214"/>
    </row>
    <row r="49" spans="1:5" s="217" customFormat="1" x14ac:dyDescent="0.25">
      <c r="A49" s="214"/>
      <c r="B49" s="215"/>
      <c r="C49" s="216"/>
      <c r="D49" s="216"/>
      <c r="E49" s="214"/>
    </row>
    <row r="50" spans="1:5" s="217" customFormat="1" x14ac:dyDescent="0.25">
      <c r="A50" s="214"/>
      <c r="B50" s="220"/>
      <c r="C50" s="221"/>
      <c r="D50" s="221"/>
    </row>
    <row r="51" spans="1:5" s="217" customFormat="1" x14ac:dyDescent="0.25">
      <c r="A51" s="214"/>
      <c r="B51" s="224"/>
      <c r="C51" s="221"/>
      <c r="D51" s="221"/>
    </row>
    <row r="52" spans="1:5" s="217" customFormat="1" x14ac:dyDescent="0.25">
      <c r="A52" s="214"/>
      <c r="B52" s="224"/>
      <c r="C52" s="221"/>
      <c r="D52" s="221"/>
    </row>
    <row r="53" spans="1:5" s="217" customFormat="1" x14ac:dyDescent="0.25">
      <c r="A53" s="214"/>
      <c r="B53" s="224"/>
      <c r="C53" s="221"/>
      <c r="D53" s="221"/>
      <c r="E53" s="222"/>
    </row>
    <row r="54" spans="1:5" s="217" customFormat="1" x14ac:dyDescent="0.25">
      <c r="A54" s="214"/>
      <c r="B54" s="224"/>
      <c r="C54" s="221"/>
      <c r="D54" s="221"/>
    </row>
    <row r="55" spans="1:5" s="217" customFormat="1" x14ac:dyDescent="0.25">
      <c r="A55" s="214"/>
      <c r="B55" s="224"/>
      <c r="C55" s="221"/>
      <c r="D55" s="221"/>
      <c r="E55" s="222"/>
    </row>
    <row r="56" spans="1:5" s="217" customFormat="1" x14ac:dyDescent="0.25">
      <c r="A56" s="214"/>
      <c r="B56" s="224"/>
      <c r="C56" s="221"/>
      <c r="D56" s="221"/>
    </row>
    <row r="57" spans="1:5" s="217" customFormat="1" x14ac:dyDescent="0.25">
      <c r="A57" s="214"/>
      <c r="B57" s="224"/>
      <c r="C57" s="221"/>
      <c r="D57" s="221"/>
      <c r="E57" s="222"/>
    </row>
    <row r="58" spans="1:5" s="217" customFormat="1" x14ac:dyDescent="0.25">
      <c r="A58" s="214"/>
      <c r="B58" s="224"/>
      <c r="C58" s="221"/>
      <c r="D58" s="221"/>
    </row>
    <row r="59" spans="1:5" s="217" customFormat="1" x14ac:dyDescent="0.25">
      <c r="A59" s="214"/>
      <c r="B59" s="224"/>
      <c r="C59" s="221"/>
      <c r="D59" s="221"/>
    </row>
    <row r="60" spans="1:5" s="217" customFormat="1" x14ac:dyDescent="0.25">
      <c r="A60" s="214"/>
      <c r="B60" s="224"/>
      <c r="C60" s="221"/>
      <c r="D60" s="221"/>
      <c r="E60" s="222"/>
    </row>
    <row r="61" spans="1:5" s="217" customFormat="1" x14ac:dyDescent="0.25">
      <c r="A61" s="214"/>
      <c r="B61" s="224"/>
      <c r="C61" s="221"/>
      <c r="D61" s="221"/>
      <c r="E61" s="222"/>
    </row>
    <row r="62" spans="1:5" s="217" customFormat="1" x14ac:dyDescent="0.25">
      <c r="A62" s="214"/>
      <c r="B62" s="224"/>
      <c r="C62" s="221"/>
      <c r="D62" s="221"/>
      <c r="E62" s="222"/>
    </row>
    <row r="63" spans="1:5" s="217" customFormat="1" x14ac:dyDescent="0.25">
      <c r="A63" s="214"/>
      <c r="B63" s="224"/>
      <c r="C63" s="221"/>
      <c r="D63" s="221"/>
      <c r="E63" s="222"/>
    </row>
    <row r="64" spans="1:5" s="217" customFormat="1" x14ac:dyDescent="0.25">
      <c r="A64" s="214"/>
      <c r="B64" s="224"/>
      <c r="C64" s="221"/>
      <c r="D64" s="221"/>
      <c r="E64" s="222"/>
    </row>
    <row r="65" spans="1:5" s="217" customFormat="1" x14ac:dyDescent="0.25">
      <c r="A65" s="214"/>
      <c r="B65" s="224"/>
      <c r="C65" s="221"/>
      <c r="D65" s="221"/>
    </row>
    <row r="66" spans="1:5" s="217" customFormat="1" x14ac:dyDescent="0.25">
      <c r="A66" s="214"/>
      <c r="B66" s="224"/>
      <c r="C66" s="221"/>
      <c r="D66" s="221"/>
    </row>
    <row r="67" spans="1:5" s="217" customFormat="1" x14ac:dyDescent="0.25">
      <c r="A67" s="214"/>
      <c r="B67" s="224"/>
      <c r="C67" s="221"/>
      <c r="D67" s="221"/>
      <c r="E67" s="222"/>
    </row>
    <row r="68" spans="1:5" s="217" customFormat="1" x14ac:dyDescent="0.25">
      <c r="A68" s="214"/>
      <c r="B68" s="224"/>
      <c r="C68" s="221"/>
      <c r="D68" s="221"/>
    </row>
    <row r="69" spans="1:5" s="217" customFormat="1" x14ac:dyDescent="0.25">
      <c r="A69" s="214"/>
      <c r="B69" s="224"/>
      <c r="C69" s="221"/>
      <c r="D69" s="221"/>
    </row>
    <row r="70" spans="1:5" s="217" customFormat="1" x14ac:dyDescent="0.25">
      <c r="A70" s="214"/>
      <c r="B70" s="224"/>
      <c r="C70" s="221"/>
      <c r="D70" s="221"/>
      <c r="E70" s="223"/>
    </row>
    <row r="71" spans="1:5" s="217" customFormat="1" x14ac:dyDescent="0.25">
      <c r="A71" s="214"/>
      <c r="B71" s="224"/>
      <c r="C71" s="221"/>
      <c r="D71" s="221"/>
      <c r="E71" s="223"/>
    </row>
    <row r="72" spans="1:5" s="217" customFormat="1" x14ac:dyDescent="0.25">
      <c r="A72" s="214"/>
      <c r="B72" s="215"/>
      <c r="C72" s="216"/>
      <c r="D72" s="216"/>
    </row>
    <row r="73" spans="1:5" s="217" customFormat="1" x14ac:dyDescent="0.25">
      <c r="A73" s="214"/>
      <c r="B73" s="215"/>
      <c r="C73" s="216"/>
      <c r="D73" s="216"/>
    </row>
    <row r="74" spans="1:5" s="217" customFormat="1" x14ac:dyDescent="0.25">
      <c r="A74" s="214"/>
      <c r="B74" s="215"/>
      <c r="C74" s="216"/>
      <c r="D74" s="216"/>
    </row>
    <row r="75" spans="1:5" s="217" customFormat="1" x14ac:dyDescent="0.25">
      <c r="A75" s="214"/>
      <c r="B75" s="215"/>
      <c r="C75" s="216"/>
      <c r="D75" s="216"/>
    </row>
    <row r="76" spans="1:5" s="217" customFormat="1" x14ac:dyDescent="0.25">
      <c r="A76" s="214"/>
      <c r="B76" s="215"/>
      <c r="C76" s="216"/>
      <c r="D76" s="216"/>
    </row>
    <row r="77" spans="1:5" s="217" customFormat="1" x14ac:dyDescent="0.25">
      <c r="A77" s="214"/>
      <c r="B77" s="215"/>
      <c r="C77" s="216"/>
      <c r="D77" s="216"/>
    </row>
    <row r="78" spans="1:5" s="217" customFormat="1" x14ac:dyDescent="0.25">
      <c r="A78" s="214"/>
      <c r="B78" s="215"/>
      <c r="C78" s="216"/>
      <c r="D78" s="216"/>
    </row>
    <row r="79" spans="1:5" s="217" customFormat="1" x14ac:dyDescent="0.25">
      <c r="A79" s="214"/>
      <c r="B79" s="215"/>
      <c r="C79" s="216"/>
      <c r="D79" s="216"/>
    </row>
    <row r="80" spans="1:5" s="217" customFormat="1" x14ac:dyDescent="0.25">
      <c r="A80" s="214"/>
      <c r="B80" s="215"/>
      <c r="C80" s="216"/>
      <c r="D80" s="216"/>
    </row>
    <row r="81" spans="1:5" s="217" customFormat="1" x14ac:dyDescent="0.25">
      <c r="A81" s="214"/>
      <c r="B81" s="215"/>
      <c r="C81" s="216"/>
      <c r="D81" s="216"/>
    </row>
    <row r="82" spans="1:5" s="217" customFormat="1" x14ac:dyDescent="0.25">
      <c r="A82" s="214"/>
      <c r="B82" s="215"/>
      <c r="C82" s="216"/>
      <c r="D82" s="216"/>
      <c r="E82" s="222"/>
    </row>
    <row r="83" spans="1:5" s="217" customFormat="1" x14ac:dyDescent="0.25">
      <c r="A83" s="214"/>
      <c r="B83" s="215"/>
      <c r="C83" s="216"/>
      <c r="D83" s="216"/>
    </row>
    <row r="84" spans="1:5" s="217" customFormat="1" x14ac:dyDescent="0.25">
      <c r="A84" s="214"/>
      <c r="B84" s="215"/>
      <c r="C84" s="216"/>
      <c r="D84" s="216"/>
    </row>
    <row r="85" spans="1:5" s="217" customFormat="1" x14ac:dyDescent="0.25">
      <c r="A85" s="214"/>
      <c r="B85" s="215"/>
      <c r="C85" s="216"/>
      <c r="D85" s="216"/>
      <c r="E85" s="222"/>
    </row>
    <row r="86" spans="1:5" s="217" customFormat="1" x14ac:dyDescent="0.25">
      <c r="A86" s="214"/>
      <c r="B86" s="215"/>
      <c r="C86" s="216"/>
      <c r="D86" s="216"/>
    </row>
    <row r="87" spans="1:5" s="217" customFormat="1" x14ac:dyDescent="0.25">
      <c r="A87" s="214"/>
      <c r="B87" s="215"/>
      <c r="C87" s="216"/>
      <c r="D87" s="216"/>
      <c r="E87" s="222"/>
    </row>
    <row r="88" spans="1:5" s="217" customFormat="1" x14ac:dyDescent="0.25">
      <c r="A88" s="214"/>
      <c r="B88" s="215"/>
      <c r="C88" s="216"/>
      <c r="D88" s="216"/>
    </row>
    <row r="89" spans="1:5" s="217" customFormat="1" x14ac:dyDescent="0.25">
      <c r="A89" s="214"/>
      <c r="B89" s="215"/>
      <c r="C89" s="216"/>
      <c r="D89" s="216"/>
    </row>
    <row r="90" spans="1:5" s="217" customFormat="1" x14ac:dyDescent="0.25">
      <c r="A90" s="214"/>
      <c r="B90" s="215"/>
      <c r="C90" s="216"/>
      <c r="D90" s="216"/>
    </row>
    <row r="91" spans="1:5" s="217" customFormat="1" x14ac:dyDescent="0.25">
      <c r="A91" s="214"/>
      <c r="B91" s="215"/>
      <c r="C91" s="216"/>
      <c r="D91" s="216"/>
      <c r="E91" s="222"/>
    </row>
    <row r="92" spans="1:5" s="217" customFormat="1" x14ac:dyDescent="0.25">
      <c r="A92" s="214"/>
      <c r="B92" s="215"/>
      <c r="C92" s="216"/>
      <c r="D92" s="216"/>
    </row>
    <row r="93" spans="1:5" s="217" customFormat="1" x14ac:dyDescent="0.25">
      <c r="A93" s="214"/>
      <c r="B93" s="215"/>
      <c r="C93" s="216"/>
      <c r="D93" s="216"/>
    </row>
    <row r="94" spans="1:5" s="217" customFormat="1" x14ac:dyDescent="0.25">
      <c r="A94" s="214"/>
      <c r="B94" s="215"/>
      <c r="C94" s="216"/>
      <c r="D94" s="216"/>
    </row>
    <row r="95" spans="1:5" s="217" customFormat="1" x14ac:dyDescent="0.25">
      <c r="A95" s="214"/>
      <c r="B95" s="215"/>
      <c r="C95" s="216"/>
      <c r="D95" s="216"/>
    </row>
    <row r="96" spans="1:5" s="217" customFormat="1" x14ac:dyDescent="0.25">
      <c r="A96" s="214"/>
      <c r="B96" s="215"/>
      <c r="C96" s="216"/>
      <c r="D96" s="216"/>
    </row>
    <row r="97" spans="1:5" s="217" customFormat="1" x14ac:dyDescent="0.25">
      <c r="A97" s="214"/>
      <c r="B97" s="215"/>
      <c r="C97" s="216"/>
      <c r="D97" s="216"/>
      <c r="E97" s="222"/>
    </row>
    <row r="98" spans="1:5" s="217" customFormat="1" x14ac:dyDescent="0.25">
      <c r="A98" s="214"/>
      <c r="B98" s="215"/>
      <c r="C98" s="216"/>
      <c r="D98" s="216"/>
      <c r="E98" s="222"/>
    </row>
    <row r="99" spans="1:5" s="217" customFormat="1" x14ac:dyDescent="0.25">
      <c r="A99" s="214"/>
      <c r="B99" s="215"/>
      <c r="C99" s="216"/>
      <c r="D99" s="216"/>
    </row>
    <row r="100" spans="1:5" s="217" customFormat="1" x14ac:dyDescent="0.25">
      <c r="A100" s="214"/>
      <c r="B100" s="215"/>
      <c r="C100" s="216"/>
      <c r="D100" s="216"/>
    </row>
    <row r="101" spans="1:5" s="217" customFormat="1" x14ac:dyDescent="0.25">
      <c r="A101" s="214"/>
      <c r="B101" s="215"/>
      <c r="C101" s="216"/>
      <c r="D101" s="216"/>
    </row>
    <row r="102" spans="1:5" s="217" customFormat="1" x14ac:dyDescent="0.25">
      <c r="A102" s="214"/>
      <c r="B102" s="215"/>
      <c r="C102" s="216"/>
      <c r="D102" s="216"/>
      <c r="E102" s="222"/>
    </row>
    <row r="103" spans="1:5" s="217" customFormat="1" x14ac:dyDescent="0.25">
      <c r="A103" s="214"/>
      <c r="B103" s="215"/>
      <c r="C103" s="216"/>
      <c r="D103" s="216"/>
      <c r="E103" s="222"/>
    </row>
    <row r="104" spans="1:5" s="217" customFormat="1" x14ac:dyDescent="0.25">
      <c r="A104" s="214"/>
      <c r="B104" s="215"/>
      <c r="C104" s="216"/>
      <c r="D104" s="216"/>
    </row>
    <row r="105" spans="1:5" s="217" customFormat="1" x14ac:dyDescent="0.25">
      <c r="A105" s="214"/>
      <c r="B105" s="215"/>
      <c r="C105" s="216"/>
      <c r="D105" s="216"/>
    </row>
    <row r="106" spans="1:5" s="217" customFormat="1" x14ac:dyDescent="0.25">
      <c r="A106" s="214"/>
      <c r="B106" s="215"/>
      <c r="C106" s="216"/>
      <c r="D106" s="216"/>
      <c r="E106" s="222"/>
    </row>
    <row r="107" spans="1:5" s="217" customFormat="1" x14ac:dyDescent="0.25">
      <c r="A107" s="214"/>
      <c r="B107" s="215"/>
      <c r="C107" s="216"/>
      <c r="D107" s="216"/>
      <c r="E107" s="222"/>
    </row>
    <row r="108" spans="1:5" s="217" customFormat="1" x14ac:dyDescent="0.25">
      <c r="A108" s="214"/>
      <c r="B108" s="215"/>
      <c r="C108" s="216"/>
      <c r="D108" s="216"/>
    </row>
    <row r="109" spans="1:5" s="217" customFormat="1" x14ac:dyDescent="0.25">
      <c r="A109" s="214"/>
      <c r="B109" s="215"/>
      <c r="C109" s="216"/>
      <c r="D109" s="216"/>
    </row>
    <row r="110" spans="1:5" s="217" customFormat="1" x14ac:dyDescent="0.25">
      <c r="A110" s="214"/>
      <c r="B110" s="215"/>
      <c r="C110" s="216"/>
      <c r="D110" s="216"/>
    </row>
    <row r="111" spans="1:5" s="217" customFormat="1" x14ac:dyDescent="0.25">
      <c r="A111" s="214"/>
      <c r="B111" s="215"/>
      <c r="C111" s="216"/>
      <c r="D111" s="216"/>
    </row>
    <row r="112" spans="1:5" s="217" customFormat="1" x14ac:dyDescent="0.25">
      <c r="A112" s="214"/>
      <c r="B112" s="215"/>
      <c r="C112" s="216"/>
      <c r="D112" s="216"/>
      <c r="E112" s="214"/>
    </row>
    <row r="113" spans="1:5" s="217" customFormat="1" x14ac:dyDescent="0.25">
      <c r="A113" s="214"/>
      <c r="B113" s="215"/>
      <c r="C113" s="216"/>
      <c r="D113" s="216"/>
      <c r="E113" s="214"/>
    </row>
    <row r="114" spans="1:5" s="219" customFormat="1" x14ac:dyDescent="0.25">
      <c r="A114" s="218"/>
      <c r="B114" s="225"/>
      <c r="C114" s="226"/>
      <c r="D114" s="226"/>
    </row>
    <row r="115" spans="1:5" s="219" customFormat="1" x14ac:dyDescent="0.25">
      <c r="A115" s="218"/>
      <c r="B115" s="225"/>
      <c r="C115" s="226"/>
      <c r="D115" s="226"/>
    </row>
    <row r="116" spans="1:5" s="219" customFormat="1" x14ac:dyDescent="0.25">
      <c r="A116" s="218"/>
      <c r="B116" s="225"/>
      <c r="C116" s="226"/>
      <c r="D116" s="226"/>
    </row>
    <row r="117" spans="1:5" s="219" customFormat="1" x14ac:dyDescent="0.25">
      <c r="A117" s="218"/>
      <c r="B117" s="225"/>
      <c r="C117" s="226"/>
      <c r="D117" s="226"/>
    </row>
    <row r="118" spans="1:5" s="217" customFormat="1" x14ac:dyDescent="0.25">
      <c r="A118" s="214"/>
      <c r="B118" s="215"/>
      <c r="C118" s="216"/>
      <c r="D118" s="216"/>
    </row>
    <row r="119" spans="1:5" s="217" customFormat="1" x14ac:dyDescent="0.25">
      <c r="A119" s="214"/>
      <c r="B119" s="215"/>
      <c r="C119" s="216"/>
      <c r="D119" s="216"/>
    </row>
    <row r="120" spans="1:5" s="217" customFormat="1" x14ac:dyDescent="0.25">
      <c r="A120" s="214"/>
      <c r="B120" s="215"/>
      <c r="C120" s="216"/>
      <c r="D120" s="216"/>
    </row>
    <row r="121" spans="1:5" s="217" customFormat="1" x14ac:dyDescent="0.25">
      <c r="A121" s="214"/>
      <c r="B121" s="215"/>
      <c r="C121" s="216"/>
      <c r="D121" s="216"/>
    </row>
    <row r="122" spans="1:5" s="217" customFormat="1" x14ac:dyDescent="0.25">
      <c r="A122" s="214"/>
      <c r="B122" s="215"/>
      <c r="C122" s="216"/>
      <c r="D122" s="216"/>
    </row>
    <row r="123" spans="1:5" s="217" customFormat="1" x14ac:dyDescent="0.25">
      <c r="A123" s="214"/>
      <c r="B123" s="215"/>
      <c r="C123" s="216"/>
      <c r="D123" s="216"/>
    </row>
    <row r="124" spans="1:5" s="217" customFormat="1" x14ac:dyDescent="0.25">
      <c r="A124" s="214"/>
      <c r="B124" s="215"/>
      <c r="C124" s="216"/>
      <c r="D124" s="216"/>
    </row>
    <row r="125" spans="1:5" s="217" customFormat="1" x14ac:dyDescent="0.25">
      <c r="A125" s="222"/>
      <c r="B125" s="224"/>
      <c r="C125" s="221"/>
      <c r="D125" s="221"/>
      <c r="E125" s="223"/>
    </row>
    <row r="126" spans="1:5" s="217" customFormat="1" ht="10.5" customHeight="1" x14ac:dyDescent="0.25">
      <c r="A126" s="222"/>
      <c r="B126" s="228"/>
      <c r="C126" s="216"/>
      <c r="D126" s="216"/>
    </row>
    <row r="127" spans="1:5" s="217" customFormat="1" x14ac:dyDescent="0.25">
      <c r="A127" s="222"/>
      <c r="B127" s="215"/>
      <c r="C127" s="216"/>
      <c r="D127" s="216"/>
    </row>
    <row r="128" spans="1:5" s="217" customFormat="1" x14ac:dyDescent="0.25">
      <c r="A128" s="214"/>
      <c r="B128" s="215"/>
      <c r="C128" s="216"/>
      <c r="D128" s="216"/>
    </row>
    <row r="129" spans="1:5" s="229" customFormat="1" x14ac:dyDescent="0.25">
      <c r="B129" s="230"/>
      <c r="C129" s="216"/>
      <c r="D129" s="216"/>
    </row>
    <row r="130" spans="1:5" s="229" customFormat="1" x14ac:dyDescent="0.25">
      <c r="B130" s="230"/>
      <c r="C130" s="216"/>
      <c r="D130" s="216"/>
    </row>
    <row r="131" spans="1:5" s="217" customFormat="1" x14ac:dyDescent="0.25">
      <c r="A131" s="214"/>
      <c r="B131" s="230"/>
      <c r="C131" s="216"/>
      <c r="D131" s="216"/>
    </row>
    <row r="132" spans="1:5" s="217" customFormat="1" x14ac:dyDescent="0.25">
      <c r="A132" s="222"/>
      <c r="B132" s="232"/>
      <c r="C132" s="216"/>
      <c r="D132" s="216"/>
    </row>
    <row r="133" spans="1:5" x14ac:dyDescent="0.25">
      <c r="A133" s="218"/>
      <c r="B133" s="233"/>
      <c r="D133" s="234"/>
      <c r="E133" s="32"/>
    </row>
    <row r="134" spans="1:5" x14ac:dyDescent="0.25">
      <c r="A134" s="218"/>
      <c r="B134" s="235"/>
      <c r="C134"/>
      <c r="D134" s="234"/>
      <c r="E134" s="32"/>
    </row>
    <row r="135" spans="1:5" x14ac:dyDescent="0.25">
      <c r="A135" s="218"/>
      <c r="B135" s="235"/>
      <c r="C135"/>
      <c r="D135" s="234"/>
      <c r="E135" s="32"/>
    </row>
    <row r="136" spans="1:5" x14ac:dyDescent="0.25">
      <c r="A136" s="218"/>
      <c r="B136" s="233"/>
      <c r="D136" s="234"/>
      <c r="E136" s="32"/>
    </row>
    <row r="137" spans="1:5" x14ac:dyDescent="0.25">
      <c r="A137" s="218"/>
      <c r="B137" s="233"/>
      <c r="D137" s="234"/>
      <c r="E137" s="32"/>
    </row>
    <row r="138" spans="1:5" x14ac:dyDescent="0.25">
      <c r="A138" s="218"/>
      <c r="B138" s="233"/>
      <c r="D138" s="234"/>
      <c r="E138" s="32"/>
    </row>
    <row r="139" spans="1:5" x14ac:dyDescent="0.25">
      <c r="A139" s="218"/>
      <c r="B139" s="233"/>
      <c r="D139" s="234"/>
      <c r="E139" s="32"/>
    </row>
    <row r="140" spans="1:5" x14ac:dyDescent="0.25">
      <c r="A140" s="218"/>
      <c r="B140" s="233"/>
      <c r="D140" s="234"/>
      <c r="E140" s="32"/>
    </row>
    <row r="141" spans="1:5" x14ac:dyDescent="0.25">
      <c r="A141" s="218"/>
      <c r="B141" s="233"/>
      <c r="D141" s="234"/>
      <c r="E141" s="32"/>
    </row>
    <row r="142" spans="1:5" x14ac:dyDescent="0.25">
      <c r="A142" s="218"/>
      <c r="B142" s="233"/>
      <c r="D142" s="234"/>
      <c r="E142" s="32"/>
    </row>
    <row r="143" spans="1:5" x14ac:dyDescent="0.25">
      <c r="A143" s="218"/>
      <c r="B143" s="233"/>
      <c r="D143" s="234"/>
      <c r="E143" s="32"/>
    </row>
    <row r="144" spans="1:5" x14ac:dyDescent="0.25">
      <c r="A144" s="218"/>
      <c r="B144" s="233"/>
      <c r="D144" s="234"/>
      <c r="E144" s="32"/>
    </row>
    <row r="145" spans="1:5" x14ac:dyDescent="0.25">
      <c r="A145" s="218"/>
      <c r="B145" s="233"/>
      <c r="D145" s="234"/>
      <c r="E145" s="32"/>
    </row>
    <row r="146" spans="1:5" x14ac:dyDescent="0.25">
      <c r="A146" s="218"/>
      <c r="B146" s="233"/>
      <c r="D146" s="234"/>
      <c r="E146" s="32"/>
    </row>
    <row r="147" spans="1:5" x14ac:dyDescent="0.25">
      <c r="A147" s="218"/>
      <c r="B147" s="233"/>
      <c r="D147" s="234"/>
      <c r="E147" s="32"/>
    </row>
    <row r="148" spans="1:5" x14ac:dyDescent="0.25">
      <c r="A148" s="218"/>
      <c r="B148" s="233"/>
      <c r="D148" s="234"/>
      <c r="E148" s="32"/>
    </row>
    <row r="149" spans="1:5" x14ac:dyDescent="0.25">
      <c r="A149" s="218"/>
      <c r="B149" s="233"/>
      <c r="D149" s="234"/>
      <c r="E149" s="32"/>
    </row>
    <row r="150" spans="1:5" x14ac:dyDescent="0.25">
      <c r="A150" s="218"/>
      <c r="B150" s="233"/>
      <c r="D150" s="234"/>
      <c r="E150" s="32"/>
    </row>
    <row r="151" spans="1:5" x14ac:dyDescent="0.25">
      <c r="A151" s="218"/>
      <c r="B151" s="233"/>
      <c r="D151" s="234"/>
      <c r="E151" s="32"/>
    </row>
    <row r="152" spans="1:5" x14ac:dyDescent="0.25">
      <c r="A152" s="218"/>
      <c r="B152" s="233"/>
      <c r="D152" s="234"/>
      <c r="E152" s="32"/>
    </row>
    <row r="153" spans="1:5" x14ac:dyDescent="0.25">
      <c r="A153" s="218"/>
      <c r="B153" s="233"/>
      <c r="D153" s="234"/>
      <c r="E153" s="32"/>
    </row>
    <row r="154" spans="1:5" x14ac:dyDescent="0.25">
      <c r="A154" s="218"/>
      <c r="B154" s="233"/>
      <c r="D154" s="234"/>
      <c r="E154" s="32"/>
    </row>
    <row r="155" spans="1:5" x14ac:dyDescent="0.25">
      <c r="A155" s="218"/>
      <c r="B155" s="233"/>
      <c r="D155" s="234"/>
      <c r="E155" s="32"/>
    </row>
    <row r="156" spans="1:5" x14ac:dyDescent="0.25">
      <c r="A156" s="218"/>
      <c r="B156" s="233"/>
      <c r="D156" s="234"/>
      <c r="E156" s="32"/>
    </row>
    <row r="157" spans="1:5" x14ac:dyDescent="0.25">
      <c r="A157" s="218"/>
      <c r="B157" s="233"/>
      <c r="D157" s="234"/>
      <c r="E157" s="32"/>
    </row>
    <row r="158" spans="1:5" x14ac:dyDescent="0.25">
      <c r="A158" s="218"/>
      <c r="B158" s="233"/>
      <c r="D158" s="234"/>
      <c r="E158" s="32"/>
    </row>
    <row r="159" spans="1:5" x14ac:dyDescent="0.25">
      <c r="A159" s="218"/>
      <c r="B159" s="233"/>
      <c r="D159" s="234"/>
      <c r="E159" s="32"/>
    </row>
    <row r="160" spans="1:5" x14ac:dyDescent="0.25">
      <c r="A160" s="218"/>
      <c r="B160" s="233"/>
      <c r="D160" s="234"/>
      <c r="E160" s="32"/>
    </row>
    <row r="161" spans="1:5" x14ac:dyDescent="0.25">
      <c r="A161" s="218"/>
      <c r="B161" s="233"/>
      <c r="D161" s="234"/>
      <c r="E161" s="32"/>
    </row>
    <row r="162" spans="1:5" x14ac:dyDescent="0.25">
      <c r="A162" s="218"/>
      <c r="B162" s="233"/>
      <c r="D162" s="234"/>
      <c r="E162" s="32"/>
    </row>
    <row r="163" spans="1:5" x14ac:dyDescent="0.25">
      <c r="A163" s="218"/>
      <c r="B163" s="233"/>
      <c r="D163" s="234"/>
      <c r="E163" s="32"/>
    </row>
    <row r="164" spans="1:5" x14ac:dyDescent="0.25">
      <c r="A164" s="218"/>
      <c r="B164" s="233"/>
      <c r="D164" s="234"/>
      <c r="E164" s="32"/>
    </row>
    <row r="165" spans="1:5" x14ac:dyDescent="0.25">
      <c r="A165" s="218"/>
      <c r="B165" s="233"/>
      <c r="D165" s="234"/>
      <c r="E165" s="32"/>
    </row>
    <row r="166" spans="1:5" x14ac:dyDescent="0.25">
      <c r="A166" s="218"/>
      <c r="B166" s="233"/>
      <c r="D166" s="234"/>
      <c r="E166" s="32"/>
    </row>
    <row r="167" spans="1:5" x14ac:dyDescent="0.25">
      <c r="A167" s="218"/>
      <c r="B167" s="233"/>
      <c r="D167" s="234"/>
      <c r="E167" s="32"/>
    </row>
    <row r="168" spans="1:5" x14ac:dyDescent="0.25">
      <c r="A168" s="218"/>
      <c r="B168" s="233"/>
      <c r="D168" s="234"/>
      <c r="E168" s="32"/>
    </row>
    <row r="169" spans="1:5" x14ac:dyDescent="0.25">
      <c r="A169" s="218"/>
      <c r="B169" s="233"/>
      <c r="D169" s="234"/>
      <c r="E169" s="32"/>
    </row>
    <row r="170" spans="1:5" x14ac:dyDescent="0.25">
      <c r="A170" s="218"/>
      <c r="B170" s="233"/>
      <c r="D170" s="234"/>
      <c r="E170" s="32"/>
    </row>
    <row r="171" spans="1:5" x14ac:dyDescent="0.25">
      <c r="A171" s="218"/>
      <c r="B171" s="233"/>
      <c r="D171" s="234"/>
      <c r="E171" s="32"/>
    </row>
    <row r="172" spans="1:5" x14ac:dyDescent="0.25">
      <c r="A172" s="218"/>
      <c r="B172" s="233"/>
      <c r="D172" s="234"/>
      <c r="E172" s="32"/>
    </row>
    <row r="173" spans="1:5" x14ac:dyDescent="0.25">
      <c r="A173" s="218"/>
      <c r="B173" s="233"/>
      <c r="D173" s="234"/>
      <c r="E173" s="32"/>
    </row>
    <row r="174" spans="1:5" x14ac:dyDescent="0.25">
      <c r="A174" s="218"/>
      <c r="B174" s="233"/>
      <c r="D174" s="234"/>
      <c r="E174" s="32"/>
    </row>
    <row r="175" spans="1:5" x14ac:dyDescent="0.25">
      <c r="A175" s="218"/>
      <c r="B175" s="233"/>
      <c r="D175" s="234"/>
      <c r="E175" s="32"/>
    </row>
    <row r="176" spans="1:5" x14ac:dyDescent="0.25">
      <c r="A176" s="218"/>
      <c r="B176" s="233"/>
      <c r="D176" s="234"/>
      <c r="E176" s="32"/>
    </row>
    <row r="177" spans="1:5" x14ac:dyDescent="0.25">
      <c r="A177" s="218"/>
      <c r="B177" s="233"/>
      <c r="D177" s="234"/>
      <c r="E177" s="32"/>
    </row>
    <row r="178" spans="1:5" x14ac:dyDescent="0.25">
      <c r="A178" s="218"/>
      <c r="B178" s="233"/>
      <c r="D178" s="234"/>
      <c r="E178" s="32"/>
    </row>
    <row r="179" spans="1:5" x14ac:dyDescent="0.25">
      <c r="A179" s="218"/>
      <c r="B179" s="233"/>
      <c r="D179" s="234"/>
      <c r="E179" s="32"/>
    </row>
    <row r="180" spans="1:5" x14ac:dyDescent="0.25">
      <c r="A180" s="218"/>
      <c r="B180" s="233"/>
      <c r="D180" s="234"/>
      <c r="E180" s="32"/>
    </row>
    <row r="181" spans="1:5" x14ac:dyDescent="0.25">
      <c r="A181" s="218"/>
      <c r="B181" s="233"/>
      <c r="D181" s="234"/>
      <c r="E181" s="32"/>
    </row>
    <row r="182" spans="1:5" x14ac:dyDescent="0.25">
      <c r="A182" s="218"/>
      <c r="B182" s="233"/>
      <c r="D182" s="234"/>
      <c r="E182" s="32"/>
    </row>
    <row r="183" spans="1:5" x14ac:dyDescent="0.25">
      <c r="A183" s="218"/>
      <c r="B183" s="233"/>
      <c r="D183" s="234"/>
      <c r="E183" s="32"/>
    </row>
    <row r="184" spans="1:5" x14ac:dyDescent="0.25">
      <c r="A184" s="218"/>
      <c r="B184" s="233"/>
      <c r="D184" s="234"/>
      <c r="E184" s="32"/>
    </row>
    <row r="185" spans="1:5" x14ac:dyDescent="0.25">
      <c r="A185" s="218"/>
      <c r="B185" s="233"/>
      <c r="D185" s="234"/>
      <c r="E185" s="32"/>
    </row>
    <row r="186" spans="1:5" x14ac:dyDescent="0.25">
      <c r="A186" s="218"/>
      <c r="B186" s="233"/>
      <c r="D186" s="234"/>
      <c r="E186" s="32"/>
    </row>
  </sheetData>
  <autoFilter ref="A1:A556">
    <filterColumn colId="0">
      <filters blank="1">
        <filter val="AIR_GHG"/>
        <filter val="Source"/>
      </filters>
    </filterColumn>
  </autoFilter>
  <hyperlinks>
    <hyperlink ref="A1" location="'Indicator-Concept Matrix'!A1" display="Update Concept Scheme Concepts"/>
    <hyperlink ref="C1" location="CL_UNIT_MEASURE!A1" display="UNIT_MEASURE"/>
    <hyperlink ref="D1" location="CL_MEASURE!A1" display="MEASURE"/>
    <hyperlink ref="E1" location="CL_AGGREGATION_OPERATION!A1" display="AGGREGATION_OPERATION"/>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5"/>
  <sheetViews>
    <sheetView zoomScale="85" zoomScaleNormal="85" workbookViewId="0">
      <pane xSplit="2" ySplit="2" topLeftCell="F3" activePane="bottomRight" state="frozen"/>
      <selection activeCell="A7" sqref="A7"/>
      <selection pane="topRight" activeCell="A7" sqref="A7"/>
      <selection pane="bottomLeft" activeCell="A7" sqref="A7"/>
      <selection pane="bottomRight" activeCell="M1" sqref="M1"/>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15</v>
      </c>
      <c r="C1" s="150" t="s">
        <v>47</v>
      </c>
      <c r="D1" s="151" t="s">
        <v>137</v>
      </c>
      <c r="E1" s="148" t="s">
        <v>216</v>
      </c>
      <c r="F1" s="149" t="s">
        <v>1280</v>
      </c>
      <c r="G1" s="152" t="s">
        <v>215</v>
      </c>
      <c r="H1" s="149" t="s">
        <v>1281</v>
      </c>
      <c r="I1" s="148" t="s">
        <v>9</v>
      </c>
      <c r="J1" s="194"/>
      <c r="K1" s="153" t="s">
        <v>282</v>
      </c>
      <c r="L1" s="154" t="b">
        <v>0</v>
      </c>
      <c r="M1" s="310" t="s">
        <v>497</v>
      </c>
      <c r="N1" s="311"/>
      <c r="O1" s="311"/>
    </row>
    <row r="2" spans="1:15" s="140" customFormat="1" ht="38.25" x14ac:dyDescent="0.2">
      <c r="A2" s="199" t="s">
        <v>52</v>
      </c>
      <c r="B2" s="199" t="s">
        <v>114</v>
      </c>
      <c r="C2" s="200" t="s">
        <v>4</v>
      </c>
      <c r="D2" s="199" t="s">
        <v>115</v>
      </c>
      <c r="E2" s="201" t="s">
        <v>55</v>
      </c>
      <c r="F2" s="201" t="s">
        <v>54</v>
      </c>
      <c r="G2" s="202" t="s">
        <v>47</v>
      </c>
      <c r="H2" s="203" t="s">
        <v>49</v>
      </c>
      <c r="I2" s="203" t="s">
        <v>369</v>
      </c>
      <c r="J2" s="203" t="s">
        <v>370</v>
      </c>
      <c r="K2" s="204" t="s">
        <v>434</v>
      </c>
    </row>
    <row r="3" spans="1:15" s="144" customFormat="1" ht="90" x14ac:dyDescent="0.2">
      <c r="A3" s="238" t="s">
        <v>3</v>
      </c>
      <c r="B3" s="239" t="s">
        <v>201</v>
      </c>
      <c r="C3" s="239" t="s">
        <v>202</v>
      </c>
      <c r="D3" s="239" t="s">
        <v>226</v>
      </c>
      <c r="E3" s="265" t="s">
        <v>230</v>
      </c>
      <c r="F3" s="239" t="s">
        <v>541</v>
      </c>
      <c r="G3" s="312" t="s">
        <v>137</v>
      </c>
      <c r="H3" s="239" t="s">
        <v>50</v>
      </c>
      <c r="I3" s="144">
        <v>1</v>
      </c>
      <c r="J3" s="144">
        <v>25</v>
      </c>
      <c r="K3" s="145"/>
    </row>
    <row r="4" spans="1:15" s="144" customFormat="1" ht="12.75" customHeight="1" x14ac:dyDescent="0.2">
      <c r="A4" s="238" t="s">
        <v>3</v>
      </c>
      <c r="B4" s="240" t="s">
        <v>542</v>
      </c>
      <c r="C4" s="239" t="s">
        <v>560</v>
      </c>
      <c r="D4" s="239" t="s">
        <v>561</v>
      </c>
      <c r="E4" s="265" t="s">
        <v>676</v>
      </c>
      <c r="F4" s="239" t="s">
        <v>541</v>
      </c>
      <c r="G4" s="312" t="s">
        <v>137</v>
      </c>
      <c r="H4" s="239" t="s">
        <v>50</v>
      </c>
      <c r="I4" s="144">
        <v>1</v>
      </c>
      <c r="J4" s="144">
        <v>25</v>
      </c>
      <c r="K4" s="145"/>
    </row>
    <row r="5" spans="1:15" s="144" customFormat="1" ht="38.25" customHeight="1" x14ac:dyDescent="0.2">
      <c r="A5" s="238" t="s">
        <v>3</v>
      </c>
      <c r="B5" s="239" t="s">
        <v>20</v>
      </c>
      <c r="C5" s="239" t="s">
        <v>203</v>
      </c>
      <c r="D5" s="239" t="s">
        <v>227</v>
      </c>
      <c r="E5" s="265" t="s">
        <v>231</v>
      </c>
      <c r="F5" s="239" t="s">
        <v>541</v>
      </c>
      <c r="G5" s="312" t="s">
        <v>137</v>
      </c>
      <c r="H5" s="239" t="s">
        <v>50</v>
      </c>
      <c r="I5" s="144">
        <v>1</v>
      </c>
      <c r="J5" s="144">
        <v>25</v>
      </c>
      <c r="K5" s="146"/>
    </row>
    <row r="6" spans="1:15" s="144" customFormat="1" ht="60" x14ac:dyDescent="0.2">
      <c r="A6" s="241" t="s">
        <v>3</v>
      </c>
      <c r="B6" s="242" t="s">
        <v>16</v>
      </c>
      <c r="C6" s="242" t="s">
        <v>17</v>
      </c>
      <c r="D6" s="243" t="s">
        <v>228</v>
      </c>
      <c r="E6" s="265" t="s">
        <v>229</v>
      </c>
      <c r="F6" s="239" t="s">
        <v>15</v>
      </c>
      <c r="G6" s="312">
        <v>1.9</v>
      </c>
      <c r="H6" s="239" t="s">
        <v>50</v>
      </c>
      <c r="I6" s="144">
        <v>1</v>
      </c>
      <c r="J6" s="144">
        <v>25</v>
      </c>
      <c r="K6" s="146"/>
    </row>
    <row r="7" spans="1:15" ht="45" x14ac:dyDescent="0.2">
      <c r="A7" s="247" t="s">
        <v>22</v>
      </c>
      <c r="B7" s="245" t="s">
        <v>44</v>
      </c>
      <c r="C7" s="245" t="s">
        <v>53</v>
      </c>
      <c r="D7" s="239" t="s">
        <v>601</v>
      </c>
      <c r="E7" s="269" t="s">
        <v>56</v>
      </c>
      <c r="F7" s="245" t="s">
        <v>15</v>
      </c>
      <c r="G7" s="313"/>
      <c r="H7" s="245" t="s">
        <v>45</v>
      </c>
      <c r="I7" s="144"/>
      <c r="J7" s="144"/>
    </row>
    <row r="8" spans="1:15" ht="45" x14ac:dyDescent="0.2">
      <c r="A8" s="247" t="s">
        <v>21</v>
      </c>
      <c r="B8" s="245" t="s">
        <v>18</v>
      </c>
      <c r="C8" s="245" t="s">
        <v>5</v>
      </c>
      <c r="D8" s="239" t="s">
        <v>602</v>
      </c>
      <c r="E8" s="265" t="s">
        <v>19</v>
      </c>
      <c r="F8" s="245" t="s">
        <v>15</v>
      </c>
      <c r="G8" s="313" t="s">
        <v>116</v>
      </c>
      <c r="H8" s="245" t="s">
        <v>50</v>
      </c>
      <c r="I8" s="144">
        <v>1</v>
      </c>
      <c r="J8" s="144">
        <v>25</v>
      </c>
    </row>
    <row r="9" spans="1:15" ht="12.75" customHeight="1" x14ac:dyDescent="0.2">
      <c r="A9" s="241" t="s">
        <v>1</v>
      </c>
      <c r="B9" s="245" t="s">
        <v>41</v>
      </c>
      <c r="C9" s="245" t="s">
        <v>42</v>
      </c>
      <c r="D9" s="239" t="s">
        <v>605</v>
      </c>
      <c r="E9" s="269" t="s">
        <v>56</v>
      </c>
      <c r="F9" s="245" t="s">
        <v>15</v>
      </c>
      <c r="G9" s="313"/>
      <c r="H9" s="143" t="s">
        <v>113</v>
      </c>
      <c r="I9" s="144">
        <v>1</v>
      </c>
      <c r="J9" s="144">
        <v>25</v>
      </c>
    </row>
    <row r="10" spans="1:15" ht="60" x14ac:dyDescent="0.2">
      <c r="A10" s="249" t="s">
        <v>225</v>
      </c>
      <c r="B10" s="250" t="s">
        <v>27</v>
      </c>
      <c r="C10" s="245" t="s">
        <v>36</v>
      </c>
      <c r="D10" s="239" t="s">
        <v>609</v>
      </c>
      <c r="E10" s="265" t="s">
        <v>32</v>
      </c>
      <c r="F10" s="270" t="s">
        <v>15</v>
      </c>
      <c r="G10" s="314">
        <v>1.2</v>
      </c>
      <c r="H10" s="245" t="s">
        <v>50</v>
      </c>
      <c r="I10" s="144">
        <v>1</v>
      </c>
      <c r="J10" s="144">
        <v>25</v>
      </c>
    </row>
    <row r="11" spans="1:15" ht="38.25" x14ac:dyDescent="0.2">
      <c r="A11" s="331" t="s">
        <v>26</v>
      </c>
      <c r="B11" s="325" t="s">
        <v>28</v>
      </c>
      <c r="C11" s="325" t="s">
        <v>37</v>
      </c>
      <c r="D11" s="324" t="s">
        <v>1278</v>
      </c>
      <c r="E11" s="332" t="s">
        <v>1279</v>
      </c>
      <c r="F11" s="327" t="s">
        <v>15</v>
      </c>
      <c r="G11" s="326" t="s">
        <v>137</v>
      </c>
      <c r="H11" s="325" t="s">
        <v>51</v>
      </c>
      <c r="I11" s="328">
        <v>1</v>
      </c>
      <c r="J11" s="330">
        <v>2</v>
      </c>
      <c r="K11" s="329"/>
      <c r="L11" s="328"/>
      <c r="M11" s="328"/>
    </row>
    <row r="12" spans="1:15" ht="45" x14ac:dyDescent="0.2">
      <c r="A12" s="249" t="s">
        <v>225</v>
      </c>
      <c r="B12" s="250" t="s">
        <v>29</v>
      </c>
      <c r="C12" s="245" t="s">
        <v>38</v>
      </c>
      <c r="D12" s="239" t="s">
        <v>611</v>
      </c>
      <c r="E12" s="321" t="s">
        <v>33</v>
      </c>
      <c r="F12" s="270" t="s">
        <v>15</v>
      </c>
      <c r="G12" s="315">
        <v>2.1</v>
      </c>
      <c r="H12" s="245" t="s">
        <v>50</v>
      </c>
      <c r="I12" s="144">
        <v>1</v>
      </c>
      <c r="J12" s="144">
        <v>25</v>
      </c>
    </row>
    <row r="13" spans="1:15" ht="105" x14ac:dyDescent="0.2">
      <c r="A13" s="249" t="s">
        <v>441</v>
      </c>
      <c r="B13" s="251" t="s">
        <v>31</v>
      </c>
      <c r="C13" s="252" t="s">
        <v>40</v>
      </c>
      <c r="D13" s="239" t="s">
        <v>618</v>
      </c>
      <c r="E13" s="321" t="s">
        <v>35</v>
      </c>
      <c r="F13" s="270" t="s">
        <v>15</v>
      </c>
      <c r="G13" s="314">
        <v>1.1000000000000001</v>
      </c>
      <c r="H13" s="245" t="s">
        <v>51</v>
      </c>
      <c r="I13" s="144">
        <v>1</v>
      </c>
      <c r="J13" s="144">
        <v>25</v>
      </c>
    </row>
    <row r="14" spans="1:15" ht="15" x14ac:dyDescent="0.2">
      <c r="A14" s="249" t="s">
        <v>225</v>
      </c>
      <c r="B14" s="251" t="s">
        <v>641</v>
      </c>
      <c r="C14" s="252" t="s">
        <v>642</v>
      </c>
      <c r="D14" s="240" t="s">
        <v>642</v>
      </c>
      <c r="E14" s="269" t="s">
        <v>56</v>
      </c>
      <c r="F14" s="239" t="s">
        <v>15</v>
      </c>
      <c r="G14" s="312"/>
      <c r="H14" s="245" t="s">
        <v>702</v>
      </c>
      <c r="I14" s="144">
        <v>1</v>
      </c>
      <c r="J14" s="144">
        <v>25</v>
      </c>
    </row>
    <row r="15" spans="1:15" ht="60" x14ac:dyDescent="0.2">
      <c r="A15" s="249" t="s">
        <v>26</v>
      </c>
      <c r="B15" s="251" t="s">
        <v>643</v>
      </c>
      <c r="C15" s="255" t="s">
        <v>644</v>
      </c>
      <c r="D15" s="240" t="s">
        <v>645</v>
      </c>
      <c r="E15" s="269" t="s">
        <v>56</v>
      </c>
      <c r="F15" s="239" t="s">
        <v>15</v>
      </c>
      <c r="G15" s="312"/>
      <c r="H15" s="245" t="s">
        <v>702</v>
      </c>
      <c r="I15" s="144">
        <v>1</v>
      </c>
      <c r="J15" s="144">
        <v>25</v>
      </c>
    </row>
  </sheetData>
  <conditionalFormatting sqref="H2:J2">
    <cfRule type="duplicateValues" dxfId="37" priority="1"/>
  </conditionalFormatting>
  <dataValidations count="5">
    <dataValidation type="list" allowBlank="1" showInputMessage="1" showErrorMessage="1" sqref="L1">
      <formula1>drpBoolean</formula1>
    </dataValidation>
    <dataValidation type="list" allowBlank="1" showInputMessage="1" showErrorMessage="1" sqref="H3:H6">
      <formula1>drpTypes</formula1>
    </dataValidation>
    <dataValidation type="list" allowBlank="1" showInputMessage="1" showErrorMessage="1" sqref="A3:A55">
      <formula1>drpDimAttrMeas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M1" location="'Concept Scheme'!M1" display="Update DSD Matrix Concepts and CLs"/>
    <hyperlink ref="E3" location="CL_MEASURE!A1" display="CL_MEASURE"/>
    <hyperlink ref="E4" location="CL_AGGREGATION_OPERATION!A1" display="CL_AGGREGATION_OPERATION"/>
    <hyperlink ref="E5" location="CL_UNIT_MEASURE!A1" display="CL_UNIT_MEASURE"/>
    <hyperlink ref="E6" location="CL_AREA!A1" display="CL_AREA"/>
    <hyperlink ref="E10" location="CL_CONF_STATUS!A1" display="CL_CONF_STATUS"/>
    <hyperlink ref="E12" location="CL_OBS_STATUS!A1" display="CL_OBS_STATUS"/>
    <hyperlink ref="E13" location="CL_UNIT_MULT!A1" display="CL_UNIT_MULT"/>
    <hyperlink ref="E8" location="CL_FREQ!A1" display="CL_FREQ"/>
    <hyperlink ref="E11"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sheetPr>
  <dimension ref="A1:O57"/>
  <sheetViews>
    <sheetView zoomScale="85" zoomScaleNormal="85" workbookViewId="0">
      <pane xSplit="2" ySplit="2" topLeftCell="C3" activePane="bottomRight" state="frozen"/>
      <selection activeCell="C49" sqref="C49"/>
      <selection pane="topRight" activeCell="C49" sqref="C49"/>
      <selection pane="bottomLeft" activeCell="C49" sqref="C49"/>
      <selection pane="bottomRight" activeCell="A10" sqref="A10:XFD10"/>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31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541</v>
      </c>
      <c r="C1" s="150" t="s">
        <v>47</v>
      </c>
      <c r="D1" s="151" t="s">
        <v>137</v>
      </c>
      <c r="E1" s="148" t="s">
        <v>216</v>
      </c>
      <c r="F1" s="149" t="s">
        <v>1273</v>
      </c>
      <c r="G1" s="316" t="s">
        <v>215</v>
      </c>
      <c r="H1" s="149" t="s">
        <v>1274</v>
      </c>
      <c r="I1" s="148" t="s">
        <v>9</v>
      </c>
      <c r="J1" s="194"/>
      <c r="K1" s="153" t="s">
        <v>282</v>
      </c>
      <c r="L1" s="154" t="b">
        <v>0</v>
      </c>
      <c r="M1" s="310" t="s">
        <v>497</v>
      </c>
      <c r="N1" s="311"/>
      <c r="O1" s="311"/>
    </row>
    <row r="2" spans="1:15" s="140" customFormat="1" ht="38.25" x14ac:dyDescent="0.2">
      <c r="A2" s="199" t="s">
        <v>52</v>
      </c>
      <c r="B2" s="199" t="s">
        <v>114</v>
      </c>
      <c r="C2" s="200" t="s">
        <v>4</v>
      </c>
      <c r="D2" s="199" t="s">
        <v>115</v>
      </c>
      <c r="E2" s="201" t="s">
        <v>55</v>
      </c>
      <c r="F2" s="201" t="s">
        <v>54</v>
      </c>
      <c r="G2" s="202" t="s">
        <v>47</v>
      </c>
      <c r="H2" s="203" t="s">
        <v>49</v>
      </c>
      <c r="I2" s="203" t="s">
        <v>369</v>
      </c>
      <c r="J2" s="203" t="s">
        <v>370</v>
      </c>
      <c r="K2" s="204" t="s">
        <v>434</v>
      </c>
    </row>
    <row r="3" spans="1:15" s="144" customFormat="1" ht="90" x14ac:dyDescent="0.2">
      <c r="A3" s="238" t="s">
        <v>3</v>
      </c>
      <c r="B3" s="239" t="s">
        <v>201</v>
      </c>
      <c r="C3" s="239" t="s">
        <v>202</v>
      </c>
      <c r="D3" s="239" t="s">
        <v>226</v>
      </c>
      <c r="E3" s="265" t="s">
        <v>230</v>
      </c>
      <c r="F3" s="239" t="s">
        <v>541</v>
      </c>
      <c r="G3" s="266">
        <v>1</v>
      </c>
      <c r="H3" s="239" t="s">
        <v>50</v>
      </c>
      <c r="K3" s="145"/>
    </row>
    <row r="4" spans="1:15" s="144" customFormat="1" ht="12.75" customHeight="1" x14ac:dyDescent="0.2">
      <c r="A4" s="238" t="s">
        <v>3</v>
      </c>
      <c r="B4" s="240" t="s">
        <v>542</v>
      </c>
      <c r="C4" s="239" t="s">
        <v>560</v>
      </c>
      <c r="D4" s="239" t="s">
        <v>561</v>
      </c>
      <c r="E4" s="265" t="s">
        <v>676</v>
      </c>
      <c r="F4" s="239" t="s">
        <v>541</v>
      </c>
      <c r="G4" s="266">
        <v>1</v>
      </c>
      <c r="H4" s="239" t="s">
        <v>50</v>
      </c>
      <c r="K4" s="145"/>
    </row>
    <row r="5" spans="1:15" s="144" customFormat="1" ht="30" x14ac:dyDescent="0.2">
      <c r="A5" s="238" t="s">
        <v>3</v>
      </c>
      <c r="B5" s="240" t="s">
        <v>544</v>
      </c>
      <c r="C5" s="239" t="s">
        <v>562</v>
      </c>
      <c r="D5" s="239" t="s">
        <v>563</v>
      </c>
      <c r="E5" s="265" t="s">
        <v>19</v>
      </c>
      <c r="F5" s="245" t="s">
        <v>15</v>
      </c>
      <c r="G5" s="267">
        <v>2</v>
      </c>
      <c r="H5" s="239" t="s">
        <v>50</v>
      </c>
      <c r="K5" s="145"/>
    </row>
    <row r="6" spans="1:15" s="144" customFormat="1" ht="12.75" customHeight="1" x14ac:dyDescent="0.2">
      <c r="A6" s="238" t="s">
        <v>3</v>
      </c>
      <c r="B6" s="239" t="s">
        <v>543</v>
      </c>
      <c r="C6" s="239" t="s">
        <v>564</v>
      </c>
      <c r="D6" s="239" t="s">
        <v>565</v>
      </c>
      <c r="E6" s="265" t="s">
        <v>677</v>
      </c>
      <c r="F6" s="239" t="s">
        <v>541</v>
      </c>
      <c r="G6" s="266">
        <v>1</v>
      </c>
      <c r="H6" s="239" t="s">
        <v>50</v>
      </c>
      <c r="K6" s="145"/>
    </row>
    <row r="7" spans="1:15" s="144" customFormat="1" ht="15" x14ac:dyDescent="0.2">
      <c r="A7" s="238" t="s">
        <v>3</v>
      </c>
      <c r="B7" s="239" t="s">
        <v>545</v>
      </c>
      <c r="C7" s="239" t="s">
        <v>566</v>
      </c>
      <c r="D7" s="239" t="s">
        <v>566</v>
      </c>
      <c r="E7" s="265" t="s">
        <v>678</v>
      </c>
      <c r="F7" s="239" t="s">
        <v>541</v>
      </c>
      <c r="G7" s="266">
        <v>1</v>
      </c>
      <c r="H7" s="239" t="s">
        <v>50</v>
      </c>
      <c r="K7" s="146"/>
    </row>
    <row r="8" spans="1:15" s="144" customFormat="1" ht="38.25" customHeight="1" x14ac:dyDescent="0.2">
      <c r="A8" s="238" t="s">
        <v>3</v>
      </c>
      <c r="B8" s="239" t="s">
        <v>20</v>
      </c>
      <c r="C8" s="239" t="s">
        <v>203</v>
      </c>
      <c r="D8" s="239" t="s">
        <v>227</v>
      </c>
      <c r="E8" s="265" t="s">
        <v>231</v>
      </c>
      <c r="F8" s="239" t="s">
        <v>541</v>
      </c>
      <c r="G8" s="266">
        <v>1</v>
      </c>
      <c r="H8" s="239" t="s">
        <v>50</v>
      </c>
      <c r="J8" s="147"/>
      <c r="K8" s="146"/>
    </row>
    <row r="9" spans="1:15" s="144" customFormat="1" ht="60" x14ac:dyDescent="0.2">
      <c r="A9" s="241" t="s">
        <v>3</v>
      </c>
      <c r="B9" s="242" t="s">
        <v>16</v>
      </c>
      <c r="C9" s="242" t="s">
        <v>17</v>
      </c>
      <c r="D9" s="243" t="s">
        <v>228</v>
      </c>
      <c r="E9" s="265" t="s">
        <v>229</v>
      </c>
      <c r="F9" s="239" t="s">
        <v>679</v>
      </c>
      <c r="G9" s="266">
        <v>1.9</v>
      </c>
      <c r="H9" s="239" t="s">
        <v>50</v>
      </c>
      <c r="K9" s="146"/>
    </row>
    <row r="10" spans="1:15" s="144" customFormat="1" ht="38.25" customHeight="1" x14ac:dyDescent="0.2">
      <c r="A10" s="241" t="s">
        <v>3</v>
      </c>
      <c r="B10" s="242" t="s">
        <v>16</v>
      </c>
      <c r="C10" s="242" t="s">
        <v>17</v>
      </c>
      <c r="D10" s="243" t="s">
        <v>228</v>
      </c>
      <c r="E10" s="265" t="s">
        <v>680</v>
      </c>
      <c r="F10" s="239" t="s">
        <v>535</v>
      </c>
      <c r="G10" s="317">
        <v>3</v>
      </c>
      <c r="H10" s="239" t="s">
        <v>50</v>
      </c>
      <c r="J10" s="147"/>
      <c r="K10" s="146"/>
    </row>
    <row r="11" spans="1:15" s="144" customFormat="1" ht="75" x14ac:dyDescent="0.2">
      <c r="A11" s="238" t="s">
        <v>3</v>
      </c>
      <c r="B11" s="239" t="s">
        <v>567</v>
      </c>
      <c r="C11" s="239" t="s">
        <v>568</v>
      </c>
      <c r="D11" s="239" t="s">
        <v>569</v>
      </c>
      <c r="E11" s="265" t="s">
        <v>681</v>
      </c>
      <c r="F11" s="239" t="s">
        <v>541</v>
      </c>
      <c r="G11" s="266">
        <v>1</v>
      </c>
      <c r="H11" s="239" t="s">
        <v>50</v>
      </c>
      <c r="K11" s="146"/>
    </row>
    <row r="12" spans="1:15" s="144" customFormat="1" ht="30" x14ac:dyDescent="0.2">
      <c r="A12" s="238" t="s">
        <v>3</v>
      </c>
      <c r="B12" s="239" t="s">
        <v>546</v>
      </c>
      <c r="C12" s="239" t="s">
        <v>570</v>
      </c>
      <c r="D12" s="239" t="s">
        <v>571</v>
      </c>
      <c r="E12" s="265" t="s">
        <v>682</v>
      </c>
      <c r="F12" s="245" t="s">
        <v>15</v>
      </c>
      <c r="G12" s="266">
        <v>2.1</v>
      </c>
      <c r="H12" s="239" t="s">
        <v>50</v>
      </c>
      <c r="K12" s="146"/>
    </row>
    <row r="13" spans="1:15" s="144" customFormat="1" ht="30" x14ac:dyDescent="0.2">
      <c r="A13" s="238" t="s">
        <v>3</v>
      </c>
      <c r="B13" s="239" t="s">
        <v>547</v>
      </c>
      <c r="C13" s="239" t="s">
        <v>572</v>
      </c>
      <c r="D13" s="239" t="s">
        <v>573</v>
      </c>
      <c r="E13" s="265" t="s">
        <v>683</v>
      </c>
      <c r="F13" s="239" t="s">
        <v>541</v>
      </c>
      <c r="G13" s="266">
        <v>1</v>
      </c>
      <c r="H13" s="239" t="s">
        <v>50</v>
      </c>
      <c r="J13" s="147"/>
      <c r="K13" s="146"/>
    </row>
    <row r="14" spans="1:15" ht="90" x14ac:dyDescent="0.2">
      <c r="A14" s="238" t="s">
        <v>3</v>
      </c>
      <c r="B14" s="239" t="s">
        <v>256</v>
      </c>
      <c r="C14" s="239" t="s">
        <v>574</v>
      </c>
      <c r="D14" s="239" t="s">
        <v>575</v>
      </c>
      <c r="E14" s="265" t="s">
        <v>684</v>
      </c>
      <c r="F14" s="239" t="s">
        <v>541</v>
      </c>
      <c r="G14" s="266">
        <v>1</v>
      </c>
      <c r="H14" s="239" t="s">
        <v>50</v>
      </c>
      <c r="I14" s="24"/>
      <c r="J14" s="195"/>
      <c r="K14" s="139"/>
    </row>
    <row r="15" spans="1:15" ht="75" x14ac:dyDescent="0.2">
      <c r="A15" s="238" t="s">
        <v>3</v>
      </c>
      <c r="B15" s="239" t="s">
        <v>548</v>
      </c>
      <c r="C15" s="239" t="s">
        <v>576</v>
      </c>
      <c r="D15" s="239" t="s">
        <v>577</v>
      </c>
      <c r="E15" s="265" t="s">
        <v>685</v>
      </c>
      <c r="F15" s="239" t="s">
        <v>541</v>
      </c>
      <c r="G15" s="266">
        <v>1</v>
      </c>
      <c r="H15" s="239" t="s">
        <v>50</v>
      </c>
      <c r="I15" s="24"/>
      <c r="J15" s="195"/>
      <c r="K15" s="139"/>
    </row>
    <row r="16" spans="1:15" ht="120" x14ac:dyDescent="0.2">
      <c r="A16" s="238" t="s">
        <v>3</v>
      </c>
      <c r="B16" s="239" t="s">
        <v>549</v>
      </c>
      <c r="C16" s="239" t="s">
        <v>578</v>
      </c>
      <c r="D16" s="239" t="s">
        <v>579</v>
      </c>
      <c r="E16" s="265" t="s">
        <v>686</v>
      </c>
      <c r="F16" s="239" t="s">
        <v>687</v>
      </c>
      <c r="G16" s="266">
        <v>1</v>
      </c>
      <c r="H16" s="239" t="s">
        <v>50</v>
      </c>
      <c r="I16" s="24"/>
    </row>
    <row r="17" spans="1:9" ht="75" x14ac:dyDescent="0.2">
      <c r="A17" s="238" t="s">
        <v>3</v>
      </c>
      <c r="B17" s="239" t="s">
        <v>550</v>
      </c>
      <c r="C17" s="239" t="s">
        <v>580</v>
      </c>
      <c r="D17" s="239" t="s">
        <v>581</v>
      </c>
      <c r="E17" s="265" t="s">
        <v>688</v>
      </c>
      <c r="F17" s="239" t="s">
        <v>541</v>
      </c>
      <c r="G17" s="266">
        <v>1</v>
      </c>
      <c r="H17" s="239" t="s">
        <v>50</v>
      </c>
      <c r="I17" s="24"/>
    </row>
    <row r="18" spans="1:9" ht="45" x14ac:dyDescent="0.2">
      <c r="A18" s="238" t="s">
        <v>3</v>
      </c>
      <c r="B18" s="239" t="s">
        <v>551</v>
      </c>
      <c r="C18" s="244" t="s">
        <v>582</v>
      </c>
      <c r="D18" s="239" t="s">
        <v>583</v>
      </c>
      <c r="E18" s="265" t="s">
        <v>689</v>
      </c>
      <c r="F18" s="239" t="s">
        <v>541</v>
      </c>
      <c r="G18" s="266">
        <v>1</v>
      </c>
      <c r="H18" s="239" t="s">
        <v>50</v>
      </c>
      <c r="I18" s="24"/>
    </row>
    <row r="19" spans="1:9" ht="12.75" customHeight="1" x14ac:dyDescent="0.2">
      <c r="A19" s="238" t="s">
        <v>3</v>
      </c>
      <c r="B19" s="239" t="s">
        <v>552</v>
      </c>
      <c r="C19" s="239" t="s">
        <v>584</v>
      </c>
      <c r="D19" s="239" t="s">
        <v>585</v>
      </c>
      <c r="E19" s="265" t="s">
        <v>690</v>
      </c>
      <c r="F19" s="239" t="s">
        <v>541</v>
      </c>
      <c r="G19" s="266">
        <v>1</v>
      </c>
      <c r="H19" s="239" t="s">
        <v>50</v>
      </c>
      <c r="I19" s="24"/>
    </row>
    <row r="20" spans="1:9" ht="75" x14ac:dyDescent="0.2">
      <c r="A20" s="238" t="s">
        <v>3</v>
      </c>
      <c r="B20" s="239" t="s">
        <v>553</v>
      </c>
      <c r="C20" s="239" t="s">
        <v>586</v>
      </c>
      <c r="D20" s="239" t="s">
        <v>587</v>
      </c>
      <c r="E20" s="265" t="s">
        <v>691</v>
      </c>
      <c r="F20" s="239" t="s">
        <v>15</v>
      </c>
      <c r="G20" s="266">
        <v>1</v>
      </c>
      <c r="H20" s="239" t="s">
        <v>50</v>
      </c>
      <c r="I20" s="24"/>
    </row>
    <row r="21" spans="1:9" ht="45" x14ac:dyDescent="0.2">
      <c r="A21" s="238" t="s">
        <v>3</v>
      </c>
      <c r="B21" s="245" t="s">
        <v>554</v>
      </c>
      <c r="C21" s="239" t="s">
        <v>588</v>
      </c>
      <c r="D21" s="240" t="s">
        <v>589</v>
      </c>
      <c r="E21" s="265" t="s">
        <v>692</v>
      </c>
      <c r="F21" s="239" t="s">
        <v>541</v>
      </c>
      <c r="G21" s="266">
        <v>1</v>
      </c>
      <c r="H21" s="239" t="s">
        <v>50</v>
      </c>
      <c r="I21" s="24"/>
    </row>
    <row r="22" spans="1:9" ht="45" x14ac:dyDescent="0.2">
      <c r="A22" s="238" t="s">
        <v>3</v>
      </c>
      <c r="B22" s="240" t="s">
        <v>555</v>
      </c>
      <c r="C22" s="240" t="s">
        <v>590</v>
      </c>
      <c r="D22" s="240" t="s">
        <v>591</v>
      </c>
      <c r="E22" s="268" t="s">
        <v>229</v>
      </c>
      <c r="F22" s="239" t="s">
        <v>541</v>
      </c>
      <c r="G22" s="266">
        <v>1</v>
      </c>
      <c r="H22" s="239" t="s">
        <v>50</v>
      </c>
      <c r="I22" s="24"/>
    </row>
    <row r="23" spans="1:9" ht="30" x14ac:dyDescent="0.2">
      <c r="A23" s="238" t="s">
        <v>3</v>
      </c>
      <c r="B23" s="239" t="s">
        <v>556</v>
      </c>
      <c r="C23" s="240" t="s">
        <v>592</v>
      </c>
      <c r="D23" s="240" t="s">
        <v>593</v>
      </c>
      <c r="E23" s="268" t="s">
        <v>229</v>
      </c>
      <c r="F23" s="239" t="s">
        <v>541</v>
      </c>
      <c r="G23" s="266">
        <v>1</v>
      </c>
      <c r="H23" s="239" t="s">
        <v>50</v>
      </c>
      <c r="I23" s="24"/>
    </row>
    <row r="24" spans="1:9" ht="105" x14ac:dyDescent="0.2">
      <c r="A24" s="238" t="s">
        <v>3</v>
      </c>
      <c r="B24" s="240" t="s">
        <v>557</v>
      </c>
      <c r="C24" s="239" t="s">
        <v>594</v>
      </c>
      <c r="D24" s="239" t="s">
        <v>595</v>
      </c>
      <c r="E24" s="268" t="s">
        <v>693</v>
      </c>
      <c r="F24" s="239" t="s">
        <v>541</v>
      </c>
      <c r="G24" s="266">
        <v>1</v>
      </c>
      <c r="H24" s="239" t="s">
        <v>50</v>
      </c>
      <c r="I24" s="24"/>
    </row>
    <row r="25" spans="1:9" ht="75" x14ac:dyDescent="0.2">
      <c r="A25" s="238" t="s">
        <v>3</v>
      </c>
      <c r="B25" s="240" t="s">
        <v>558</v>
      </c>
      <c r="C25" s="239" t="s">
        <v>596</v>
      </c>
      <c r="D25" s="239" t="s">
        <v>597</v>
      </c>
      <c r="E25" s="268" t="s">
        <v>694</v>
      </c>
      <c r="F25" s="239" t="s">
        <v>541</v>
      </c>
      <c r="G25" s="266">
        <v>1</v>
      </c>
      <c r="H25" s="239" t="s">
        <v>50</v>
      </c>
      <c r="I25" s="24"/>
    </row>
    <row r="26" spans="1:9" ht="15" x14ac:dyDescent="0.2">
      <c r="A26" s="238" t="s">
        <v>3</v>
      </c>
      <c r="B26" s="246" t="s">
        <v>598</v>
      </c>
      <c r="C26" s="246" t="s">
        <v>599</v>
      </c>
      <c r="D26" s="77" t="s">
        <v>600</v>
      </c>
      <c r="E26" s="268" t="s">
        <v>695</v>
      </c>
      <c r="F26" s="239" t="s">
        <v>541</v>
      </c>
      <c r="G26" s="266">
        <v>1</v>
      </c>
      <c r="H26" s="239" t="s">
        <v>50</v>
      </c>
      <c r="I26" s="24"/>
    </row>
    <row r="27" spans="1:9" ht="45" x14ac:dyDescent="0.2">
      <c r="A27" s="247" t="s">
        <v>22</v>
      </c>
      <c r="B27" s="245" t="s">
        <v>44</v>
      </c>
      <c r="C27" s="245" t="s">
        <v>53</v>
      </c>
      <c r="D27" s="239" t="s">
        <v>601</v>
      </c>
      <c r="E27" s="269" t="s">
        <v>56</v>
      </c>
      <c r="F27" s="245"/>
      <c r="G27" s="267"/>
      <c r="H27" s="245" t="s">
        <v>696</v>
      </c>
      <c r="I27" s="24"/>
    </row>
    <row r="28" spans="1:9" ht="45" x14ac:dyDescent="0.2">
      <c r="A28" s="247" t="s">
        <v>21</v>
      </c>
      <c r="B28" s="245" t="s">
        <v>18</v>
      </c>
      <c r="C28" s="245" t="s">
        <v>5</v>
      </c>
      <c r="D28" s="239" t="s">
        <v>602</v>
      </c>
      <c r="E28" s="265" t="s">
        <v>19</v>
      </c>
      <c r="F28" s="245" t="s">
        <v>15</v>
      </c>
      <c r="G28" s="267">
        <v>2</v>
      </c>
      <c r="H28" s="245" t="s">
        <v>50</v>
      </c>
      <c r="I28" s="24"/>
    </row>
    <row r="29" spans="1:9" ht="12.75" customHeight="1" x14ac:dyDescent="0.2">
      <c r="A29" s="241" t="s">
        <v>3</v>
      </c>
      <c r="B29" s="248" t="s">
        <v>559</v>
      </c>
      <c r="C29" s="245" t="s">
        <v>603</v>
      </c>
      <c r="D29" s="239" t="s">
        <v>604</v>
      </c>
      <c r="E29" s="265" t="s">
        <v>697</v>
      </c>
      <c r="F29" s="239" t="s">
        <v>541</v>
      </c>
      <c r="G29" s="266">
        <v>1</v>
      </c>
      <c r="H29" s="239" t="s">
        <v>50</v>
      </c>
      <c r="I29" s="24"/>
    </row>
    <row r="30" spans="1:9" ht="12.75" customHeight="1" x14ac:dyDescent="0.2">
      <c r="A30" s="241" t="s">
        <v>1</v>
      </c>
      <c r="B30" s="245" t="s">
        <v>41</v>
      </c>
      <c r="C30" s="245" t="s">
        <v>42</v>
      </c>
      <c r="D30" s="239" t="s">
        <v>605</v>
      </c>
      <c r="E30" s="269" t="s">
        <v>56</v>
      </c>
      <c r="F30" s="245"/>
      <c r="G30" s="267"/>
      <c r="H30" s="245" t="s">
        <v>113</v>
      </c>
      <c r="I30" s="24"/>
    </row>
    <row r="31" spans="1:9" ht="30" x14ac:dyDescent="0.2">
      <c r="A31" s="249" t="s">
        <v>225</v>
      </c>
      <c r="B31" s="250" t="s">
        <v>606</v>
      </c>
      <c r="C31" s="245" t="s">
        <v>607</v>
      </c>
      <c r="D31" s="239" t="s">
        <v>608</v>
      </c>
      <c r="E31" s="265" t="s">
        <v>698</v>
      </c>
      <c r="F31" s="270" t="s">
        <v>15</v>
      </c>
      <c r="G31" s="267">
        <v>1</v>
      </c>
      <c r="H31" s="239" t="s">
        <v>50</v>
      </c>
      <c r="I31" s="24"/>
    </row>
    <row r="32" spans="1:9" ht="60" x14ac:dyDescent="0.2">
      <c r="A32" s="249" t="s">
        <v>225</v>
      </c>
      <c r="B32" s="250" t="s">
        <v>27</v>
      </c>
      <c r="C32" s="245" t="s">
        <v>36</v>
      </c>
      <c r="D32" s="239" t="s">
        <v>609</v>
      </c>
      <c r="E32" s="265" t="s">
        <v>32</v>
      </c>
      <c r="F32" s="270" t="s">
        <v>15</v>
      </c>
      <c r="G32" s="271">
        <v>1.2</v>
      </c>
      <c r="H32" s="245" t="s">
        <v>50</v>
      </c>
      <c r="I32" s="24"/>
    </row>
    <row r="33" spans="1:9" ht="45" x14ac:dyDescent="0.2">
      <c r="A33" s="249" t="s">
        <v>26</v>
      </c>
      <c r="B33" s="250" t="s">
        <v>28</v>
      </c>
      <c r="C33" s="245" t="s">
        <v>37</v>
      </c>
      <c r="D33" s="239" t="s">
        <v>610</v>
      </c>
      <c r="E33" s="269" t="s">
        <v>56</v>
      </c>
      <c r="F33" s="270" t="s">
        <v>15</v>
      </c>
      <c r="G33" s="271"/>
      <c r="H33" s="245" t="s">
        <v>51</v>
      </c>
      <c r="I33" s="24"/>
    </row>
    <row r="34" spans="1:9" ht="45" x14ac:dyDescent="0.2">
      <c r="A34" s="249" t="s">
        <v>225</v>
      </c>
      <c r="B34" s="250" t="s">
        <v>29</v>
      </c>
      <c r="C34" s="245" t="s">
        <v>38</v>
      </c>
      <c r="D34" s="239" t="s">
        <v>611</v>
      </c>
      <c r="E34" s="268" t="s">
        <v>33</v>
      </c>
      <c r="F34" s="270" t="s">
        <v>15</v>
      </c>
      <c r="G34" s="272">
        <v>2.1</v>
      </c>
      <c r="H34" s="245" t="s">
        <v>50</v>
      </c>
      <c r="I34" s="24"/>
    </row>
    <row r="35" spans="1:9" ht="75" x14ac:dyDescent="0.2">
      <c r="A35" s="249" t="s">
        <v>612</v>
      </c>
      <c r="B35" s="250" t="s">
        <v>613</v>
      </c>
      <c r="C35" s="245" t="s">
        <v>614</v>
      </c>
      <c r="D35" s="239" t="s">
        <v>615</v>
      </c>
      <c r="E35" s="268" t="s">
        <v>699</v>
      </c>
      <c r="F35" s="239" t="s">
        <v>541</v>
      </c>
      <c r="G35" s="266">
        <v>1</v>
      </c>
      <c r="H35" s="239" t="s">
        <v>50</v>
      </c>
      <c r="I35" s="24"/>
    </row>
    <row r="36" spans="1:9" ht="30" x14ac:dyDescent="0.2">
      <c r="A36" s="249" t="s">
        <v>616</v>
      </c>
      <c r="B36" s="250" t="s">
        <v>30</v>
      </c>
      <c r="C36" s="245" t="s">
        <v>39</v>
      </c>
      <c r="D36" s="239" t="s">
        <v>617</v>
      </c>
      <c r="E36" s="268" t="s">
        <v>34</v>
      </c>
      <c r="F36" s="270" t="s">
        <v>15</v>
      </c>
      <c r="G36" s="271">
        <v>1</v>
      </c>
      <c r="H36" s="245" t="s">
        <v>50</v>
      </c>
      <c r="I36" s="24"/>
    </row>
    <row r="37" spans="1:9" ht="105" x14ac:dyDescent="0.2">
      <c r="A37" s="249" t="s">
        <v>441</v>
      </c>
      <c r="B37" s="251" t="s">
        <v>31</v>
      </c>
      <c r="C37" s="252" t="s">
        <v>40</v>
      </c>
      <c r="D37" s="239" t="s">
        <v>618</v>
      </c>
      <c r="E37" s="268" t="s">
        <v>35</v>
      </c>
      <c r="F37" s="270" t="s">
        <v>15</v>
      </c>
      <c r="G37" s="271">
        <v>1.1000000000000001</v>
      </c>
      <c r="H37" s="245" t="s">
        <v>51</v>
      </c>
      <c r="I37" s="24"/>
    </row>
    <row r="38" spans="1:9" ht="60" x14ac:dyDescent="0.2">
      <c r="A38" s="249" t="s">
        <v>26</v>
      </c>
      <c r="B38" s="252" t="s">
        <v>619</v>
      </c>
      <c r="C38" s="253" t="s">
        <v>620</v>
      </c>
      <c r="D38" s="240" t="s">
        <v>621</v>
      </c>
      <c r="E38" s="269" t="s">
        <v>56</v>
      </c>
      <c r="F38" s="239"/>
      <c r="G38" s="266"/>
      <c r="H38" s="239" t="s">
        <v>50</v>
      </c>
      <c r="I38" s="24"/>
    </row>
    <row r="39" spans="1:9" ht="45" x14ac:dyDescent="0.2">
      <c r="A39" s="254" t="s">
        <v>26</v>
      </c>
      <c r="B39" s="252" t="s">
        <v>622</v>
      </c>
      <c r="C39" s="252" t="s">
        <v>623</v>
      </c>
      <c r="D39" s="239" t="s">
        <v>624</v>
      </c>
      <c r="E39" s="269" t="s">
        <v>56</v>
      </c>
      <c r="F39" s="270"/>
      <c r="G39" s="271"/>
      <c r="H39" s="239" t="s">
        <v>50</v>
      </c>
      <c r="I39" s="24"/>
    </row>
    <row r="40" spans="1:9" ht="45" x14ac:dyDescent="0.2">
      <c r="A40" s="249" t="s">
        <v>225</v>
      </c>
      <c r="B40" s="251" t="s">
        <v>625</v>
      </c>
      <c r="C40" s="252" t="s">
        <v>626</v>
      </c>
      <c r="D40" s="239" t="s">
        <v>627</v>
      </c>
      <c r="E40" s="269" t="s">
        <v>56</v>
      </c>
      <c r="F40" s="270"/>
      <c r="G40" s="267"/>
      <c r="H40" s="245" t="s">
        <v>50</v>
      </c>
      <c r="I40" s="24"/>
    </row>
    <row r="41" spans="1:9" ht="30" x14ac:dyDescent="0.2">
      <c r="A41" s="249" t="s">
        <v>442</v>
      </c>
      <c r="B41" s="251" t="s">
        <v>628</v>
      </c>
      <c r="C41" s="252" t="s">
        <v>629</v>
      </c>
      <c r="D41" s="239" t="s">
        <v>630</v>
      </c>
      <c r="E41" s="269" t="s">
        <v>56</v>
      </c>
      <c r="F41" s="270"/>
      <c r="G41" s="267"/>
      <c r="H41" s="245" t="s">
        <v>50</v>
      </c>
      <c r="I41" s="24"/>
    </row>
    <row r="42" spans="1:9" ht="90" x14ac:dyDescent="0.2">
      <c r="A42" s="249" t="s">
        <v>26</v>
      </c>
      <c r="B42" s="251" t="s">
        <v>632</v>
      </c>
      <c r="C42" s="252" t="s">
        <v>633</v>
      </c>
      <c r="D42" s="240" t="s">
        <v>634</v>
      </c>
      <c r="E42" s="273" t="s">
        <v>700</v>
      </c>
      <c r="F42" s="239" t="s">
        <v>15</v>
      </c>
      <c r="G42" s="267">
        <v>1</v>
      </c>
      <c r="H42" s="239" t="s">
        <v>50</v>
      </c>
      <c r="I42" s="24"/>
    </row>
    <row r="43" spans="1:9" ht="150" x14ac:dyDescent="0.2">
      <c r="A43" s="249" t="s">
        <v>225</v>
      </c>
      <c r="B43" s="251" t="s">
        <v>635</v>
      </c>
      <c r="C43" s="252" t="s">
        <v>636</v>
      </c>
      <c r="D43" s="240" t="s">
        <v>637</v>
      </c>
      <c r="E43" s="268" t="s">
        <v>701</v>
      </c>
      <c r="F43" s="239" t="s">
        <v>679</v>
      </c>
      <c r="G43" s="267">
        <v>1.7</v>
      </c>
      <c r="H43" s="239" t="s">
        <v>50</v>
      </c>
      <c r="I43" s="24"/>
    </row>
    <row r="44" spans="1:9" ht="15" x14ac:dyDescent="0.2">
      <c r="A44" s="249" t="s">
        <v>225</v>
      </c>
      <c r="B44" s="251" t="s">
        <v>638</v>
      </c>
      <c r="C44" s="252" t="s">
        <v>639</v>
      </c>
      <c r="D44" s="240" t="s">
        <v>639</v>
      </c>
      <c r="E44" s="268" t="s">
        <v>701</v>
      </c>
      <c r="F44" s="239" t="s">
        <v>679</v>
      </c>
      <c r="G44" s="267">
        <v>1.7</v>
      </c>
      <c r="H44" s="239" t="s">
        <v>50</v>
      </c>
      <c r="I44" s="24"/>
    </row>
    <row r="45" spans="1:9" ht="30" x14ac:dyDescent="0.2">
      <c r="A45" s="249" t="s">
        <v>640</v>
      </c>
      <c r="B45" s="251" t="s">
        <v>641</v>
      </c>
      <c r="C45" s="252" t="s">
        <v>642</v>
      </c>
      <c r="D45" s="240" t="s">
        <v>642</v>
      </c>
      <c r="E45" s="269" t="s">
        <v>56</v>
      </c>
      <c r="F45" s="270"/>
      <c r="G45" s="266"/>
      <c r="H45" s="245" t="s">
        <v>702</v>
      </c>
      <c r="I45" s="24"/>
    </row>
    <row r="46" spans="1:9" ht="60" x14ac:dyDescent="0.2">
      <c r="A46" s="249" t="s">
        <v>631</v>
      </c>
      <c r="B46" s="251" t="s">
        <v>643</v>
      </c>
      <c r="C46" s="255" t="s">
        <v>644</v>
      </c>
      <c r="D46" s="240" t="s">
        <v>645</v>
      </c>
      <c r="E46" s="269" t="s">
        <v>56</v>
      </c>
      <c r="F46" s="270"/>
      <c r="G46" s="266"/>
      <c r="H46" s="245" t="s">
        <v>702</v>
      </c>
    </row>
    <row r="47" spans="1:9" ht="60" x14ac:dyDescent="0.2">
      <c r="A47" s="256" t="s">
        <v>225</v>
      </c>
      <c r="B47" s="252" t="s">
        <v>646</v>
      </c>
      <c r="C47" s="252" t="s">
        <v>647</v>
      </c>
      <c r="D47" s="239" t="s">
        <v>648</v>
      </c>
      <c r="E47" s="269" t="s">
        <v>56</v>
      </c>
      <c r="F47" s="270"/>
      <c r="G47" s="266"/>
      <c r="H47" s="245" t="s">
        <v>703</v>
      </c>
    </row>
    <row r="48" spans="1:9" ht="30" x14ac:dyDescent="0.2">
      <c r="A48" s="257" t="s">
        <v>225</v>
      </c>
      <c r="B48" s="258" t="s">
        <v>649</v>
      </c>
      <c r="C48" s="259" t="s">
        <v>650</v>
      </c>
      <c r="D48" s="258" t="s">
        <v>651</v>
      </c>
      <c r="E48" s="274" t="s">
        <v>704</v>
      </c>
      <c r="F48" s="260" t="s">
        <v>541</v>
      </c>
      <c r="G48" s="266">
        <v>1</v>
      </c>
      <c r="H48" s="239" t="s">
        <v>50</v>
      </c>
    </row>
    <row r="49" spans="1:8" ht="30" x14ac:dyDescent="0.2">
      <c r="A49" s="257" t="s">
        <v>225</v>
      </c>
      <c r="B49" s="260" t="s">
        <v>652</v>
      </c>
      <c r="C49" s="261" t="s">
        <v>653</v>
      </c>
      <c r="D49" s="261" t="s">
        <v>654</v>
      </c>
      <c r="E49" s="274" t="s">
        <v>705</v>
      </c>
      <c r="F49" s="260" t="s">
        <v>541</v>
      </c>
      <c r="G49" s="266">
        <v>1</v>
      </c>
      <c r="H49" s="239" t="s">
        <v>50</v>
      </c>
    </row>
    <row r="50" spans="1:8" ht="30" x14ac:dyDescent="0.2">
      <c r="A50" s="257" t="s">
        <v>225</v>
      </c>
      <c r="B50" s="260" t="s">
        <v>655</v>
      </c>
      <c r="C50" s="261" t="s">
        <v>656</v>
      </c>
      <c r="D50" s="261" t="s">
        <v>657</v>
      </c>
      <c r="E50" s="274" t="s">
        <v>706</v>
      </c>
      <c r="F50" s="260" t="s">
        <v>541</v>
      </c>
      <c r="G50" s="266">
        <v>1</v>
      </c>
      <c r="H50" s="239" t="s">
        <v>50</v>
      </c>
    </row>
    <row r="51" spans="1:8" ht="15" x14ac:dyDescent="0.2">
      <c r="A51" s="257" t="s">
        <v>225</v>
      </c>
      <c r="B51" s="260" t="s">
        <v>658</v>
      </c>
      <c r="C51" s="261" t="s">
        <v>659</v>
      </c>
      <c r="D51" s="261" t="s">
        <v>659</v>
      </c>
      <c r="E51" s="274" t="s">
        <v>707</v>
      </c>
      <c r="F51" s="260" t="s">
        <v>541</v>
      </c>
      <c r="G51" s="266">
        <v>1</v>
      </c>
      <c r="H51" s="239" t="s">
        <v>50</v>
      </c>
    </row>
    <row r="52" spans="1:8" ht="45" x14ac:dyDescent="0.2">
      <c r="A52" s="257" t="s">
        <v>225</v>
      </c>
      <c r="B52" s="260" t="s">
        <v>660</v>
      </c>
      <c r="C52" s="261" t="s">
        <v>661</v>
      </c>
      <c r="D52" s="239" t="s">
        <v>662</v>
      </c>
      <c r="E52" s="274" t="s">
        <v>708</v>
      </c>
      <c r="F52" s="260" t="s">
        <v>541</v>
      </c>
      <c r="G52" s="266">
        <v>1</v>
      </c>
      <c r="H52" s="239" t="s">
        <v>50</v>
      </c>
    </row>
    <row r="53" spans="1:8" ht="135" x14ac:dyDescent="0.2">
      <c r="A53" s="257" t="s">
        <v>225</v>
      </c>
      <c r="B53" s="260" t="s">
        <v>663</v>
      </c>
      <c r="C53" s="261" t="s">
        <v>664</v>
      </c>
      <c r="D53" s="260" t="s">
        <v>665</v>
      </c>
      <c r="E53" s="274" t="s">
        <v>709</v>
      </c>
      <c r="F53" s="260" t="s">
        <v>541</v>
      </c>
      <c r="G53" s="266">
        <v>1</v>
      </c>
      <c r="H53" s="239" t="s">
        <v>50</v>
      </c>
    </row>
    <row r="54" spans="1:8" ht="30" x14ac:dyDescent="0.2">
      <c r="A54" s="257" t="s">
        <v>225</v>
      </c>
      <c r="B54" s="260" t="s">
        <v>666</v>
      </c>
      <c r="C54" s="261" t="s">
        <v>667</v>
      </c>
      <c r="D54" s="261" t="s">
        <v>667</v>
      </c>
      <c r="E54" s="274" t="s">
        <v>694</v>
      </c>
      <c r="F54" s="260" t="s">
        <v>541</v>
      </c>
      <c r="G54" s="266">
        <v>1</v>
      </c>
      <c r="H54" s="260" t="s">
        <v>50</v>
      </c>
    </row>
    <row r="55" spans="1:8" ht="45" x14ac:dyDescent="0.2">
      <c r="A55" s="262" t="s">
        <v>26</v>
      </c>
      <c r="B55" s="263" t="s">
        <v>668</v>
      </c>
      <c r="C55" s="264" t="s">
        <v>669</v>
      </c>
      <c r="D55" s="239" t="s">
        <v>670</v>
      </c>
      <c r="E55" s="275" t="s">
        <v>710</v>
      </c>
      <c r="F55" s="263" t="s">
        <v>541</v>
      </c>
      <c r="G55" s="266">
        <v>1</v>
      </c>
      <c r="H55" s="239" t="s">
        <v>50</v>
      </c>
    </row>
    <row r="56" spans="1:8" ht="30" x14ac:dyDescent="0.2">
      <c r="A56" s="249" t="s">
        <v>442</v>
      </c>
      <c r="B56" s="260" t="s">
        <v>671</v>
      </c>
      <c r="C56" s="261" t="s">
        <v>672</v>
      </c>
      <c r="D56" s="261" t="s">
        <v>672</v>
      </c>
      <c r="E56" s="260" t="s">
        <v>56</v>
      </c>
      <c r="F56" s="263"/>
      <c r="G56" s="266"/>
      <c r="H56" s="239" t="s">
        <v>50</v>
      </c>
    </row>
    <row r="57" spans="1:8" ht="45" x14ac:dyDescent="0.2">
      <c r="A57" s="249" t="s">
        <v>26</v>
      </c>
      <c r="B57" s="260" t="s">
        <v>673</v>
      </c>
      <c r="C57" s="261" t="s">
        <v>674</v>
      </c>
      <c r="D57" s="239" t="s">
        <v>675</v>
      </c>
      <c r="E57" s="260" t="s">
        <v>56</v>
      </c>
      <c r="F57" s="270"/>
      <c r="G57" s="261"/>
      <c r="H57" s="239" t="s">
        <v>50</v>
      </c>
    </row>
  </sheetData>
  <conditionalFormatting sqref="H2:J2">
    <cfRule type="duplicateValues" dxfId="36" priority="1"/>
  </conditionalFormatting>
  <dataValidations count="5">
    <dataValidation type="list" allowBlank="1" showInputMessage="1" showErrorMessage="1" sqref="K3:K1048576">
      <formula1>drpConceptRoles</formula1>
    </dataValidation>
    <dataValidation type="whole" allowBlank="1" showInputMessage="1" showErrorMessage="1" sqref="I3:J1048576">
      <formula1>1</formula1>
      <formula2>999999</formula2>
    </dataValidation>
    <dataValidation type="list" allowBlank="1" showInputMessage="1" showErrorMessage="1" sqref="H3:H13">
      <formula1>drpTypes</formula1>
    </dataValidation>
    <dataValidation type="list" allowBlank="1" showInputMessage="1" showErrorMessage="1" sqref="A3:A13">
      <formula1>drpDimAttrMeas</formula1>
    </dataValidation>
    <dataValidation type="list" allowBlank="1" showInputMessage="1" showErrorMessage="1" sqref="L1">
      <formula1>drpBoolean</formula1>
    </dataValidation>
  </dataValidations>
  <hyperlinks>
    <hyperlink ref="M1" location="'Concept Scheme'!M1" display="Update DSD Matrix Concepts and CLs"/>
    <hyperlink ref="E28" location="CL_FREQ!A1" display="CL_FREQ"/>
    <hyperlink ref="E34" location="CL_OBS_STATUS!A1" display="CL_OBS_STATUS"/>
    <hyperlink ref="E12" location="CL_SEX!A1" display="CL_AGE"/>
    <hyperlink ref="E13" location="CL_AGE!A1" display="CL_AGE"/>
    <hyperlink ref="E20" location="CL_SEASONAL_ADJUST!A1" display="CL_SEASONAL_ADJUST"/>
    <hyperlink ref="E17" location="CL_ACTIVITY!A1" display="CL_ACTIVITY"/>
    <hyperlink ref="E18" location="CL_OCCUPATION!A1" display="CL_OCCUPATION"/>
    <hyperlink ref="E15" location="CL_WORKER_STATUS!A1" display="CL_WORKER_STATUS"/>
    <hyperlink ref="E21" location="CL_MIGRANT_STATUS!A1" display="CL_MIGRANT_STATUS"/>
    <hyperlink ref="E16" location="CL_EDUCATION_LEVEL!A1" display="CL_EDUCATION_LEVEL"/>
    <hyperlink ref="E25" location="CL_SIZECLASS!A1" display="CL_SIZECLASS"/>
    <hyperlink ref="E19" location="CL_DEG_URB!A1" display="CL_RURB CL_DEG_URB"/>
    <hyperlink ref="E32" location="CL_CONF_STATUS!A1" display="CL_CONF_STATUS"/>
    <hyperlink ref="E3" location="CL_MEASURE!A1" display="CL_MEASURE"/>
    <hyperlink ref="E10" location="CL_REGIONAL!A1" display="CL_REGIONAL"/>
    <hyperlink ref="E31" location="CL_CURRENCY!A1" display="CL_CURRENCY"/>
    <hyperlink ref="E36" location="CL_TIME_FORMAT!A1" display="CL_TIME_FORMAT"/>
    <hyperlink ref="E43" location="CL_ORGANISATION!A1" display="CL_ORGANISATION"/>
    <hyperlink ref="E42" location="CL_TIME_COLLECT!A1" display="CL_TIME_COLLECT"/>
    <hyperlink ref="E14" location="CL_LABOUR_FORCE_STATUS!A1" display="CL_LABOUR_FORCE_STATUS"/>
    <hyperlink ref="E4" location="CL_AGGREGATION_OPERATION!A1" display="CL_AGGREGATION_OPERATION"/>
    <hyperlink ref="E5" location="CL_FREQ!A1" display="CL_FREQ"/>
    <hyperlink ref="E7" location="CL_VALUATION!A1" display="CL_VALUE_TYPE"/>
    <hyperlink ref="E6" location="CL_HOURS_TYPE!A1" display="CL_HOURS_TYPE"/>
    <hyperlink ref="E8" location="CL_UNIT_MEASURE!A1" display="CL_UNIT_MEASURE"/>
    <hyperlink ref="E9" location="CL_AREA!A1" display="CL_AREA"/>
    <hyperlink ref="E48" location="CL_BREAK!A1" display="CL_BREAK"/>
    <hyperlink ref="E49" location="CL_COV_MAXAGE!A1" display="CL_COV_MAXAGE"/>
    <hyperlink ref="E50" location="CL_COV_MINAGE!A1" display="CL_COV_MINAGE"/>
    <hyperlink ref="E51" location="CL_COV_INST!A1" display="CL_COV_INST"/>
    <hyperlink ref="E52" location="CL_COV_GEO!A1" display="CL_COV_GEO"/>
    <hyperlink ref="E55" location="CL_MEASURE_NOTES!A1" display="CL_MEASURE_NOTES"/>
    <hyperlink ref="E37" location="CL_UNIT_MULT!A1" display="CL_UNIT_MULT"/>
    <hyperlink ref="E53" location="CL_COV_ECO!A1" display="CL_COV_ECO"/>
    <hyperlink ref="E29" location="CL_COMPOSITE_BREAKDOWN!A1" display="CL_COMP_BREAKDOWN"/>
    <hyperlink ref="E35" location="CL_COMPOSITE_BREAKDOWN_PFX!A1" display="CL_COMPOSITE_BREAKDOWN_PFX"/>
    <hyperlink ref="E22" location="CL_AREA!A1" display="CL_AREA"/>
    <hyperlink ref="E24" location="CL_PRODUNIT!A1" display="CL_PRODUNIT"/>
    <hyperlink ref="E26" location="CL_EARNINGS_CASE!A1" display="CL_EARNINGS_CASE"/>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B13" sqref="B13"/>
    </sheetView>
  </sheetViews>
  <sheetFormatPr defaultRowHeight="11.25" x14ac:dyDescent="0.2"/>
  <cols>
    <col min="1" max="1" width="9.33203125" style="282"/>
    <col min="2" max="2" width="11.1640625" style="282" customWidth="1"/>
    <col min="3" max="3" width="11.6640625" style="286" customWidth="1"/>
    <col min="4" max="4" width="33.33203125" style="282" bestFit="1" customWidth="1"/>
    <col min="5" max="5" width="34.83203125" style="282" customWidth="1"/>
    <col min="6" max="6" width="14.5" style="282" bestFit="1" customWidth="1"/>
    <col min="7" max="7" width="19" style="282" bestFit="1" customWidth="1"/>
    <col min="8" max="16384" width="9.33203125" style="282"/>
  </cols>
  <sheetData>
    <row r="1" spans="1:8" ht="15" x14ac:dyDescent="0.2">
      <c r="A1" s="279" t="s">
        <v>247</v>
      </c>
      <c r="B1" s="280" t="s">
        <v>46</v>
      </c>
      <c r="C1" s="281" t="s">
        <v>47</v>
      </c>
      <c r="D1" s="280" t="s">
        <v>215</v>
      </c>
      <c r="E1" s="280" t="s">
        <v>9</v>
      </c>
      <c r="F1" s="280" t="s">
        <v>282</v>
      </c>
      <c r="H1" s="283"/>
    </row>
    <row r="2" spans="1:8" x14ac:dyDescent="0.2">
      <c r="A2" s="284" t="s">
        <v>1282</v>
      </c>
      <c r="B2" s="284" t="s">
        <v>15</v>
      </c>
      <c r="C2" s="285" t="s">
        <v>137</v>
      </c>
      <c r="D2" s="284" t="s">
        <v>1283</v>
      </c>
      <c r="E2" s="284"/>
      <c r="F2" s="284" t="b">
        <v>0</v>
      </c>
    </row>
    <row r="40" spans="3:3" x14ac:dyDescent="0.2">
      <c r="C40" s="286">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35" priority="2"/>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115" zoomScaleNormal="115" workbookViewId="0">
      <pane ySplit="1" topLeftCell="A2" activePane="bottomLeft" state="frozen"/>
      <selection activeCell="D50" sqref="D50"/>
      <selection pane="bottomLeft" activeCell="A2" sqref="A2:F4"/>
    </sheetView>
  </sheetViews>
  <sheetFormatPr defaultRowHeight="11.25" x14ac:dyDescent="0.2"/>
  <cols>
    <col min="1" max="1" width="16.33203125" customWidth="1"/>
    <col min="2" max="2" width="10" customWidth="1"/>
    <col min="3" max="3" width="10" style="57" customWidth="1"/>
    <col min="4" max="4" width="46.33203125" customWidth="1"/>
    <col min="5" max="5" width="50.33203125" customWidth="1"/>
    <col min="6" max="6" width="13.5" customWidth="1"/>
    <col min="7" max="7" width="18" customWidth="1"/>
    <col min="8" max="8" width="17.1640625" customWidth="1"/>
    <col min="9" max="9" width="17" style="57" customWidth="1"/>
    <col min="10" max="10" width="14.5" customWidth="1"/>
    <col min="11" max="11" width="34" style="288" bestFit="1" customWidth="1"/>
  </cols>
  <sheetData>
    <row r="1" spans="1:11" x14ac:dyDescent="0.2">
      <c r="A1" t="s">
        <v>247</v>
      </c>
      <c r="B1" t="s">
        <v>46</v>
      </c>
      <c r="C1" s="57" t="s">
        <v>47</v>
      </c>
      <c r="D1" t="s">
        <v>215</v>
      </c>
      <c r="E1" t="s">
        <v>9</v>
      </c>
      <c r="F1" s="4" t="s">
        <v>282</v>
      </c>
      <c r="G1" s="4" t="s">
        <v>374</v>
      </c>
      <c r="H1" s="4" t="s">
        <v>373</v>
      </c>
      <c r="I1" s="63" t="s">
        <v>375</v>
      </c>
      <c r="J1" s="3" t="s">
        <v>361</v>
      </c>
      <c r="K1" s="288" t="s">
        <v>753</v>
      </c>
    </row>
    <row r="2" spans="1:11" ht="15" x14ac:dyDescent="0.25">
      <c r="A2" t="s">
        <v>1282</v>
      </c>
      <c r="B2" s="4" t="s">
        <v>15</v>
      </c>
      <c r="C2" s="63" t="s">
        <v>137</v>
      </c>
      <c r="D2" s="287" t="s">
        <v>1284</v>
      </c>
      <c r="E2" s="287"/>
      <c r="F2" t="b">
        <v>0</v>
      </c>
      <c r="G2" s="4" t="s">
        <v>15</v>
      </c>
      <c r="H2" s="4" t="s">
        <v>1285</v>
      </c>
      <c r="I2" s="63" t="s">
        <v>137</v>
      </c>
      <c r="J2" s="4" t="s">
        <v>1282</v>
      </c>
      <c r="K2" s="289" t="str">
        <f>FirstCharacters(D2,TRUE)</f>
        <v>TD</v>
      </c>
    </row>
    <row r="39" spans="3:3" x14ac:dyDescent="0.2">
      <c r="C39" s="57">
        <f>+C43</f>
        <v>0</v>
      </c>
    </row>
  </sheetData>
  <dataConsolidate/>
  <conditionalFormatting sqref="A2">
    <cfRule type="duplicateValues" dxfId="24" priority="3"/>
  </conditionalFormatting>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AK42"/>
  <sheetViews>
    <sheetView zoomScale="130" zoomScaleNormal="130" workbookViewId="0">
      <pane xSplit="5" ySplit="5" topLeftCell="J6" activePane="bottomRight" state="frozen"/>
      <selection activeCell="D50" sqref="D50"/>
      <selection pane="topRight" activeCell="D50" sqref="D50"/>
      <selection pane="bottomLeft" activeCell="D50" sqref="D50"/>
      <selection pane="bottomRight" activeCell="L12" sqref="L12"/>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8" style="162" customWidth="1"/>
    <col min="8" max="8" width="6.83203125" style="160" customWidth="1"/>
    <col min="9" max="11" width="3.83203125" style="160" customWidth="1"/>
    <col min="12" max="12" width="9.33203125" style="160"/>
  </cols>
  <sheetData>
    <row r="1" spans="1:37" s="3" customFormat="1" ht="18" x14ac:dyDescent="0.25">
      <c r="B1" s="2"/>
      <c r="C1" s="2"/>
      <c r="D1" s="2"/>
      <c r="F1" s="157"/>
      <c r="G1" s="157"/>
      <c r="H1" s="157"/>
      <c r="I1" s="158"/>
      <c r="J1" s="157"/>
      <c r="K1" s="157"/>
      <c r="L1" s="157"/>
    </row>
    <row r="2" spans="1:37" s="3" customFormat="1" ht="12.75" x14ac:dyDescent="0.2">
      <c r="A2" s="2"/>
      <c r="B2" s="2"/>
      <c r="F2" s="159" t="s">
        <v>466</v>
      </c>
      <c r="G2" s="159" t="s">
        <v>465</v>
      </c>
      <c r="H2" s="371" t="s">
        <v>200</v>
      </c>
      <c r="I2" s="371"/>
      <c r="J2" s="371"/>
      <c r="K2" s="320"/>
      <c r="L2" s="157"/>
      <c r="M2" s="2" t="s">
        <v>1277</v>
      </c>
    </row>
    <row r="3" spans="1:37" s="192" customFormat="1" ht="21.75" customHeight="1" x14ac:dyDescent="0.2">
      <c r="A3" s="363" t="s">
        <v>197</v>
      </c>
      <c r="B3" s="364"/>
      <c r="C3" s="369" t="s">
        <v>496</v>
      </c>
      <c r="D3" s="370"/>
      <c r="E3" s="365" t="s">
        <v>198</v>
      </c>
      <c r="F3" s="367" t="s">
        <v>41</v>
      </c>
      <c r="G3" s="367" t="s">
        <v>44</v>
      </c>
      <c r="H3" s="366" t="s">
        <v>18</v>
      </c>
      <c r="I3" s="366" t="s">
        <v>16</v>
      </c>
      <c r="J3" s="366" t="s">
        <v>201</v>
      </c>
      <c r="K3" s="366" t="s">
        <v>20</v>
      </c>
      <c r="L3" s="366" t="s">
        <v>542</v>
      </c>
      <c r="M3" s="362" t="s">
        <v>641</v>
      </c>
      <c r="N3" s="362" t="s">
        <v>643</v>
      </c>
      <c r="O3" s="360" t="s">
        <v>27</v>
      </c>
      <c r="P3" s="360" t="s">
        <v>29</v>
      </c>
      <c r="Q3" s="358" t="s">
        <v>28</v>
      </c>
      <c r="R3" s="358" t="s">
        <v>31</v>
      </c>
      <c r="S3" s="357"/>
      <c r="T3" s="357"/>
      <c r="U3" s="357"/>
      <c r="V3" s="357"/>
      <c r="W3" s="357"/>
      <c r="X3" s="357"/>
      <c r="Y3" s="357"/>
      <c r="Z3" s="357"/>
      <c r="AA3" s="357"/>
      <c r="AB3" s="357"/>
      <c r="AC3" s="357"/>
      <c r="AD3" s="357"/>
      <c r="AE3" s="357"/>
      <c r="AF3" s="357"/>
      <c r="AG3" s="357"/>
      <c r="AH3" s="357"/>
      <c r="AI3" s="357"/>
      <c r="AJ3" s="357"/>
      <c r="AK3" s="357"/>
    </row>
    <row r="4" spans="1:37" s="193" customFormat="1" ht="107.25" customHeight="1" x14ac:dyDescent="0.2">
      <c r="A4" s="364"/>
      <c r="B4" s="364"/>
      <c r="C4" s="197" t="s">
        <v>498</v>
      </c>
      <c r="D4" s="198" t="s">
        <v>499</v>
      </c>
      <c r="E4" s="365"/>
      <c r="F4" s="368"/>
      <c r="G4" s="368"/>
      <c r="H4" s="366"/>
      <c r="I4" s="366"/>
      <c r="J4" s="366"/>
      <c r="K4" s="366"/>
      <c r="L4" s="366"/>
      <c r="M4" s="362"/>
      <c r="N4" s="362"/>
      <c r="O4" s="361"/>
      <c r="P4" s="361"/>
      <c r="Q4" s="359"/>
      <c r="R4" s="359"/>
      <c r="S4" s="357"/>
      <c r="T4" s="357"/>
      <c r="U4" s="357"/>
      <c r="V4" s="357"/>
      <c r="W4" s="357"/>
      <c r="X4" s="357"/>
      <c r="Y4" s="357"/>
      <c r="Z4" s="357"/>
      <c r="AA4" s="357"/>
      <c r="AB4" s="357"/>
      <c r="AC4" s="357"/>
      <c r="AD4" s="357"/>
      <c r="AE4" s="357"/>
      <c r="AF4" s="357"/>
      <c r="AG4" s="357"/>
      <c r="AH4" s="357"/>
      <c r="AI4" s="357"/>
      <c r="AJ4" s="357"/>
      <c r="AK4" s="357"/>
    </row>
    <row r="5" spans="1:37" ht="35.25" x14ac:dyDescent="0.25">
      <c r="A5" s="179" t="s">
        <v>232</v>
      </c>
      <c r="B5" s="179" t="s">
        <v>235</v>
      </c>
      <c r="C5" s="47" t="str">
        <f t="array" ref="C5">"DSDs: "&amp;SUM(IF(FREQUENCY(IF(LEN(DSDs)&gt;0,MATCH(DSDs,DSDs,0),""), IF(LEN(DSDs)&gt;0,MATCH(DSDs,DSDs,0),""))&gt;0,1))</f>
        <v>DSDs: 1</v>
      </c>
      <c r="D5" s="47" t="str">
        <f>"DSD Concept count. Max: "&amp;MAX(DSDDimCount)</f>
        <v>DSD Concept count. Max: 0</v>
      </c>
      <c r="E5" s="183" t="s">
        <v>199</v>
      </c>
      <c r="F5" s="183"/>
      <c r="G5" s="183"/>
      <c r="H5" s="183"/>
      <c r="I5" s="183"/>
      <c r="J5" s="183"/>
      <c r="K5" s="183"/>
      <c r="L5" s="183"/>
      <c r="M5" s="319"/>
      <c r="N5" s="319"/>
      <c r="O5" s="319"/>
      <c r="P5" s="319"/>
      <c r="Q5" s="319"/>
      <c r="R5" s="319"/>
    </row>
    <row r="6" spans="1:37" s="1" customFormat="1" ht="12" x14ac:dyDescent="0.2">
      <c r="A6" s="180" t="s">
        <v>2</v>
      </c>
      <c r="B6" s="180" t="s">
        <v>236</v>
      </c>
      <c r="C6" s="182" t="s">
        <v>1282</v>
      </c>
      <c r="D6" s="184"/>
      <c r="E6" s="177" t="s">
        <v>1282</v>
      </c>
      <c r="F6" s="177" t="s">
        <v>208</v>
      </c>
      <c r="G6" s="177" t="s">
        <v>208</v>
      </c>
      <c r="H6" s="12" t="s">
        <v>208</v>
      </c>
      <c r="I6" s="12" t="s">
        <v>208</v>
      </c>
      <c r="J6" s="12" t="s">
        <v>208</v>
      </c>
      <c r="K6" s="12" t="s">
        <v>208</v>
      </c>
      <c r="L6" s="161" t="s">
        <v>208</v>
      </c>
      <c r="M6" s="1" t="s">
        <v>208</v>
      </c>
      <c r="N6" s="1" t="s">
        <v>208</v>
      </c>
      <c r="O6" s="1" t="s">
        <v>208</v>
      </c>
      <c r="P6" s="1" t="s">
        <v>208</v>
      </c>
      <c r="Q6" s="1" t="s">
        <v>208</v>
      </c>
      <c r="R6" s="1" t="s">
        <v>208</v>
      </c>
    </row>
    <row r="7" spans="1:37" s="1" customFormat="1" ht="12" x14ac:dyDescent="0.2">
      <c r="A7" s="180"/>
      <c r="B7" s="180"/>
      <c r="C7" s="182"/>
      <c r="D7" s="184"/>
      <c r="E7" s="177"/>
      <c r="F7" s="177"/>
      <c r="G7" s="177"/>
      <c r="H7" s="12"/>
      <c r="I7" s="12"/>
      <c r="J7" s="12"/>
      <c r="K7" s="12"/>
      <c r="L7" s="161"/>
    </row>
    <row r="8" spans="1:37" s="1" customFormat="1" ht="12" x14ac:dyDescent="0.2">
      <c r="A8" s="180"/>
      <c r="B8" s="180"/>
      <c r="C8" s="182"/>
      <c r="D8" s="184"/>
      <c r="E8" s="177"/>
      <c r="F8" s="177"/>
      <c r="G8" s="177"/>
      <c r="H8" s="12"/>
      <c r="I8" s="12"/>
      <c r="J8" s="12"/>
      <c r="K8" s="12"/>
      <c r="L8" s="161"/>
    </row>
    <row r="9" spans="1:37" s="1" customFormat="1" ht="12" x14ac:dyDescent="0.2">
      <c r="A9" s="180"/>
      <c r="B9" s="180"/>
      <c r="C9" s="182"/>
      <c r="D9" s="184"/>
      <c r="E9" s="177"/>
      <c r="F9" s="177"/>
      <c r="G9" s="177"/>
      <c r="H9" s="12"/>
      <c r="I9" s="12"/>
      <c r="J9" s="12"/>
      <c r="K9" s="12"/>
      <c r="L9" s="161"/>
    </row>
    <row r="10" spans="1:37" s="1" customFormat="1" ht="12" x14ac:dyDescent="0.2">
      <c r="A10" s="180"/>
      <c r="B10" s="180"/>
      <c r="C10" s="182"/>
      <c r="D10" s="184"/>
      <c r="E10" s="178"/>
      <c r="F10" s="178"/>
      <c r="G10" s="178"/>
      <c r="H10" s="12"/>
      <c r="I10" s="12"/>
      <c r="J10" s="12"/>
      <c r="K10" s="12"/>
      <c r="L10" s="161"/>
    </row>
    <row r="11" spans="1:37" s="1" customFormat="1" ht="12" x14ac:dyDescent="0.2">
      <c r="A11" s="180"/>
      <c r="B11" s="180"/>
      <c r="C11" s="182"/>
      <c r="D11" s="184"/>
      <c r="E11" s="178"/>
      <c r="F11" s="178"/>
      <c r="G11" s="178"/>
      <c r="H11" s="12"/>
      <c r="I11" s="12"/>
      <c r="J11" s="12"/>
      <c r="K11" s="12"/>
      <c r="L11" s="161"/>
    </row>
    <row r="12" spans="1:37" s="1" customFormat="1" ht="12" x14ac:dyDescent="0.2">
      <c r="A12" s="181"/>
      <c r="B12" s="180"/>
      <c r="C12" s="182"/>
      <c r="D12" s="184"/>
      <c r="E12" s="177"/>
      <c r="F12" s="177"/>
      <c r="G12" s="177"/>
      <c r="H12" s="12"/>
      <c r="I12" s="12"/>
      <c r="J12" s="12"/>
      <c r="K12" s="12"/>
      <c r="L12" s="161"/>
    </row>
    <row r="13" spans="1:37" s="1" customFormat="1" ht="12" x14ac:dyDescent="0.2">
      <c r="A13" s="181"/>
      <c r="B13" s="180"/>
      <c r="C13" s="182"/>
      <c r="D13" s="184"/>
      <c r="E13" s="177"/>
      <c r="F13" s="177"/>
      <c r="G13" s="177"/>
      <c r="H13" s="12"/>
      <c r="I13" s="12"/>
      <c r="J13" s="12"/>
      <c r="K13" s="12"/>
      <c r="L13" s="161"/>
    </row>
    <row r="14" spans="1:37" s="1" customFormat="1" ht="12" x14ac:dyDescent="0.2">
      <c r="A14" s="181"/>
      <c r="B14" s="180"/>
      <c r="C14" s="182"/>
      <c r="D14" s="184"/>
      <c r="E14" s="177"/>
      <c r="F14" s="177"/>
      <c r="G14" s="177"/>
      <c r="H14" s="12"/>
      <c r="I14" s="12"/>
      <c r="J14" s="12"/>
      <c r="K14" s="12"/>
      <c r="L14" s="161"/>
    </row>
    <row r="15" spans="1:37" s="1" customFormat="1" ht="12" x14ac:dyDescent="0.2">
      <c r="A15" s="181"/>
      <c r="B15" s="180"/>
      <c r="C15" s="182"/>
      <c r="D15" s="184"/>
      <c r="E15" s="177"/>
      <c r="F15" s="177"/>
      <c r="G15" s="177"/>
      <c r="H15" s="12"/>
      <c r="I15" s="12"/>
      <c r="J15" s="12"/>
      <c r="K15" s="12"/>
      <c r="L15" s="161"/>
    </row>
    <row r="16" spans="1:37" s="1" customFormat="1" ht="12" x14ac:dyDescent="0.2">
      <c r="A16" s="180"/>
      <c r="B16" s="180"/>
      <c r="C16" s="182"/>
      <c r="D16" s="184"/>
      <c r="E16" s="177"/>
      <c r="F16" s="177"/>
      <c r="G16" s="177"/>
      <c r="H16" s="12"/>
      <c r="I16" s="12"/>
      <c r="J16" s="12"/>
      <c r="K16" s="12"/>
      <c r="L16" s="161"/>
    </row>
    <row r="17" spans="1:12" s="1" customFormat="1" ht="12" x14ac:dyDescent="0.2">
      <c r="A17" s="181"/>
      <c r="B17" s="180"/>
      <c r="C17" s="182"/>
      <c r="D17" s="184"/>
      <c r="E17" s="177"/>
      <c r="F17" s="177"/>
      <c r="G17" s="177"/>
      <c r="H17" s="12"/>
      <c r="I17" s="12"/>
      <c r="J17" s="12"/>
      <c r="K17" s="12"/>
      <c r="L17" s="161"/>
    </row>
    <row r="18" spans="1:12" s="1" customFormat="1" ht="12" x14ac:dyDescent="0.2">
      <c r="A18" s="181"/>
      <c r="B18" s="180"/>
      <c r="C18" s="182"/>
      <c r="D18" s="184"/>
      <c r="E18" s="177"/>
      <c r="F18" s="177"/>
      <c r="G18" s="177"/>
      <c r="H18" s="12"/>
      <c r="I18" s="12"/>
      <c r="J18" s="12"/>
      <c r="K18" s="12"/>
      <c r="L18" s="161"/>
    </row>
    <row r="19" spans="1:12" s="1" customFormat="1" ht="12" x14ac:dyDescent="0.2">
      <c r="A19" s="181"/>
      <c r="B19" s="180"/>
      <c r="C19" s="182"/>
      <c r="D19" s="184"/>
      <c r="E19" s="177"/>
      <c r="F19" s="177"/>
      <c r="G19" s="177"/>
      <c r="H19" s="12"/>
      <c r="I19" s="12"/>
      <c r="J19" s="12"/>
      <c r="K19" s="12"/>
      <c r="L19" s="161"/>
    </row>
    <row r="20" spans="1:12" s="1" customFormat="1" ht="12" x14ac:dyDescent="0.2">
      <c r="A20" s="181"/>
      <c r="B20" s="180"/>
      <c r="C20" s="182"/>
      <c r="D20" s="184"/>
      <c r="E20" s="177"/>
      <c r="F20" s="177"/>
      <c r="G20" s="177"/>
      <c r="H20" s="12"/>
      <c r="I20" s="12"/>
      <c r="J20" s="12"/>
      <c r="K20" s="12"/>
      <c r="L20" s="161"/>
    </row>
    <row r="21" spans="1:12" s="1" customFormat="1" ht="12" x14ac:dyDescent="0.2">
      <c r="A21" s="181"/>
      <c r="B21" s="180"/>
      <c r="C21" s="182"/>
      <c r="D21" s="184"/>
      <c r="E21" s="177"/>
      <c r="F21" s="177"/>
      <c r="G21" s="177"/>
      <c r="H21" s="12"/>
      <c r="I21" s="12"/>
      <c r="J21" s="12"/>
      <c r="K21" s="12"/>
      <c r="L21" s="161"/>
    </row>
    <row r="22" spans="1:12" s="1" customFormat="1" ht="12" x14ac:dyDescent="0.2">
      <c r="A22" s="181"/>
      <c r="B22" s="180"/>
      <c r="C22" s="182"/>
      <c r="D22" s="184"/>
      <c r="E22" s="177"/>
      <c r="F22" s="177"/>
      <c r="G22" s="177"/>
      <c r="H22" s="12"/>
      <c r="I22" s="12"/>
      <c r="J22" s="12"/>
      <c r="K22" s="12"/>
      <c r="L22" s="161"/>
    </row>
    <row r="23" spans="1:12" s="1" customFormat="1" ht="12" x14ac:dyDescent="0.2">
      <c r="A23" s="181"/>
      <c r="B23" s="180"/>
      <c r="C23" s="182"/>
      <c r="D23" s="184"/>
      <c r="E23" s="177"/>
      <c r="F23" s="177"/>
      <c r="G23" s="177"/>
      <c r="H23" s="12"/>
      <c r="I23" s="12"/>
      <c r="J23" s="12"/>
      <c r="K23" s="12"/>
      <c r="L23" s="161"/>
    </row>
    <row r="24" spans="1:12" s="1" customFormat="1" ht="12" x14ac:dyDescent="0.2">
      <c r="A24" s="181"/>
      <c r="B24" s="180"/>
      <c r="C24" s="182"/>
      <c r="D24" s="184"/>
      <c r="E24" s="177"/>
      <c r="F24" s="177"/>
      <c r="G24" s="177"/>
      <c r="H24" s="12"/>
      <c r="I24" s="12"/>
      <c r="J24" s="12"/>
      <c r="K24" s="12"/>
      <c r="L24" s="161"/>
    </row>
    <row r="25" spans="1:12" s="1" customFormat="1" ht="12" x14ac:dyDescent="0.2">
      <c r="A25" s="181"/>
      <c r="B25" s="180"/>
      <c r="C25" s="182"/>
      <c r="D25" s="184"/>
      <c r="E25" s="177"/>
      <c r="F25" s="177"/>
      <c r="G25" s="177"/>
      <c r="H25" s="12"/>
      <c r="I25" s="12"/>
      <c r="J25" s="12"/>
      <c r="K25" s="12"/>
      <c r="L25" s="161"/>
    </row>
    <row r="26" spans="1:12" s="1" customFormat="1" ht="12" x14ac:dyDescent="0.2">
      <c r="A26" s="181"/>
      <c r="B26" s="180"/>
      <c r="C26" s="182"/>
      <c r="D26" s="184"/>
      <c r="E26" s="177"/>
      <c r="F26" s="177"/>
      <c r="G26" s="177"/>
      <c r="H26" s="12"/>
      <c r="I26" s="12"/>
      <c r="J26" s="12"/>
      <c r="K26" s="12"/>
      <c r="L26" s="161"/>
    </row>
    <row r="27" spans="1:12" s="1" customFormat="1" ht="12" x14ac:dyDescent="0.2">
      <c r="A27" s="181"/>
      <c r="B27" s="180"/>
      <c r="C27" s="182"/>
      <c r="D27" s="184"/>
      <c r="E27" s="177"/>
      <c r="F27" s="177"/>
      <c r="G27" s="177"/>
      <c r="H27" s="12"/>
      <c r="I27" s="12"/>
      <c r="J27" s="12"/>
      <c r="K27" s="12"/>
      <c r="L27" s="161"/>
    </row>
    <row r="28" spans="1:12" s="1" customFormat="1" ht="12" x14ac:dyDescent="0.2">
      <c r="A28" s="181"/>
      <c r="B28" s="180"/>
      <c r="C28" s="182"/>
      <c r="D28" s="184"/>
      <c r="E28" s="177"/>
      <c r="F28" s="177"/>
      <c r="G28" s="177"/>
      <c r="H28" s="12"/>
      <c r="I28" s="12"/>
      <c r="J28" s="12"/>
      <c r="K28" s="12"/>
      <c r="L28" s="161"/>
    </row>
    <row r="29" spans="1:12" s="1" customFormat="1" ht="12" x14ac:dyDescent="0.2">
      <c r="A29" s="181"/>
      <c r="B29" s="180"/>
      <c r="C29" s="182"/>
      <c r="D29" s="184"/>
      <c r="E29" s="177"/>
      <c r="F29" s="177"/>
      <c r="G29" s="177"/>
      <c r="H29" s="12"/>
      <c r="I29" s="12"/>
      <c r="J29" s="12"/>
      <c r="K29" s="12"/>
      <c r="L29" s="161"/>
    </row>
    <row r="30" spans="1:12" s="1" customFormat="1" ht="12" x14ac:dyDescent="0.2">
      <c r="A30" s="181"/>
      <c r="B30" s="180"/>
      <c r="C30" s="182"/>
      <c r="D30" s="184"/>
      <c r="E30" s="177"/>
      <c r="F30" s="177"/>
      <c r="G30" s="177"/>
      <c r="H30" s="12"/>
      <c r="I30" s="12"/>
      <c r="J30" s="12"/>
      <c r="K30" s="12"/>
      <c r="L30" s="161"/>
    </row>
    <row r="31" spans="1:12" s="1" customFormat="1" ht="12" x14ac:dyDescent="0.2">
      <c r="A31" s="181"/>
      <c r="B31" s="180"/>
      <c r="C31" s="182"/>
      <c r="D31" s="184"/>
      <c r="E31" s="177"/>
      <c r="F31" s="177"/>
      <c r="G31" s="177"/>
      <c r="H31" s="12"/>
      <c r="I31" s="12"/>
      <c r="J31" s="12"/>
      <c r="K31" s="12"/>
      <c r="L31" s="161"/>
    </row>
    <row r="32" spans="1:12" s="1" customFormat="1" ht="12" x14ac:dyDescent="0.2">
      <c r="A32" s="181"/>
      <c r="B32" s="180"/>
      <c r="C32" s="182"/>
      <c r="D32" s="184"/>
      <c r="E32" s="177"/>
      <c r="F32" s="177"/>
      <c r="G32" s="177"/>
      <c r="H32" s="12"/>
      <c r="I32" s="12"/>
      <c r="J32" s="12"/>
      <c r="K32" s="12"/>
      <c r="L32" s="161"/>
    </row>
    <row r="33" spans="1:12" s="1" customFormat="1" ht="12" x14ac:dyDescent="0.2">
      <c r="A33" s="181"/>
      <c r="B33" s="180"/>
      <c r="C33" s="182"/>
      <c r="D33" s="184"/>
      <c r="E33" s="177"/>
      <c r="F33" s="177"/>
      <c r="G33" s="177"/>
      <c r="H33" s="12"/>
      <c r="I33" s="12"/>
      <c r="J33" s="12"/>
      <c r="K33" s="12"/>
      <c r="L33" s="161"/>
    </row>
    <row r="34" spans="1:12" s="1" customFormat="1" ht="12" x14ac:dyDescent="0.2">
      <c r="A34" s="181"/>
      <c r="B34" s="180"/>
      <c r="C34" s="182"/>
      <c r="D34" s="184"/>
      <c r="E34" s="177"/>
      <c r="F34" s="177"/>
      <c r="G34" s="177"/>
      <c r="H34" s="12"/>
      <c r="I34" s="12"/>
      <c r="J34" s="12"/>
      <c r="K34" s="12"/>
      <c r="L34" s="161"/>
    </row>
    <row r="35" spans="1:12" s="1" customFormat="1" ht="12" x14ac:dyDescent="0.2">
      <c r="A35" s="181"/>
      <c r="B35" s="180"/>
      <c r="C35" s="182"/>
      <c r="D35" s="184"/>
      <c r="E35" s="177"/>
      <c r="F35" s="177"/>
      <c r="G35" s="177"/>
      <c r="H35" s="12"/>
      <c r="I35" s="12"/>
      <c r="J35" s="12"/>
      <c r="K35" s="12"/>
      <c r="L35" s="161"/>
    </row>
    <row r="36" spans="1:12" s="1" customFormat="1" ht="12" x14ac:dyDescent="0.2">
      <c r="A36" s="181"/>
      <c r="B36" s="180"/>
      <c r="C36" s="182"/>
      <c r="D36" s="184"/>
      <c r="E36" s="177"/>
      <c r="F36" s="177"/>
      <c r="G36" s="177"/>
      <c r="H36" s="12"/>
      <c r="I36" s="12"/>
      <c r="J36" s="12"/>
      <c r="K36" s="12"/>
      <c r="L36" s="161"/>
    </row>
    <row r="37" spans="1:12" s="1" customFormat="1" ht="12" x14ac:dyDescent="0.2">
      <c r="A37" s="181"/>
      <c r="B37" s="180"/>
      <c r="C37" s="182"/>
      <c r="D37" s="184"/>
      <c r="E37" s="177"/>
      <c r="F37" s="177"/>
      <c r="G37" s="177"/>
      <c r="H37" s="12"/>
      <c r="I37" s="12"/>
      <c r="J37" s="12"/>
      <c r="K37" s="12"/>
      <c r="L37" s="161"/>
    </row>
    <row r="38" spans="1:12" s="1" customFormat="1" ht="12" x14ac:dyDescent="0.2">
      <c r="A38" s="181"/>
      <c r="B38" s="180"/>
      <c r="C38" s="182"/>
      <c r="D38" s="184"/>
      <c r="E38" s="177"/>
      <c r="F38" s="177"/>
      <c r="G38" s="177"/>
      <c r="H38" s="12"/>
      <c r="I38" s="12"/>
      <c r="J38" s="12"/>
      <c r="K38" s="12"/>
      <c r="L38" s="161"/>
    </row>
    <row r="39" spans="1:12" s="1" customFormat="1" ht="12" x14ac:dyDescent="0.2">
      <c r="A39" s="181"/>
      <c r="B39" s="180"/>
      <c r="C39" s="182"/>
      <c r="D39" s="184"/>
      <c r="E39" s="177"/>
      <c r="F39" s="177"/>
      <c r="G39" s="177"/>
      <c r="H39" s="12"/>
      <c r="I39" s="12"/>
      <c r="J39" s="12"/>
      <c r="K39" s="12"/>
      <c r="L39" s="161"/>
    </row>
    <row r="40" spans="1:12" s="1" customFormat="1" ht="12" x14ac:dyDescent="0.2">
      <c r="A40" s="181"/>
      <c r="B40" s="180"/>
      <c r="C40" s="182"/>
      <c r="D40" s="184"/>
      <c r="E40" s="177"/>
      <c r="F40" s="177"/>
      <c r="G40" s="177"/>
      <c r="H40" s="12"/>
      <c r="I40" s="12"/>
      <c r="J40" s="12"/>
      <c r="K40" s="12"/>
      <c r="L40" s="161"/>
    </row>
    <row r="41" spans="1:12" s="1" customFormat="1" ht="12" x14ac:dyDescent="0.2">
      <c r="A41" s="181"/>
      <c r="B41" s="180"/>
      <c r="C41" s="182"/>
      <c r="D41" s="184"/>
      <c r="E41" s="177"/>
      <c r="F41" s="177"/>
      <c r="G41" s="177"/>
      <c r="H41" s="12"/>
      <c r="I41" s="12"/>
      <c r="J41" s="12"/>
      <c r="K41" s="12"/>
      <c r="L41" s="161"/>
    </row>
    <row r="42" spans="1:12" s="1" customFormat="1" ht="12" x14ac:dyDescent="0.2">
      <c r="A42" s="181"/>
      <c r="B42" s="180"/>
      <c r="C42" s="182"/>
      <c r="D42" s="184"/>
      <c r="E42" s="177"/>
      <c r="F42" s="177"/>
      <c r="G42" s="177"/>
      <c r="H42" s="12"/>
      <c r="I42" s="12"/>
      <c r="J42" s="12"/>
      <c r="K42" s="12"/>
      <c r="L42" s="161"/>
    </row>
  </sheetData>
  <dataConsolidate/>
  <customSheetViews>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1"/>
      <autoFilter ref="B1:AK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2"/>
      <autoFilter ref="B1:AH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3"/>
      <autoFilter ref="B1:AN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5"/>
      <autoFilter ref="B1:AI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6"/>
      <autoFilter ref="B1:AI1"/>
    </customSheetView>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7"/>
      <autoFilter ref="B1:AH1"/>
    </customSheetView>
  </customSheetViews>
  <mergeCells count="36">
    <mergeCell ref="H2:J2"/>
    <mergeCell ref="J3:J4"/>
    <mergeCell ref="K3:K4"/>
    <mergeCell ref="M3:M4"/>
    <mergeCell ref="N3:N4"/>
    <mergeCell ref="A3:B4"/>
    <mergeCell ref="E3:E4"/>
    <mergeCell ref="H3:H4"/>
    <mergeCell ref="I3:I4"/>
    <mergeCell ref="F3:F4"/>
    <mergeCell ref="C3:D3"/>
    <mergeCell ref="L3:L4"/>
    <mergeCell ref="G3:G4"/>
    <mergeCell ref="O3:O4"/>
    <mergeCell ref="Q3:Q4"/>
    <mergeCell ref="W3:W4"/>
    <mergeCell ref="X3:X4"/>
    <mergeCell ref="Y3:Y4"/>
    <mergeCell ref="P3:P4"/>
    <mergeCell ref="Z3:Z4"/>
    <mergeCell ref="AA3:AA4"/>
    <mergeCell ref="R3:R4"/>
    <mergeCell ref="S3:S4"/>
    <mergeCell ref="T3:T4"/>
    <mergeCell ref="U3:U4"/>
    <mergeCell ref="V3:V4"/>
    <mergeCell ref="AG3:AG4"/>
    <mergeCell ref="AH3:AH4"/>
    <mergeCell ref="AI3:AI4"/>
    <mergeCell ref="AJ3:AJ4"/>
    <mergeCell ref="AK3:AK4"/>
    <mergeCell ref="AB3:AB4"/>
    <mergeCell ref="AC3:AC4"/>
    <mergeCell ref="AD3:AD4"/>
    <mergeCell ref="AE3:AE4"/>
    <mergeCell ref="AF3:AF4"/>
  </mergeCells>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L3:L4" location="CL_AGGREGATION_OPERATION!A1" display="AGGREGATION_OPERATION"/>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39"/>
    <col min="2" max="2" width="22.83203125" style="39" customWidth="1"/>
    <col min="3" max="5" width="14.83203125" style="39"/>
    <col min="6" max="6" width="20.83203125" style="39" bestFit="1" customWidth="1"/>
    <col min="7" max="16384" width="14.83203125" style="39"/>
  </cols>
  <sheetData>
    <row r="1" spans="1:6" x14ac:dyDescent="0.25">
      <c r="A1" s="39" t="s">
        <v>272</v>
      </c>
      <c r="B1" s="39" t="s">
        <v>271</v>
      </c>
      <c r="C1" s="39" t="s">
        <v>6</v>
      </c>
      <c r="D1" s="39" t="s">
        <v>282</v>
      </c>
      <c r="F1" s="38"/>
    </row>
    <row r="2" spans="1:6" x14ac:dyDescent="0.25">
      <c r="A2" s="91" t="s">
        <v>363</v>
      </c>
      <c r="B2" s="39" t="s">
        <v>18</v>
      </c>
      <c r="C2" s="39" t="s">
        <v>11</v>
      </c>
      <c r="D2" s="39" t="b">
        <v>1</v>
      </c>
    </row>
    <row r="3" spans="1:6" x14ac:dyDescent="0.25">
      <c r="A3" s="91" t="s">
        <v>364</v>
      </c>
      <c r="B3" s="39" t="s">
        <v>18</v>
      </c>
      <c r="C3" s="39" t="s">
        <v>1</v>
      </c>
      <c r="D3" s="39" t="b">
        <v>0</v>
      </c>
    </row>
    <row r="4" spans="1:6" x14ac:dyDescent="0.25">
      <c r="A4" s="91" t="s">
        <v>365</v>
      </c>
      <c r="B4" s="39" t="s">
        <v>18</v>
      </c>
      <c r="C4" s="39" t="s">
        <v>11</v>
      </c>
      <c r="D4" s="39" t="b">
        <v>1</v>
      </c>
    </row>
    <row r="5" spans="1:6" x14ac:dyDescent="0.25">
      <c r="A5" s="91" t="s">
        <v>365</v>
      </c>
      <c r="B5" s="39" t="s">
        <v>18</v>
      </c>
      <c r="C5" s="39" t="s">
        <v>7</v>
      </c>
    </row>
    <row r="6" spans="1:6" x14ac:dyDescent="0.25">
      <c r="A6" s="91" t="s">
        <v>365</v>
      </c>
      <c r="B6" s="81" t="s">
        <v>16</v>
      </c>
      <c r="C6" s="81" t="s">
        <v>273</v>
      </c>
    </row>
    <row r="7" spans="1:6" x14ac:dyDescent="0.25">
      <c r="A7" s="91" t="s">
        <v>366</v>
      </c>
      <c r="B7" s="39" t="s">
        <v>18</v>
      </c>
      <c r="C7" s="39" t="s">
        <v>1</v>
      </c>
      <c r="D7" s="39" t="b">
        <v>0</v>
      </c>
    </row>
    <row r="8" spans="1:6" x14ac:dyDescent="0.25">
      <c r="A8" s="91" t="s">
        <v>366</v>
      </c>
      <c r="B8" s="39" t="s">
        <v>29</v>
      </c>
      <c r="C8" s="39" t="s">
        <v>12</v>
      </c>
    </row>
    <row r="9" spans="1:6" x14ac:dyDescent="0.25">
      <c r="A9" s="92" t="s">
        <v>367</v>
      </c>
      <c r="B9" s="39" t="s">
        <v>18</v>
      </c>
      <c r="C9" s="39" t="s">
        <v>7</v>
      </c>
      <c r="D9" s="39" t="b">
        <v>0</v>
      </c>
    </row>
    <row r="10" spans="1:6" x14ac:dyDescent="0.25">
      <c r="A10" s="82"/>
    </row>
    <row r="11" spans="1:6" x14ac:dyDescent="0.25">
      <c r="A11" s="91"/>
    </row>
    <row r="12" spans="1:6" x14ac:dyDescent="0.25">
      <c r="A12" s="91"/>
    </row>
    <row r="13" spans="1:6" x14ac:dyDescent="0.25">
      <c r="A13" s="91"/>
    </row>
    <row r="14" spans="1:6" x14ac:dyDescent="0.25">
      <c r="A14" s="91"/>
    </row>
    <row r="15" spans="1:6" x14ac:dyDescent="0.25">
      <c r="A15" s="91"/>
    </row>
    <row r="16" spans="1:6" x14ac:dyDescent="0.25">
      <c r="A16" s="92"/>
      <c r="B16" s="81"/>
      <c r="C16" s="81"/>
      <c r="D16" s="81"/>
    </row>
  </sheetData>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4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42" t="s">
        <v>204</v>
      </c>
      <c r="B1" s="42" t="s">
        <v>205</v>
      </c>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6" t="s">
        <v>207</v>
      </c>
      <c r="AN1" s="42"/>
      <c r="AO1" s="42"/>
      <c r="AP1" s="42"/>
      <c r="AQ1" s="42" t="s">
        <v>206</v>
      </c>
    </row>
    <row r="2" spans="1:81" ht="18.75" x14ac:dyDescent="0.2">
      <c r="A2" t="str">
        <f t="shared" ref="A2:A48" si="0">INDEX(DSDs,ROW(A1),COLUMN(A1))</f>
        <v>TEST</v>
      </c>
      <c r="B2">
        <f t="shared" ref="B2:K11" si="1">IFERROR(IF(INDEX(ConDimVals,ROW(A1),COLUMN(A1))="",0,1),"")</f>
        <v>1</v>
      </c>
      <c r="C2">
        <f t="shared" si="1"/>
        <v>1</v>
      </c>
      <c r="D2">
        <f t="shared" si="1"/>
        <v>1</v>
      </c>
      <c r="E2">
        <f t="shared" si="1"/>
        <v>1</v>
      </c>
      <c r="F2">
        <f t="shared" si="1"/>
        <v>1</v>
      </c>
      <c r="G2">
        <f t="shared" si="1"/>
        <v>1</v>
      </c>
      <c r="H2">
        <f t="shared" si="1"/>
        <v>1</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7</v>
      </c>
      <c r="AN2" s="43"/>
      <c r="AP2">
        <v>0</v>
      </c>
      <c r="AQ2" s="4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f t="shared" si="1"/>
        <v>0</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4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f t="shared" si="1"/>
        <v>0</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4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f t="shared" si="1"/>
        <v>0</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4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f t="shared" si="1"/>
        <v>0</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4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f t="shared" si="1"/>
        <v>0</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4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f t="shared" si="1"/>
        <v>0</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4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f t="shared" si="1"/>
        <v>0</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4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f t="shared" si="1"/>
        <v>0</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4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f t="shared" si="1"/>
        <v>0</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4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f t="shared" si="44"/>
        <v>0</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4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f t="shared" si="44"/>
        <v>0</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4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f t="shared" si="44"/>
        <v>0</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4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f t="shared" si="44"/>
        <v>0</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4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f t="shared" si="44"/>
        <v>0</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4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f t="shared" si="44"/>
        <v>0</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4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f t="shared" si="44"/>
        <v>0</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4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f t="shared" si="44"/>
        <v>0</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4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f t="shared" si="44"/>
        <v>0</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4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f t="shared" si="44"/>
        <v>0</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4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f t="shared" si="48"/>
        <v>0</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4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f t="shared" si="48"/>
        <v>0</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4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f t="shared" si="48"/>
        <v>0</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4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f t="shared" si="48"/>
        <v>0</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4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f t="shared" si="48"/>
        <v>0</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4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f t="shared" si="48"/>
        <v>0</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4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f t="shared" si="48"/>
        <v>0</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4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f t="shared" si="48"/>
        <v>0</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4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f t="shared" si="48"/>
        <v>0</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4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f t="shared" si="48"/>
        <v>0</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4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f t="shared" si="52"/>
        <v>0</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4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f t="shared" si="52"/>
        <v>0</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4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f t="shared" si="52"/>
        <v>0</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4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f t="shared" si="52"/>
        <v>0</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4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f t="shared" si="52"/>
        <v>0</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4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f t="shared" si="52"/>
        <v>0</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4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f t="shared" si="52"/>
        <v>0</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4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f t="shared" si="52"/>
        <v>0</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4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f t="shared" si="52"/>
        <v>0</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4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f t="shared" si="52"/>
        <v>0</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4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f t="shared" si="56"/>
        <v>0</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4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f t="shared" si="56"/>
        <v>0</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4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f t="shared" si="56"/>
        <v>0</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4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f t="shared" si="56"/>
        <v>0</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4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f t="shared" si="56"/>
        <v>0</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4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f t="shared" si="56"/>
        <v>0</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4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f t="shared" si="56"/>
        <v>0</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44" t="str">
        <f>IFERROR(LOOKUP(2,1/(COUNTIF($AQ$1:AQ47,CountDSDs)=0),CountDSDs),"")</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 sqref="A2"/>
    </sheetView>
  </sheetViews>
  <sheetFormatPr defaultRowHeight="11.25" x14ac:dyDescent="0.2"/>
  <cols>
    <col min="1" max="1" width="93" customWidth="1"/>
  </cols>
  <sheetData>
    <row r="1" spans="1:2" x14ac:dyDescent="0.2">
      <c r="A1" s="3" t="s">
        <v>218</v>
      </c>
      <c r="B1" s="3" t="s">
        <v>221</v>
      </c>
    </row>
    <row r="2" spans="1:2" x14ac:dyDescent="0.2">
      <c r="A2" s="4" t="s">
        <v>287</v>
      </c>
      <c r="B2" s="4"/>
    </row>
    <row r="3" spans="1:2" x14ac:dyDescent="0.2">
      <c r="A3" s="3" t="s">
        <v>275</v>
      </c>
    </row>
    <row r="4" spans="1:2" x14ac:dyDescent="0.2">
      <c r="A4" s="4" t="s">
        <v>283</v>
      </c>
      <c r="B4" s="4"/>
    </row>
    <row r="5" spans="1:2" s="3" customFormat="1" x14ac:dyDescent="0.2">
      <c r="A5" s="3" t="s">
        <v>238</v>
      </c>
    </row>
    <row r="6" spans="1:2" x14ac:dyDescent="0.2">
      <c r="A6" t="s">
        <v>239</v>
      </c>
      <c r="B6" s="4"/>
    </row>
    <row r="7" spans="1:2" x14ac:dyDescent="0.2">
      <c r="A7" s="3" t="s">
        <v>237</v>
      </c>
    </row>
    <row r="8" spans="1:2" x14ac:dyDescent="0.2">
      <c r="A8" s="4" t="s">
        <v>284</v>
      </c>
    </row>
    <row r="9" spans="1:2" x14ac:dyDescent="0.2">
      <c r="A9" s="3" t="s">
        <v>240</v>
      </c>
      <c r="B9" s="4"/>
    </row>
    <row r="10" spans="1:2" x14ac:dyDescent="0.2">
      <c r="A10" s="4" t="s">
        <v>244</v>
      </c>
      <c r="B10" s="4"/>
    </row>
    <row r="11" spans="1:2" x14ac:dyDescent="0.2">
      <c r="A11" s="3" t="s">
        <v>241</v>
      </c>
      <c r="B11" s="4"/>
    </row>
    <row r="12" spans="1:2" x14ac:dyDescent="0.2">
      <c r="A12" s="4" t="s">
        <v>245</v>
      </c>
      <c r="B12" s="4"/>
    </row>
    <row r="13" spans="1:2" x14ac:dyDescent="0.2">
      <c r="A13" s="3" t="s">
        <v>242</v>
      </c>
      <c r="B13" s="4"/>
    </row>
    <row r="14" spans="1:2" x14ac:dyDescent="0.2">
      <c r="A14" s="4" t="s">
        <v>257</v>
      </c>
      <c r="B14" s="4"/>
    </row>
    <row r="15" spans="1:2" x14ac:dyDescent="0.2">
      <c r="A15" s="3" t="s">
        <v>243</v>
      </c>
      <c r="B15" s="4"/>
    </row>
    <row r="16" spans="1:2" x14ac:dyDescent="0.2">
      <c r="A16" s="4" t="s">
        <v>246</v>
      </c>
      <c r="B16" s="4"/>
    </row>
    <row r="17" spans="1:2" x14ac:dyDescent="0.2">
      <c r="A17" s="3" t="s">
        <v>261</v>
      </c>
    </row>
    <row r="18" spans="1:2" x14ac:dyDescent="0.2">
      <c r="A18" t="s">
        <v>263</v>
      </c>
      <c r="B18" s="4"/>
    </row>
    <row r="19" spans="1:2" x14ac:dyDescent="0.2">
      <c r="A19" s="3" t="s">
        <v>262</v>
      </c>
      <c r="B19" s="4"/>
    </row>
    <row r="20" spans="1:2" x14ac:dyDescent="0.2">
      <c r="A20" s="4" t="s">
        <v>285</v>
      </c>
      <c r="B20" s="4"/>
    </row>
    <row r="21" spans="1:2" x14ac:dyDescent="0.2">
      <c r="A21" s="3" t="s">
        <v>269</v>
      </c>
    </row>
    <row r="22" spans="1:2" x14ac:dyDescent="0.2">
      <c r="A22" s="4"/>
      <c r="B22" s="4"/>
    </row>
    <row r="23" spans="1:2" x14ac:dyDescent="0.2">
      <c r="A23" s="3" t="s">
        <v>270</v>
      </c>
    </row>
    <row r="24" spans="1:2" x14ac:dyDescent="0.2">
      <c r="A24" s="4" t="s">
        <v>286</v>
      </c>
    </row>
    <row r="25" spans="1:2" x14ac:dyDescent="0.2">
      <c r="A25" s="3" t="s">
        <v>274</v>
      </c>
    </row>
    <row r="26" spans="1:2" x14ac:dyDescent="0.2">
      <c r="A26" s="4" t="s">
        <v>371</v>
      </c>
      <c r="B26" s="4" t="s">
        <v>222</v>
      </c>
    </row>
    <row r="27" spans="1:2" x14ac:dyDescent="0.2">
      <c r="A27" s="3" t="s">
        <v>362</v>
      </c>
    </row>
    <row r="28" spans="1:2" x14ac:dyDescent="0.2">
      <c r="A28" s="4" t="s">
        <v>368</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39"/>
    <col min="2" max="2" width="9.1640625" style="39" bestFit="1" customWidth="1"/>
    <col min="3" max="3" width="14.1640625" style="39" bestFit="1" customWidth="1"/>
    <col min="4" max="4" width="14.83203125" style="39"/>
    <col min="5" max="5" width="17.1640625" style="39" bestFit="1" customWidth="1"/>
    <col min="6" max="6" width="10.5" style="39" bestFit="1" customWidth="1"/>
    <col min="7" max="7" width="14.83203125" style="39"/>
    <col min="8" max="8" width="20.83203125" style="39" bestFit="1" customWidth="1"/>
    <col min="9" max="16384" width="14.83203125" style="39"/>
  </cols>
  <sheetData>
    <row r="1" spans="1:8" x14ac:dyDescent="0.25">
      <c r="A1" s="39" t="s">
        <v>272</v>
      </c>
      <c r="B1" s="39" t="s">
        <v>18</v>
      </c>
      <c r="C1" s="39" t="s">
        <v>16</v>
      </c>
      <c r="D1" s="39" t="s">
        <v>233</v>
      </c>
      <c r="E1" s="39" t="s">
        <v>29</v>
      </c>
      <c r="F1" s="39" t="s">
        <v>282</v>
      </c>
      <c r="H1" s="38"/>
    </row>
    <row r="2" spans="1:8" x14ac:dyDescent="0.25">
      <c r="A2" s="91" t="s">
        <v>363</v>
      </c>
      <c r="B2" s="39" t="s">
        <v>11</v>
      </c>
      <c r="D2" s="39" t="s">
        <v>378</v>
      </c>
      <c r="F2" s="39" t="b">
        <v>1</v>
      </c>
    </row>
    <row r="3" spans="1:8" x14ac:dyDescent="0.25">
      <c r="A3" s="91" t="s">
        <v>364</v>
      </c>
      <c r="B3" s="39" t="s">
        <v>1</v>
      </c>
      <c r="C3" s="39" t="s">
        <v>379</v>
      </c>
      <c r="D3" s="39" t="s">
        <v>234</v>
      </c>
      <c r="F3" s="39" t="b">
        <v>0</v>
      </c>
    </row>
    <row r="4" spans="1:8" x14ac:dyDescent="0.25">
      <c r="A4" s="91" t="s">
        <v>365</v>
      </c>
      <c r="B4" s="39" t="s">
        <v>376</v>
      </c>
      <c r="C4" s="81" t="s">
        <v>273</v>
      </c>
      <c r="D4" s="81"/>
      <c r="F4" s="39" t="b">
        <v>1</v>
      </c>
    </row>
    <row r="5" spans="1:8" x14ac:dyDescent="0.25">
      <c r="A5" s="91" t="s">
        <v>366</v>
      </c>
      <c r="B5" s="39" t="s">
        <v>1</v>
      </c>
      <c r="E5" s="39" t="s">
        <v>12</v>
      </c>
      <c r="F5" s="39" t="b">
        <v>0</v>
      </c>
    </row>
    <row r="6" spans="1:8" x14ac:dyDescent="0.25">
      <c r="A6" s="92" t="s">
        <v>367</v>
      </c>
      <c r="B6" s="39" t="s">
        <v>7</v>
      </c>
      <c r="F6" s="39" t="b">
        <v>0</v>
      </c>
    </row>
    <row r="7" spans="1:8" x14ac:dyDescent="0.25">
      <c r="A7" s="82"/>
    </row>
    <row r="8" spans="1:8" x14ac:dyDescent="0.25">
      <c r="A8" s="91"/>
    </row>
    <row r="9" spans="1:8" x14ac:dyDescent="0.25">
      <c r="A9" s="91"/>
    </row>
    <row r="10" spans="1:8" x14ac:dyDescent="0.25">
      <c r="A10" s="91"/>
    </row>
    <row r="11" spans="1:8" x14ac:dyDescent="0.25">
      <c r="A11" s="91"/>
    </row>
    <row r="12" spans="1:8" x14ac:dyDescent="0.25">
      <c r="A12" s="91"/>
    </row>
    <row r="13" spans="1:8" x14ac:dyDescent="0.25">
      <c r="A13" s="92"/>
      <c r="B13" s="81"/>
      <c r="C13" s="81"/>
      <c r="D13" s="81"/>
      <c r="E13" s="81"/>
      <c r="F13" s="81"/>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0070C0"/>
    <pageSetUpPr fitToPage="1"/>
  </sheetPr>
  <dimension ref="A1:CD89"/>
  <sheetViews>
    <sheetView zoomScale="85" zoomScaleNormal="85" workbookViewId="0">
      <pane xSplit="5" ySplit="5" topLeftCell="AH6" activePane="bottomRight" state="frozen"/>
      <selection activeCell="D50" sqref="D50"/>
      <selection pane="topRight" activeCell="D50" sqref="D50"/>
      <selection pane="bottomLeft" activeCell="D50" sqref="D50"/>
      <selection pane="bottomRight" activeCell="AI1" sqref="AI1:AI1048576"/>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6.6640625" style="162" bestFit="1" customWidth="1"/>
    <col min="8" max="15" width="3.83203125" style="160" customWidth="1"/>
    <col min="16" max="16" width="3.5" style="187" customWidth="1"/>
    <col min="17" max="20" width="9.33203125" style="160"/>
  </cols>
  <sheetData>
    <row r="1" spans="1:82" s="3" customFormat="1" ht="18" x14ac:dyDescent="0.25">
      <c r="B1" s="2"/>
      <c r="C1" s="2"/>
      <c r="D1" s="2"/>
      <c r="F1" s="213"/>
      <c r="G1" s="213"/>
      <c r="H1" s="213"/>
      <c r="I1" s="158"/>
      <c r="J1" s="158"/>
      <c r="K1" s="213"/>
      <c r="L1" s="213"/>
      <c r="M1" s="213"/>
      <c r="N1" s="213"/>
      <c r="O1" s="213"/>
      <c r="P1" s="185"/>
      <c r="Q1" s="213"/>
      <c r="R1" s="213"/>
      <c r="S1" s="213"/>
      <c r="T1" s="213"/>
    </row>
    <row r="2" spans="1:82" s="3" customFormat="1" ht="12.75" x14ac:dyDescent="0.2">
      <c r="A2" s="2"/>
      <c r="B2" s="2"/>
      <c r="F2" s="159" t="s">
        <v>466</v>
      </c>
      <c r="G2" s="159" t="s">
        <v>465</v>
      </c>
      <c r="H2" s="371" t="s">
        <v>200</v>
      </c>
      <c r="I2" s="371"/>
      <c r="J2" s="371"/>
      <c r="K2" s="371"/>
      <c r="L2" s="372"/>
      <c r="M2" s="372"/>
      <c r="N2" s="372"/>
      <c r="O2" s="212"/>
      <c r="P2" s="185"/>
      <c r="Q2" s="213"/>
      <c r="R2" s="213"/>
      <c r="S2" s="213"/>
      <c r="T2" s="213"/>
    </row>
    <row r="3" spans="1:82" s="192" customFormat="1" ht="21.75" customHeight="1" x14ac:dyDescent="0.2">
      <c r="A3" s="363" t="s">
        <v>197</v>
      </c>
      <c r="B3" s="364"/>
      <c r="C3" s="369" t="s">
        <v>496</v>
      </c>
      <c r="D3" s="370"/>
      <c r="E3" s="365" t="s">
        <v>198</v>
      </c>
      <c r="F3" s="367" t="s">
        <v>41</v>
      </c>
      <c r="G3" s="367" t="s">
        <v>44</v>
      </c>
      <c r="H3" s="373" t="s">
        <v>18</v>
      </c>
      <c r="I3" s="373" t="s">
        <v>756</v>
      </c>
      <c r="J3" s="374" t="s">
        <v>757</v>
      </c>
      <c r="K3" s="373" t="s">
        <v>201</v>
      </c>
      <c r="L3" s="373" t="s">
        <v>20</v>
      </c>
      <c r="M3" s="373" t="s">
        <v>256</v>
      </c>
      <c r="N3" s="373" t="s">
        <v>550</v>
      </c>
      <c r="O3" s="373" t="s">
        <v>546</v>
      </c>
      <c r="P3" s="373" t="s">
        <v>553</v>
      </c>
      <c r="Q3" s="373" t="s">
        <v>548</v>
      </c>
      <c r="R3" s="376" t="s">
        <v>544</v>
      </c>
      <c r="S3" s="373" t="s">
        <v>547</v>
      </c>
      <c r="T3" s="373" t="s">
        <v>542</v>
      </c>
      <c r="U3" s="373" t="s">
        <v>606</v>
      </c>
      <c r="V3" s="373" t="s">
        <v>543</v>
      </c>
      <c r="W3" s="373" t="s">
        <v>551</v>
      </c>
      <c r="X3" s="373" t="s">
        <v>545</v>
      </c>
      <c r="Y3" s="373" t="s">
        <v>549</v>
      </c>
      <c r="Z3" s="373" t="s">
        <v>552</v>
      </c>
      <c r="AA3" s="373" t="s">
        <v>558</v>
      </c>
      <c r="AB3" s="373" t="s">
        <v>555</v>
      </c>
      <c r="AC3" s="373" t="s">
        <v>556</v>
      </c>
      <c r="AD3" s="373" t="s">
        <v>567</v>
      </c>
      <c r="AE3" s="379" t="s">
        <v>557</v>
      </c>
      <c r="AF3" s="379" t="s">
        <v>554</v>
      </c>
      <c r="AG3" s="380" t="s">
        <v>598</v>
      </c>
      <c r="AH3" s="377" t="s">
        <v>559</v>
      </c>
      <c r="AI3" s="382" t="s">
        <v>699</v>
      </c>
      <c r="AJ3" s="383" t="s">
        <v>619</v>
      </c>
      <c r="AK3" s="382" t="s">
        <v>758</v>
      </c>
      <c r="AL3" s="384" t="s">
        <v>652</v>
      </c>
      <c r="AM3" s="384" t="s">
        <v>655</v>
      </c>
      <c r="AN3" s="384" t="s">
        <v>658</v>
      </c>
      <c r="AO3" s="382" t="s">
        <v>759</v>
      </c>
      <c r="AP3" s="382" t="s">
        <v>660</v>
      </c>
      <c r="AQ3" s="382" t="s">
        <v>760</v>
      </c>
      <c r="AR3" s="382" t="s">
        <v>761</v>
      </c>
      <c r="AS3" s="382" t="s">
        <v>762</v>
      </c>
      <c r="AT3" s="382" t="s">
        <v>763</v>
      </c>
      <c r="AU3" s="382" t="s">
        <v>764</v>
      </c>
      <c r="AV3" s="382" t="s">
        <v>765</v>
      </c>
      <c r="AW3" s="382" t="s">
        <v>766</v>
      </c>
      <c r="AX3" s="382" t="s">
        <v>767</v>
      </c>
      <c r="AY3" s="384" t="s">
        <v>622</v>
      </c>
      <c r="AZ3" s="384" t="s">
        <v>625</v>
      </c>
      <c r="BA3" s="384" t="s">
        <v>628</v>
      </c>
      <c r="BB3" s="362" t="s">
        <v>632</v>
      </c>
      <c r="BC3" s="362" t="s">
        <v>638</v>
      </c>
      <c r="BD3" s="362" t="s">
        <v>641</v>
      </c>
      <c r="BE3" s="362" t="s">
        <v>643</v>
      </c>
      <c r="BF3" s="385" t="s">
        <v>646</v>
      </c>
      <c r="BG3" s="384" t="s">
        <v>668</v>
      </c>
      <c r="BH3" s="384" t="s">
        <v>768</v>
      </c>
      <c r="BI3" s="386" t="s">
        <v>27</v>
      </c>
      <c r="BJ3" s="357"/>
      <c r="BK3" s="357"/>
      <c r="BL3" s="357"/>
      <c r="BM3" s="357"/>
      <c r="BN3" s="357"/>
      <c r="BO3" s="357"/>
      <c r="BP3" s="357"/>
      <c r="BQ3" s="357"/>
      <c r="BR3" s="357"/>
      <c r="BS3" s="357"/>
      <c r="BT3" s="357"/>
      <c r="BU3" s="357"/>
      <c r="BV3" s="357"/>
      <c r="BW3" s="357"/>
      <c r="BX3" s="357"/>
      <c r="BY3" s="357"/>
      <c r="BZ3" s="357"/>
      <c r="CA3" s="357"/>
      <c r="CB3" s="357"/>
      <c r="CC3" s="357"/>
      <c r="CD3" s="357"/>
    </row>
    <row r="4" spans="1:82" s="193" customFormat="1" ht="107.25" customHeight="1" x14ac:dyDescent="0.2">
      <c r="A4" s="364"/>
      <c r="B4" s="364"/>
      <c r="C4" s="197" t="s">
        <v>498</v>
      </c>
      <c r="D4" s="198" t="s">
        <v>499</v>
      </c>
      <c r="E4" s="365"/>
      <c r="F4" s="368"/>
      <c r="G4" s="368"/>
      <c r="H4" s="373"/>
      <c r="I4" s="373"/>
      <c r="J4" s="375"/>
      <c r="K4" s="373"/>
      <c r="L4" s="373"/>
      <c r="M4" s="373"/>
      <c r="N4" s="373"/>
      <c r="O4" s="373"/>
      <c r="P4" s="373"/>
      <c r="Q4" s="373"/>
      <c r="R4" s="376"/>
      <c r="S4" s="373"/>
      <c r="T4" s="373"/>
      <c r="U4" s="373"/>
      <c r="V4" s="373"/>
      <c r="W4" s="373"/>
      <c r="X4" s="373"/>
      <c r="Y4" s="373"/>
      <c r="Z4" s="373"/>
      <c r="AA4" s="373"/>
      <c r="AB4" s="373"/>
      <c r="AC4" s="373"/>
      <c r="AD4" s="373"/>
      <c r="AE4" s="379"/>
      <c r="AF4" s="379"/>
      <c r="AG4" s="381"/>
      <c r="AH4" s="378"/>
      <c r="AI4" s="382"/>
      <c r="AJ4" s="383"/>
      <c r="AK4" s="382"/>
      <c r="AL4" s="384"/>
      <c r="AM4" s="384"/>
      <c r="AN4" s="384"/>
      <c r="AO4" s="382" t="s">
        <v>769</v>
      </c>
      <c r="AP4" s="382"/>
      <c r="AQ4" s="382"/>
      <c r="AR4" s="382"/>
      <c r="AS4" s="382" t="s">
        <v>770</v>
      </c>
      <c r="AT4" s="382" t="s">
        <v>771</v>
      </c>
      <c r="AU4" s="382" t="s">
        <v>772</v>
      </c>
      <c r="AV4" s="382" t="s">
        <v>773</v>
      </c>
      <c r="AW4" s="382" t="s">
        <v>774</v>
      </c>
      <c r="AX4" s="382" t="s">
        <v>775</v>
      </c>
      <c r="AY4" s="384"/>
      <c r="AZ4" s="362"/>
      <c r="BA4" s="384"/>
      <c r="BB4" s="362"/>
      <c r="BC4" s="362"/>
      <c r="BD4" s="362"/>
      <c r="BE4" s="362"/>
      <c r="BF4" s="385"/>
      <c r="BG4" s="384"/>
      <c r="BH4" s="384"/>
      <c r="BI4" s="387"/>
      <c r="BJ4" s="357"/>
      <c r="BK4" s="357"/>
      <c r="BL4" s="357"/>
      <c r="BM4" s="357"/>
      <c r="BN4" s="357"/>
      <c r="BO4" s="357"/>
      <c r="BP4" s="357"/>
      <c r="BQ4" s="357"/>
      <c r="BR4" s="357"/>
      <c r="BS4" s="357"/>
      <c r="BT4" s="357"/>
      <c r="BU4" s="357"/>
      <c r="BV4" s="357"/>
      <c r="BW4" s="357"/>
      <c r="BX4" s="357"/>
      <c r="BY4" s="357"/>
      <c r="BZ4" s="357"/>
      <c r="CA4" s="357"/>
      <c r="CB4" s="357"/>
      <c r="CC4" s="357"/>
      <c r="CD4" s="357"/>
    </row>
    <row r="5" spans="1:82" ht="35.25" x14ac:dyDescent="0.25">
      <c r="A5" s="179" t="s">
        <v>232</v>
      </c>
      <c r="B5" s="179" t="s">
        <v>235</v>
      </c>
      <c r="C5" s="47" t="str">
        <f t="array" ref="C5">"DSDs: "&amp;SUM(IF(FREQUENCY(IF(LEN(DSDs)&gt;0,MATCH(DSDs,DSDs,0),""), IF(LEN(DSDs)&gt;0,MATCH(DSDs,DSDs,0),""))&gt;0,1))</f>
        <v>DSDs: 6</v>
      </c>
      <c r="D5" s="47" t="e">
        <f>"DSD Concept count. Max: "&amp;MAX(DSDDimCount)</f>
        <v>#N/A</v>
      </c>
      <c r="E5" s="183" t="s">
        <v>199</v>
      </c>
      <c r="F5" s="183"/>
      <c r="G5" s="183"/>
      <c r="H5" s="227" t="s">
        <v>209</v>
      </c>
      <c r="I5" s="227" t="s">
        <v>209</v>
      </c>
      <c r="J5" s="227"/>
      <c r="K5" s="292" t="s">
        <v>209</v>
      </c>
      <c r="L5" s="292" t="s">
        <v>360</v>
      </c>
      <c r="M5" s="292" t="s">
        <v>776</v>
      </c>
      <c r="N5" s="292" t="s">
        <v>234</v>
      </c>
      <c r="O5" s="292" t="s">
        <v>776</v>
      </c>
      <c r="P5" s="292" t="s">
        <v>208</v>
      </c>
      <c r="Q5" s="292" t="s">
        <v>234</v>
      </c>
      <c r="R5" s="292" t="s">
        <v>209</v>
      </c>
      <c r="S5" s="292" t="s">
        <v>776</v>
      </c>
      <c r="T5" s="292" t="s">
        <v>536</v>
      </c>
      <c r="U5" s="292" t="s">
        <v>776</v>
      </c>
      <c r="V5" s="292" t="s">
        <v>776</v>
      </c>
      <c r="W5" s="292" t="s">
        <v>234</v>
      </c>
      <c r="X5" s="292" t="s">
        <v>776</v>
      </c>
      <c r="Y5" s="292" t="s">
        <v>234</v>
      </c>
      <c r="Z5" s="292" t="s">
        <v>234</v>
      </c>
      <c r="AA5" s="292" t="s">
        <v>234</v>
      </c>
      <c r="AB5" s="292" t="s">
        <v>776</v>
      </c>
      <c r="AC5" s="292" t="s">
        <v>776</v>
      </c>
      <c r="AD5" s="292" t="s">
        <v>209</v>
      </c>
      <c r="AE5" s="292" t="s">
        <v>776</v>
      </c>
      <c r="AF5" s="292" t="s">
        <v>776</v>
      </c>
      <c r="AG5" s="292"/>
      <c r="AH5" s="292" t="s">
        <v>209</v>
      </c>
      <c r="AI5" s="293"/>
      <c r="AJ5" s="294"/>
      <c r="AK5" s="294"/>
      <c r="AL5" s="295"/>
      <c r="AM5" s="295"/>
      <c r="AN5" s="295"/>
      <c r="AO5" s="295"/>
      <c r="AP5" s="295"/>
      <c r="AQ5" s="295"/>
      <c r="AR5" s="295"/>
      <c r="AS5" s="295"/>
      <c r="AT5" s="295"/>
      <c r="AU5" s="295"/>
      <c r="AV5" s="295"/>
      <c r="AW5" s="295"/>
      <c r="AX5" s="295"/>
      <c r="AY5" s="294"/>
      <c r="AZ5" s="294"/>
      <c r="BA5" s="295"/>
      <c r="BB5" s="295"/>
      <c r="BC5" s="295"/>
      <c r="BD5" s="295"/>
      <c r="BE5" s="295"/>
      <c r="BF5" s="295"/>
      <c r="BG5" s="295"/>
      <c r="BH5" s="295"/>
    </row>
    <row r="6" spans="1:82" s="1" customFormat="1" ht="15" x14ac:dyDescent="0.25">
      <c r="A6" s="188" t="s">
        <v>2</v>
      </c>
      <c r="B6" s="188" t="s">
        <v>236</v>
      </c>
      <c r="C6" s="306" t="s">
        <v>711</v>
      </c>
      <c r="D6" s="184" t="e">
        <f t="shared" ref="D6:D52" si="0">INDEX( CountConsforDSDs, MATCH(C6,CountUniqueDSDs,0),0)</f>
        <v>#N/A</v>
      </c>
      <c r="E6" s="278" t="s">
        <v>716</v>
      </c>
      <c r="F6" s="189" t="s">
        <v>208</v>
      </c>
      <c r="G6" s="190" t="s">
        <v>208</v>
      </c>
      <c r="H6" s="227" t="s">
        <v>209</v>
      </c>
      <c r="I6" s="227" t="s">
        <v>209</v>
      </c>
      <c r="J6" s="227"/>
      <c r="K6" s="292" t="s">
        <v>209</v>
      </c>
      <c r="L6" s="292" t="s">
        <v>360</v>
      </c>
      <c r="M6" s="292" t="s">
        <v>776</v>
      </c>
      <c r="N6" s="292" t="s">
        <v>234</v>
      </c>
      <c r="O6" s="292" t="s">
        <v>776</v>
      </c>
      <c r="P6" s="292" t="s">
        <v>208</v>
      </c>
      <c r="Q6" s="292" t="s">
        <v>234</v>
      </c>
      <c r="R6" s="292" t="s">
        <v>209</v>
      </c>
      <c r="S6" s="292" t="s">
        <v>776</v>
      </c>
      <c r="T6" s="292" t="s">
        <v>536</v>
      </c>
      <c r="U6" s="292" t="s">
        <v>776</v>
      </c>
      <c r="V6" s="292" t="s">
        <v>776</v>
      </c>
      <c r="W6" s="292" t="s">
        <v>234</v>
      </c>
      <c r="X6" s="292" t="s">
        <v>776</v>
      </c>
      <c r="Y6" s="292" t="s">
        <v>234</v>
      </c>
      <c r="Z6" s="292" t="s">
        <v>234</v>
      </c>
      <c r="AA6" s="292" t="s">
        <v>234</v>
      </c>
      <c r="AB6" s="292" t="s">
        <v>776</v>
      </c>
      <c r="AC6" s="292" t="s">
        <v>776</v>
      </c>
      <c r="AD6" s="292" t="s">
        <v>209</v>
      </c>
      <c r="AE6" s="292" t="s">
        <v>776</v>
      </c>
      <c r="AF6" s="292" t="s">
        <v>776</v>
      </c>
      <c r="AG6" s="292"/>
      <c r="AH6" s="292" t="s">
        <v>209</v>
      </c>
      <c r="AI6" s="293"/>
      <c r="AJ6" s="294"/>
      <c r="AK6" s="294"/>
      <c r="AL6" s="295"/>
      <c r="AM6" s="295"/>
      <c r="AN6" s="295"/>
      <c r="AO6" s="295"/>
      <c r="AP6" s="295"/>
      <c r="AQ6" s="295"/>
      <c r="AR6" s="295"/>
      <c r="AS6" s="295"/>
      <c r="AT6" s="295"/>
      <c r="AU6" s="295"/>
      <c r="AV6" s="295"/>
      <c r="AW6" s="295"/>
      <c r="AX6" s="295"/>
      <c r="AY6" s="294"/>
      <c r="AZ6" s="294"/>
      <c r="BA6" s="295"/>
      <c r="BB6" s="295"/>
      <c r="BC6" s="295"/>
      <c r="BD6" s="295"/>
      <c r="BE6" s="295"/>
      <c r="BF6" s="295"/>
      <c r="BG6" s="295"/>
      <c r="BH6" s="295"/>
    </row>
    <row r="7" spans="1:82" s="1" customFormat="1" ht="15" x14ac:dyDescent="0.25">
      <c r="A7" s="188"/>
      <c r="B7" s="188"/>
      <c r="C7" s="306" t="s">
        <v>711</v>
      </c>
      <c r="D7" s="184" t="e">
        <f t="shared" si="0"/>
        <v>#N/A</v>
      </c>
      <c r="E7" s="277" t="s">
        <v>717</v>
      </c>
      <c r="F7" s="189" t="s">
        <v>208</v>
      </c>
      <c r="G7" s="190" t="s">
        <v>208</v>
      </c>
      <c r="H7" s="227" t="s">
        <v>209</v>
      </c>
      <c r="I7" s="227" t="s">
        <v>209</v>
      </c>
      <c r="J7" s="227"/>
      <c r="K7" s="292" t="s">
        <v>209</v>
      </c>
      <c r="L7" s="292" t="s">
        <v>360</v>
      </c>
      <c r="M7" s="292" t="s">
        <v>776</v>
      </c>
      <c r="N7" s="292" t="s">
        <v>234</v>
      </c>
      <c r="O7" s="292" t="s">
        <v>776</v>
      </c>
      <c r="P7" s="292" t="s">
        <v>208</v>
      </c>
      <c r="Q7" s="292" t="s">
        <v>234</v>
      </c>
      <c r="R7" s="292" t="s">
        <v>209</v>
      </c>
      <c r="S7" s="292" t="s">
        <v>776</v>
      </c>
      <c r="T7" s="292" t="s">
        <v>536</v>
      </c>
      <c r="U7" s="292" t="s">
        <v>776</v>
      </c>
      <c r="V7" s="292" t="s">
        <v>776</v>
      </c>
      <c r="W7" s="292" t="s">
        <v>234</v>
      </c>
      <c r="X7" s="292" t="s">
        <v>776</v>
      </c>
      <c r="Y7" s="292" t="s">
        <v>234</v>
      </c>
      <c r="Z7" s="292" t="s">
        <v>234</v>
      </c>
      <c r="AA7" s="292" t="s">
        <v>234</v>
      </c>
      <c r="AB7" s="292" t="s">
        <v>776</v>
      </c>
      <c r="AC7" s="292" t="s">
        <v>776</v>
      </c>
      <c r="AD7" s="292" t="s">
        <v>209</v>
      </c>
      <c r="AE7" s="292" t="s">
        <v>776</v>
      </c>
      <c r="AF7" s="292" t="s">
        <v>776</v>
      </c>
      <c r="AG7" s="292"/>
      <c r="AH7" s="292" t="s">
        <v>209</v>
      </c>
      <c r="AI7" s="293"/>
      <c r="AJ7" s="294"/>
      <c r="AK7" s="294"/>
      <c r="AL7" s="295"/>
      <c r="AM7" s="295"/>
      <c r="AN7" s="295"/>
      <c r="AO7" s="295"/>
      <c r="AP7" s="295"/>
      <c r="AQ7" s="295"/>
      <c r="AR7" s="295"/>
      <c r="AS7" s="295"/>
      <c r="AT7" s="295"/>
      <c r="AU7" s="295"/>
      <c r="AV7" s="295"/>
      <c r="AW7" s="295"/>
      <c r="AX7" s="295"/>
      <c r="AY7" s="294"/>
      <c r="AZ7" s="294"/>
      <c r="BA7" s="295"/>
      <c r="BB7" s="295"/>
      <c r="BC7" s="295"/>
      <c r="BD7" s="295"/>
      <c r="BE7" s="295"/>
      <c r="BF7" s="295"/>
      <c r="BG7" s="295"/>
      <c r="BH7" s="295"/>
    </row>
    <row r="8" spans="1:82" s="1" customFormat="1" ht="15" x14ac:dyDescent="0.25">
      <c r="A8" s="188"/>
      <c r="B8" s="188"/>
      <c r="C8" s="306" t="s">
        <v>711</v>
      </c>
      <c r="D8" s="184" t="e">
        <f t="shared" si="0"/>
        <v>#N/A</v>
      </c>
      <c r="E8" s="276" t="s">
        <v>712</v>
      </c>
      <c r="F8" s="189" t="s">
        <v>208</v>
      </c>
      <c r="G8" s="190" t="s">
        <v>208</v>
      </c>
      <c r="H8" s="227" t="s">
        <v>209</v>
      </c>
      <c r="I8" s="227" t="s">
        <v>208</v>
      </c>
      <c r="J8" s="227"/>
      <c r="K8" s="227" t="s">
        <v>209</v>
      </c>
      <c r="L8" s="227" t="s">
        <v>209</v>
      </c>
      <c r="M8" s="296" t="s">
        <v>776</v>
      </c>
      <c r="N8" s="227" t="s">
        <v>209</v>
      </c>
      <c r="O8" s="292" t="s">
        <v>776</v>
      </c>
      <c r="P8" s="227" t="s">
        <v>209</v>
      </c>
      <c r="Q8" s="292" t="s">
        <v>234</v>
      </c>
      <c r="R8" s="227" t="s">
        <v>209</v>
      </c>
      <c r="S8" s="292" t="s">
        <v>776</v>
      </c>
      <c r="T8" s="296" t="s">
        <v>776</v>
      </c>
      <c r="U8" s="292" t="s">
        <v>776</v>
      </c>
      <c r="V8" s="292" t="s">
        <v>776</v>
      </c>
      <c r="W8" s="227" t="s">
        <v>209</v>
      </c>
      <c r="X8" s="292" t="s">
        <v>776</v>
      </c>
      <c r="Y8" s="292" t="s">
        <v>234</v>
      </c>
      <c r="Z8" s="292" t="s">
        <v>234</v>
      </c>
      <c r="AA8" s="227" t="s">
        <v>209</v>
      </c>
      <c r="AB8" s="292" t="s">
        <v>776</v>
      </c>
      <c r="AC8" s="292" t="s">
        <v>776</v>
      </c>
      <c r="AD8" s="292" t="s">
        <v>776</v>
      </c>
      <c r="AE8" s="292" t="s">
        <v>776</v>
      </c>
      <c r="AF8" s="292" t="s">
        <v>776</v>
      </c>
      <c r="AG8" s="297"/>
      <c r="AH8" s="292" t="s">
        <v>776</v>
      </c>
      <c r="AI8" s="293"/>
      <c r="AJ8" s="294"/>
      <c r="AK8" s="294"/>
      <c r="AL8" s="294"/>
      <c r="AM8" s="294"/>
      <c r="AN8" s="294"/>
      <c r="AO8" s="294"/>
      <c r="AP8" s="294"/>
      <c r="AQ8" s="294"/>
      <c r="AR8" s="294"/>
      <c r="AS8" s="294"/>
      <c r="AT8" s="294"/>
      <c r="AU8" s="294"/>
      <c r="AV8" s="294"/>
      <c r="AW8" s="294"/>
      <c r="AX8" s="294"/>
      <c r="AY8" s="294"/>
      <c r="AZ8" s="294"/>
      <c r="BA8" s="294"/>
      <c r="BB8" s="294"/>
      <c r="BC8" s="294"/>
      <c r="BD8" s="294"/>
      <c r="BE8" s="294"/>
      <c r="BF8" s="294"/>
      <c r="BG8" s="294"/>
      <c r="BH8" s="294"/>
    </row>
    <row r="9" spans="1:82" s="1" customFormat="1" ht="15" x14ac:dyDescent="0.25">
      <c r="A9" s="188"/>
      <c r="B9" s="188"/>
      <c r="C9" s="307" t="s">
        <v>713</v>
      </c>
      <c r="D9" s="184" t="e">
        <f t="shared" si="0"/>
        <v>#N/A</v>
      </c>
      <c r="E9" s="277" t="s">
        <v>713</v>
      </c>
      <c r="F9" s="189" t="s">
        <v>208</v>
      </c>
      <c r="G9" s="190" t="s">
        <v>208</v>
      </c>
      <c r="H9" s="231" t="s">
        <v>777</v>
      </c>
      <c r="I9" s="231" t="s">
        <v>208</v>
      </c>
      <c r="J9" s="231"/>
      <c r="K9" s="292" t="s">
        <v>209</v>
      </c>
      <c r="L9" s="292" t="s">
        <v>209</v>
      </c>
      <c r="M9" s="231" t="s">
        <v>253</v>
      </c>
      <c r="N9" s="231" t="s">
        <v>234</v>
      </c>
      <c r="O9" s="231"/>
      <c r="P9" s="231" t="s">
        <v>12</v>
      </c>
      <c r="Q9" s="231" t="s">
        <v>311</v>
      </c>
      <c r="R9" s="231" t="s">
        <v>11</v>
      </c>
      <c r="S9" s="231"/>
      <c r="T9" s="231"/>
      <c r="U9" s="231" t="s">
        <v>209</v>
      </c>
      <c r="V9" s="231" t="s">
        <v>778</v>
      </c>
      <c r="W9" s="231"/>
      <c r="X9" s="231" t="s">
        <v>779</v>
      </c>
      <c r="Y9" s="231"/>
      <c r="Z9" s="231"/>
      <c r="AA9" s="231"/>
      <c r="AB9" s="231"/>
      <c r="AC9" s="231"/>
      <c r="AD9" s="231" t="s">
        <v>780</v>
      </c>
      <c r="AE9" s="227"/>
      <c r="AF9" s="227"/>
      <c r="AG9" s="296" t="s">
        <v>208</v>
      </c>
      <c r="AH9" s="227"/>
      <c r="AI9" s="293"/>
      <c r="AJ9" s="294"/>
      <c r="AK9" s="294"/>
      <c r="AL9" s="294"/>
      <c r="AM9" s="294"/>
      <c r="AN9" s="294"/>
      <c r="AO9" s="294"/>
      <c r="AP9" s="294"/>
      <c r="AQ9" s="294"/>
      <c r="AR9" s="294"/>
      <c r="AS9" s="294"/>
      <c r="AT9" s="294"/>
      <c r="AU9" s="294"/>
      <c r="AV9" s="294"/>
      <c r="AW9" s="294"/>
      <c r="AX9" s="294"/>
      <c r="AY9" s="294"/>
      <c r="AZ9" s="294"/>
      <c r="BA9" s="294"/>
      <c r="BB9" s="294"/>
      <c r="BC9" s="294"/>
      <c r="BD9" s="294"/>
      <c r="BE9" s="294"/>
      <c r="BF9" s="294"/>
      <c r="BG9" s="294"/>
      <c r="BH9" s="294"/>
    </row>
    <row r="10" spans="1:82" s="1" customFormat="1" ht="15" x14ac:dyDescent="0.25">
      <c r="A10" s="188"/>
      <c r="B10" s="188"/>
      <c r="C10" s="307" t="s">
        <v>715</v>
      </c>
      <c r="D10" s="184" t="e">
        <f t="shared" si="0"/>
        <v>#N/A</v>
      </c>
      <c r="E10" s="276" t="s">
        <v>715</v>
      </c>
      <c r="F10" s="189" t="s">
        <v>208</v>
      </c>
      <c r="G10" s="190" t="s">
        <v>208</v>
      </c>
      <c r="H10" s="231" t="s">
        <v>781</v>
      </c>
      <c r="I10" s="231" t="s">
        <v>208</v>
      </c>
      <c r="J10" s="231" t="s">
        <v>209</v>
      </c>
      <c r="K10" s="231" t="s">
        <v>209</v>
      </c>
      <c r="L10" s="231" t="s">
        <v>209</v>
      </c>
      <c r="M10" s="231" t="s">
        <v>253</v>
      </c>
      <c r="N10" s="231" t="s">
        <v>209</v>
      </c>
      <c r="O10" s="231"/>
      <c r="P10" s="231"/>
      <c r="Q10" s="231" t="s">
        <v>311</v>
      </c>
      <c r="R10" s="231" t="s">
        <v>11</v>
      </c>
      <c r="S10" s="231"/>
      <c r="T10" s="231" t="s">
        <v>540</v>
      </c>
      <c r="U10" s="231" t="s">
        <v>209</v>
      </c>
      <c r="V10" s="231" t="s">
        <v>209</v>
      </c>
      <c r="W10" s="231"/>
      <c r="X10" s="231"/>
      <c r="Y10" s="231"/>
      <c r="Z10" s="231"/>
      <c r="AA10" s="231" t="s">
        <v>209</v>
      </c>
      <c r="AB10" s="231"/>
      <c r="AC10" s="231"/>
      <c r="AD10" s="231" t="s">
        <v>209</v>
      </c>
      <c r="AE10" s="227"/>
      <c r="AF10" s="227"/>
      <c r="AG10" s="227"/>
      <c r="AH10" s="296"/>
      <c r="AI10" s="293"/>
      <c r="AJ10" s="294"/>
      <c r="AK10" s="294"/>
      <c r="AL10" s="294"/>
      <c r="AM10" s="294"/>
      <c r="AN10" s="294"/>
      <c r="AO10" s="294"/>
      <c r="AP10" s="294"/>
      <c r="AQ10" s="294"/>
      <c r="AR10" s="294"/>
      <c r="AS10" s="294"/>
      <c r="AT10" s="294"/>
      <c r="AU10" s="294"/>
      <c r="AV10" s="294"/>
      <c r="AW10" s="294"/>
      <c r="AX10" s="294"/>
      <c r="AY10" s="294"/>
      <c r="AZ10" s="294"/>
      <c r="BA10" s="294"/>
      <c r="BB10" s="294"/>
      <c r="BC10" s="294"/>
      <c r="BD10" s="294"/>
      <c r="BE10" s="294"/>
      <c r="BF10" s="294"/>
      <c r="BG10" s="294"/>
      <c r="BH10" s="294"/>
    </row>
    <row r="11" spans="1:82" s="1" customFormat="1" ht="15" x14ac:dyDescent="0.25">
      <c r="A11" s="188"/>
      <c r="B11" s="188"/>
      <c r="C11" s="307" t="s">
        <v>712</v>
      </c>
      <c r="D11" s="184" t="e">
        <f t="shared" si="0"/>
        <v>#N/A</v>
      </c>
      <c r="E11" s="277" t="s">
        <v>741</v>
      </c>
      <c r="F11" s="189" t="s">
        <v>208</v>
      </c>
      <c r="G11" s="190" t="s">
        <v>208</v>
      </c>
      <c r="H11" s="231" t="s">
        <v>7</v>
      </c>
      <c r="I11" s="227"/>
      <c r="J11" s="296" t="s">
        <v>208</v>
      </c>
      <c r="K11" s="292" t="s">
        <v>209</v>
      </c>
      <c r="L11" s="292" t="s">
        <v>209</v>
      </c>
      <c r="M11" s="227"/>
      <c r="N11" s="292" t="s">
        <v>209</v>
      </c>
      <c r="O11" s="227"/>
      <c r="P11" s="231" t="s">
        <v>209</v>
      </c>
      <c r="Q11" s="227"/>
      <c r="R11" s="298"/>
      <c r="S11" s="227"/>
      <c r="T11" s="296"/>
      <c r="U11" s="227"/>
      <c r="V11" s="227"/>
      <c r="W11" s="292" t="s">
        <v>209</v>
      </c>
      <c r="X11" s="227"/>
      <c r="Y11" s="227"/>
      <c r="Z11" s="231"/>
      <c r="AA11" s="292" t="s">
        <v>209</v>
      </c>
      <c r="AB11" s="231"/>
      <c r="AC11" s="231"/>
      <c r="AD11" s="231"/>
      <c r="AE11" s="299"/>
      <c r="AF11" s="299"/>
      <c r="AG11" s="299"/>
      <c r="AH11" s="297"/>
      <c r="AI11" s="293"/>
      <c r="AJ11" s="294"/>
      <c r="AK11" s="294"/>
      <c r="AL11" s="294"/>
      <c r="AM11" s="294"/>
      <c r="AN11" s="294"/>
      <c r="AO11" s="294"/>
      <c r="AP11" s="294"/>
      <c r="AQ11" s="294"/>
      <c r="AR11" s="294"/>
      <c r="AS11" s="294"/>
      <c r="AT11" s="294"/>
      <c r="AU11" s="294"/>
      <c r="AV11" s="294"/>
      <c r="AW11" s="294"/>
      <c r="AX11" s="294"/>
      <c r="AY11" s="294"/>
      <c r="AZ11" s="294"/>
      <c r="BA11" s="294"/>
      <c r="BB11" s="294"/>
      <c r="BC11" s="294"/>
      <c r="BD11" s="294"/>
      <c r="BE11" s="294"/>
      <c r="BF11" s="294"/>
      <c r="BG11" s="294"/>
      <c r="BH11" s="294"/>
    </row>
    <row r="12" spans="1:82" s="1" customFormat="1" ht="15" x14ac:dyDescent="0.25">
      <c r="A12" s="188"/>
      <c r="B12" s="188"/>
      <c r="C12" s="307" t="s">
        <v>712</v>
      </c>
      <c r="D12" s="184" t="e">
        <f t="shared" si="0"/>
        <v>#N/A</v>
      </c>
      <c r="E12" s="276" t="s">
        <v>742</v>
      </c>
      <c r="F12" s="189" t="s">
        <v>208</v>
      </c>
      <c r="G12" s="190" t="s">
        <v>208</v>
      </c>
      <c r="H12" s="231" t="s">
        <v>7</v>
      </c>
      <c r="I12" s="227"/>
      <c r="J12" s="296" t="s">
        <v>208</v>
      </c>
      <c r="K12" s="292" t="s">
        <v>209</v>
      </c>
      <c r="L12" s="292" t="s">
        <v>209</v>
      </c>
      <c r="M12" s="227"/>
      <c r="N12" s="292" t="s">
        <v>209</v>
      </c>
      <c r="O12" s="227"/>
      <c r="P12" s="231" t="s">
        <v>209</v>
      </c>
      <c r="Q12" s="227"/>
      <c r="R12" s="300"/>
      <c r="S12" s="227"/>
      <c r="T12" s="292"/>
      <c r="U12" s="231"/>
      <c r="V12" s="231"/>
      <c r="W12" s="292" t="s">
        <v>209</v>
      </c>
      <c r="X12" s="231"/>
      <c r="Y12" s="227"/>
      <c r="Z12" s="231"/>
      <c r="AA12" s="292" t="s">
        <v>209</v>
      </c>
      <c r="AB12" s="231"/>
      <c r="AC12" s="231"/>
      <c r="AD12" s="231"/>
      <c r="AE12" s="299"/>
      <c r="AF12" s="299"/>
      <c r="AG12" s="299"/>
      <c r="AH12" s="297"/>
      <c r="AI12" s="293"/>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row>
    <row r="13" spans="1:82" s="1" customFormat="1" ht="15" x14ac:dyDescent="0.25">
      <c r="A13" s="188"/>
      <c r="B13" s="188"/>
      <c r="C13" s="307" t="s">
        <v>714</v>
      </c>
      <c r="D13" s="184" t="e">
        <f t="shared" si="0"/>
        <v>#N/A</v>
      </c>
      <c r="E13" s="277" t="s">
        <v>743</v>
      </c>
      <c r="F13" s="189" t="s">
        <v>208</v>
      </c>
      <c r="G13" s="190" t="s">
        <v>208</v>
      </c>
      <c r="H13" s="231" t="s">
        <v>7</v>
      </c>
      <c r="I13" s="227" t="s">
        <v>208</v>
      </c>
      <c r="J13" s="227"/>
      <c r="K13" s="292" t="s">
        <v>209</v>
      </c>
      <c r="L13" s="292" t="s">
        <v>209</v>
      </c>
      <c r="M13" s="227"/>
      <c r="N13" s="292" t="s">
        <v>209</v>
      </c>
      <c r="O13" s="227"/>
      <c r="P13" s="292" t="s">
        <v>209</v>
      </c>
      <c r="Q13" s="227"/>
      <c r="R13" s="292"/>
      <c r="S13" s="227"/>
      <c r="T13" s="292"/>
      <c r="U13" s="231"/>
      <c r="V13" s="292"/>
      <c r="W13" s="231"/>
      <c r="X13" s="231"/>
      <c r="Y13" s="227"/>
      <c r="Z13" s="231"/>
      <c r="AA13" s="227"/>
      <c r="AB13" s="227"/>
      <c r="AC13" s="227"/>
      <c r="AD13" s="227"/>
      <c r="AE13" s="297"/>
      <c r="AF13" s="297"/>
      <c r="AG13" s="297"/>
      <c r="AH13" s="292"/>
      <c r="AI13" s="301"/>
      <c r="AJ13" s="294"/>
      <c r="AK13" s="294"/>
      <c r="AL13" s="294"/>
      <c r="AM13" s="294"/>
      <c r="AN13" s="294"/>
      <c r="AO13" s="294"/>
      <c r="AP13" s="294"/>
      <c r="AQ13" s="294"/>
      <c r="AR13" s="294"/>
      <c r="AS13" s="294"/>
      <c r="AT13" s="294"/>
      <c r="AU13" s="294"/>
      <c r="AV13" s="294"/>
      <c r="AW13" s="294"/>
      <c r="AX13" s="294"/>
      <c r="AY13" s="294"/>
      <c r="AZ13" s="294"/>
      <c r="BA13" s="294"/>
      <c r="BB13" s="294"/>
      <c r="BC13" s="294"/>
      <c r="BD13" s="294"/>
      <c r="BE13" s="294"/>
      <c r="BF13" s="294"/>
      <c r="BG13" s="294"/>
      <c r="BH13" s="294"/>
    </row>
    <row r="14" spans="1:82" s="1" customFormat="1" ht="15" x14ac:dyDescent="0.25">
      <c r="A14" s="188"/>
      <c r="B14" s="188"/>
      <c r="C14" s="307" t="s">
        <v>714</v>
      </c>
      <c r="D14" s="184" t="e">
        <f t="shared" si="0"/>
        <v>#N/A</v>
      </c>
      <c r="E14" s="276" t="s">
        <v>744</v>
      </c>
      <c r="F14" s="189" t="s">
        <v>208</v>
      </c>
      <c r="G14" s="190" t="s">
        <v>208</v>
      </c>
      <c r="H14" s="231" t="s">
        <v>11</v>
      </c>
      <c r="I14" s="227" t="s">
        <v>208</v>
      </c>
      <c r="J14" s="227"/>
      <c r="K14" s="292" t="s">
        <v>209</v>
      </c>
      <c r="L14" s="292" t="s">
        <v>209</v>
      </c>
      <c r="M14" s="227"/>
      <c r="N14" s="292" t="s">
        <v>209</v>
      </c>
      <c r="O14" s="227"/>
      <c r="P14" s="231" t="s">
        <v>776</v>
      </c>
      <c r="Q14" s="227"/>
      <c r="R14" s="292"/>
      <c r="S14" s="227"/>
      <c r="T14" s="292"/>
      <c r="U14" s="292"/>
      <c r="V14" s="292"/>
      <c r="W14" s="231"/>
      <c r="X14" s="231"/>
      <c r="Y14" s="227"/>
      <c r="Z14" s="231"/>
      <c r="AA14" s="227"/>
      <c r="AB14" s="227"/>
      <c r="AC14" s="227"/>
      <c r="AD14" s="227"/>
      <c r="AE14" s="297"/>
      <c r="AF14" s="297"/>
      <c r="AG14" s="297"/>
      <c r="AH14" s="292"/>
      <c r="AI14" s="301"/>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82" s="1" customFormat="1" ht="15" x14ac:dyDescent="0.25">
      <c r="A15" s="188"/>
      <c r="B15" s="188"/>
      <c r="C15" s="307" t="s">
        <v>714</v>
      </c>
      <c r="D15" s="184" t="e">
        <f t="shared" si="0"/>
        <v>#N/A</v>
      </c>
      <c r="E15" s="277" t="s">
        <v>745</v>
      </c>
      <c r="F15" s="189" t="s">
        <v>208</v>
      </c>
      <c r="G15" s="190" t="s">
        <v>208</v>
      </c>
      <c r="H15" s="231" t="s">
        <v>11</v>
      </c>
      <c r="I15" s="227" t="s">
        <v>208</v>
      </c>
      <c r="J15" s="227"/>
      <c r="K15" s="292" t="s">
        <v>209</v>
      </c>
      <c r="L15" s="292" t="s">
        <v>209</v>
      </c>
      <c r="M15" s="227"/>
      <c r="N15" s="292" t="s">
        <v>209</v>
      </c>
      <c r="O15" s="227"/>
      <c r="P15" s="231" t="s">
        <v>776</v>
      </c>
      <c r="Q15" s="227"/>
      <c r="R15" s="292"/>
      <c r="S15" s="227"/>
      <c r="T15" s="292"/>
      <c r="U15" s="292"/>
      <c r="V15" s="292"/>
      <c r="W15" s="231"/>
      <c r="X15" s="231"/>
      <c r="Y15" s="227"/>
      <c r="Z15" s="231"/>
      <c r="AA15" s="227"/>
      <c r="AB15" s="227"/>
      <c r="AC15" s="227"/>
      <c r="AD15" s="227"/>
      <c r="AE15" s="297"/>
      <c r="AF15" s="297"/>
      <c r="AG15" s="297"/>
      <c r="AH15" s="297"/>
      <c r="AI15" s="293"/>
      <c r="AJ15" s="294"/>
      <c r="AK15" s="294"/>
      <c r="AL15" s="294"/>
      <c r="AM15" s="294"/>
      <c r="AN15" s="294"/>
      <c r="AO15" s="294"/>
      <c r="AP15" s="294"/>
      <c r="AQ15" s="294"/>
      <c r="AR15" s="294"/>
      <c r="AS15" s="294"/>
      <c r="AT15" s="294"/>
      <c r="AU15" s="294"/>
      <c r="AV15" s="294"/>
      <c r="AW15" s="294"/>
      <c r="AX15" s="294"/>
      <c r="AY15" s="294"/>
      <c r="AZ15" s="294"/>
      <c r="BA15" s="294"/>
      <c r="BB15" s="294"/>
      <c r="BC15" s="294"/>
      <c r="BD15" s="294"/>
      <c r="BE15" s="294"/>
      <c r="BF15" s="294"/>
      <c r="BG15" s="294"/>
      <c r="BH15" s="294"/>
    </row>
    <row r="16" spans="1:82" s="1" customFormat="1" ht="15" x14ac:dyDescent="0.25">
      <c r="A16" s="188"/>
      <c r="B16" s="188"/>
      <c r="C16" s="307" t="s">
        <v>714</v>
      </c>
      <c r="D16" s="184" t="e">
        <f t="shared" si="0"/>
        <v>#N/A</v>
      </c>
      <c r="E16" s="276" t="s">
        <v>746</v>
      </c>
      <c r="F16" s="189" t="s">
        <v>208</v>
      </c>
      <c r="G16" s="190" t="s">
        <v>208</v>
      </c>
      <c r="H16" s="231" t="s">
        <v>7</v>
      </c>
      <c r="I16" s="227" t="s">
        <v>209</v>
      </c>
      <c r="J16" s="227"/>
      <c r="K16" s="231" t="s">
        <v>209</v>
      </c>
      <c r="L16" s="231" t="s">
        <v>782</v>
      </c>
      <c r="M16" s="227"/>
      <c r="N16" s="292" t="s">
        <v>209</v>
      </c>
      <c r="O16" s="227"/>
      <c r="P16" s="231" t="s">
        <v>209</v>
      </c>
      <c r="Q16" s="227"/>
      <c r="R16" s="231"/>
      <c r="S16" s="227"/>
      <c r="T16" s="292"/>
      <c r="U16" s="231"/>
      <c r="V16" s="292"/>
      <c r="W16" s="231"/>
      <c r="X16" s="231"/>
      <c r="Y16" s="227"/>
      <c r="Z16" s="231"/>
      <c r="AA16" s="227"/>
      <c r="AB16" s="227"/>
      <c r="AC16" s="227"/>
      <c r="AD16" s="227"/>
      <c r="AE16" s="297"/>
      <c r="AF16" s="297"/>
      <c r="AG16" s="297"/>
      <c r="AH16" s="299"/>
      <c r="AI16" s="302"/>
      <c r="AJ16" s="294"/>
      <c r="AK16" s="294"/>
      <c r="AL16" s="294"/>
      <c r="AM16" s="294"/>
      <c r="AN16" s="294"/>
      <c r="AO16" s="294"/>
      <c r="AP16" s="294"/>
      <c r="AQ16" s="294"/>
      <c r="AR16" s="294"/>
      <c r="AS16" s="294"/>
      <c r="AT16" s="294"/>
      <c r="AU16" s="294"/>
      <c r="AV16" s="294"/>
      <c r="AW16" s="294"/>
      <c r="AX16" s="294"/>
      <c r="AY16" s="294"/>
      <c r="AZ16" s="294"/>
      <c r="BA16" s="294"/>
      <c r="BB16" s="294"/>
      <c r="BC16" s="294"/>
      <c r="BD16" s="294"/>
      <c r="BE16" s="294"/>
      <c r="BF16" s="294"/>
      <c r="BG16" s="294"/>
      <c r="BH16" s="294"/>
    </row>
    <row r="17" spans="1:60" s="1" customFormat="1" ht="15" x14ac:dyDescent="0.25">
      <c r="A17" s="188"/>
      <c r="B17" s="188"/>
      <c r="C17" s="307" t="s">
        <v>251</v>
      </c>
      <c r="D17" s="184" t="e">
        <f t="shared" si="0"/>
        <v>#N/A</v>
      </c>
      <c r="E17" s="277" t="s">
        <v>749</v>
      </c>
      <c r="F17" s="189" t="s">
        <v>208</v>
      </c>
      <c r="G17" s="190" t="s">
        <v>208</v>
      </c>
      <c r="H17" s="227" t="s">
        <v>209</v>
      </c>
      <c r="I17" s="227" t="s">
        <v>208</v>
      </c>
      <c r="J17" s="227"/>
      <c r="K17" s="227" t="s">
        <v>209</v>
      </c>
      <c r="L17" s="227" t="s">
        <v>209</v>
      </c>
      <c r="M17" s="296" t="s">
        <v>311</v>
      </c>
      <c r="N17" s="227" t="s">
        <v>209</v>
      </c>
      <c r="O17" s="227" t="s">
        <v>208</v>
      </c>
      <c r="P17" s="296" t="s">
        <v>776</v>
      </c>
      <c r="Q17" s="227" t="s">
        <v>311</v>
      </c>
      <c r="R17" s="227" t="s">
        <v>209</v>
      </c>
      <c r="S17" s="296" t="s">
        <v>209</v>
      </c>
      <c r="T17" s="227" t="s">
        <v>209</v>
      </c>
      <c r="U17" s="227" t="s">
        <v>209</v>
      </c>
      <c r="V17" s="296" t="s">
        <v>776</v>
      </c>
      <c r="W17" s="227" t="s">
        <v>209</v>
      </c>
      <c r="X17" s="296" t="s">
        <v>208</v>
      </c>
      <c r="Y17" s="296" t="s">
        <v>776</v>
      </c>
      <c r="Z17" s="296" t="s">
        <v>776</v>
      </c>
      <c r="AA17" s="292" t="s">
        <v>209</v>
      </c>
      <c r="AB17" s="296" t="s">
        <v>776</v>
      </c>
      <c r="AC17" s="296" t="s">
        <v>776</v>
      </c>
      <c r="AD17" s="292" t="s">
        <v>209</v>
      </c>
      <c r="AE17" s="296" t="s">
        <v>776</v>
      </c>
      <c r="AF17" s="296" t="s">
        <v>776</v>
      </c>
      <c r="AG17" s="296"/>
      <c r="AH17" s="296" t="s">
        <v>776</v>
      </c>
      <c r="AI17" s="302"/>
      <c r="AJ17" s="294"/>
      <c r="AK17" s="293" t="s">
        <v>209</v>
      </c>
      <c r="AL17" s="293" t="s">
        <v>209</v>
      </c>
      <c r="AM17" s="293" t="s">
        <v>209</v>
      </c>
      <c r="AN17" s="293"/>
      <c r="AO17" s="293" t="s">
        <v>209</v>
      </c>
      <c r="AP17" s="293" t="s">
        <v>209</v>
      </c>
      <c r="AQ17" s="293" t="s">
        <v>209</v>
      </c>
      <c r="AR17" s="293" t="s">
        <v>209</v>
      </c>
      <c r="AS17" s="293" t="s">
        <v>209</v>
      </c>
      <c r="AT17" s="293" t="s">
        <v>209</v>
      </c>
      <c r="AU17" s="293" t="s">
        <v>209</v>
      </c>
      <c r="AV17" s="293" t="s">
        <v>209</v>
      </c>
      <c r="AW17" s="293" t="s">
        <v>209</v>
      </c>
      <c r="AX17" s="293" t="s">
        <v>209</v>
      </c>
      <c r="AY17" s="294"/>
      <c r="AZ17" s="293" t="s">
        <v>209</v>
      </c>
      <c r="BA17" s="293" t="s">
        <v>209</v>
      </c>
      <c r="BB17" s="293" t="s">
        <v>209</v>
      </c>
      <c r="BC17" s="293"/>
      <c r="BD17" s="293" t="s">
        <v>209</v>
      </c>
      <c r="BE17" s="293" t="s">
        <v>209</v>
      </c>
      <c r="BF17" s="293" t="s">
        <v>209</v>
      </c>
      <c r="BG17" s="293" t="s">
        <v>209</v>
      </c>
      <c r="BH17" s="293" t="s">
        <v>209</v>
      </c>
    </row>
    <row r="18" spans="1:60" s="1" customFormat="1" ht="15" x14ac:dyDescent="0.25">
      <c r="A18" s="188"/>
      <c r="B18" s="188"/>
      <c r="C18" s="307" t="s">
        <v>251</v>
      </c>
      <c r="D18" s="184" t="e">
        <f t="shared" si="0"/>
        <v>#N/A</v>
      </c>
      <c r="E18" s="276" t="s">
        <v>718</v>
      </c>
      <c r="F18" s="189" t="s">
        <v>208</v>
      </c>
      <c r="G18" s="190" t="s">
        <v>208</v>
      </c>
      <c r="H18" s="227" t="s">
        <v>11</v>
      </c>
      <c r="I18" s="227" t="s">
        <v>208</v>
      </c>
      <c r="J18" s="227"/>
      <c r="K18" s="227" t="s">
        <v>209</v>
      </c>
      <c r="L18" s="227" t="s">
        <v>209</v>
      </c>
      <c r="M18" s="296" t="s">
        <v>311</v>
      </c>
      <c r="N18" s="227" t="s">
        <v>234</v>
      </c>
      <c r="O18" s="296" t="s">
        <v>776</v>
      </c>
      <c r="P18" s="296" t="s">
        <v>776</v>
      </c>
      <c r="Q18" s="296" t="s">
        <v>311</v>
      </c>
      <c r="R18" s="227" t="s">
        <v>209</v>
      </c>
      <c r="S18" s="296" t="s">
        <v>776</v>
      </c>
      <c r="T18" s="296" t="s">
        <v>776</v>
      </c>
      <c r="U18" s="227" t="s">
        <v>209</v>
      </c>
      <c r="V18" s="296" t="s">
        <v>776</v>
      </c>
      <c r="W18" s="296" t="s">
        <v>776</v>
      </c>
      <c r="X18" s="296" t="s">
        <v>208</v>
      </c>
      <c r="Y18" s="296" t="s">
        <v>776</v>
      </c>
      <c r="Z18" s="296" t="s">
        <v>776</v>
      </c>
      <c r="AA18" s="227" t="s">
        <v>234</v>
      </c>
      <c r="AB18" s="296" t="s">
        <v>776</v>
      </c>
      <c r="AC18" s="296" t="s">
        <v>776</v>
      </c>
      <c r="AD18" s="292" t="s">
        <v>209</v>
      </c>
      <c r="AE18" s="296" t="s">
        <v>776</v>
      </c>
      <c r="AF18" s="296" t="s">
        <v>776</v>
      </c>
      <c r="AG18" s="296"/>
      <c r="AH18" s="296" t="s">
        <v>776</v>
      </c>
      <c r="AI18" s="293"/>
      <c r="AJ18" s="294"/>
      <c r="AK18" s="293" t="s">
        <v>209</v>
      </c>
      <c r="AL18" s="293" t="s">
        <v>209</v>
      </c>
      <c r="AM18" s="293" t="s">
        <v>209</v>
      </c>
      <c r="AN18" s="293"/>
      <c r="AO18" s="293" t="s">
        <v>209</v>
      </c>
      <c r="AP18" s="293" t="s">
        <v>209</v>
      </c>
      <c r="AQ18" s="293" t="s">
        <v>209</v>
      </c>
      <c r="AR18" s="293" t="s">
        <v>209</v>
      </c>
      <c r="AS18" s="293" t="s">
        <v>209</v>
      </c>
      <c r="AT18" s="293" t="s">
        <v>209</v>
      </c>
      <c r="AU18" s="293" t="s">
        <v>209</v>
      </c>
      <c r="AV18" s="293" t="s">
        <v>209</v>
      </c>
      <c r="AW18" s="293" t="s">
        <v>209</v>
      </c>
      <c r="AX18" s="293" t="s">
        <v>209</v>
      </c>
      <c r="AY18" s="294"/>
      <c r="AZ18" s="293" t="s">
        <v>209</v>
      </c>
      <c r="BA18" s="293" t="s">
        <v>209</v>
      </c>
      <c r="BB18" s="293" t="s">
        <v>209</v>
      </c>
      <c r="BC18" s="293"/>
      <c r="BD18" s="293" t="s">
        <v>209</v>
      </c>
      <c r="BE18" s="293" t="s">
        <v>209</v>
      </c>
      <c r="BF18" s="293" t="s">
        <v>209</v>
      </c>
      <c r="BG18" s="293" t="s">
        <v>209</v>
      </c>
      <c r="BH18" s="293" t="s">
        <v>209</v>
      </c>
    </row>
    <row r="19" spans="1:60" s="1" customFormat="1" ht="15" x14ac:dyDescent="0.25">
      <c r="A19" s="188"/>
      <c r="B19" s="188"/>
      <c r="C19" s="307" t="s">
        <v>251</v>
      </c>
      <c r="D19" s="184" t="e">
        <f t="shared" si="0"/>
        <v>#N/A</v>
      </c>
      <c r="E19" s="277" t="s">
        <v>719</v>
      </c>
      <c r="F19" s="189" t="s">
        <v>208</v>
      </c>
      <c r="G19" s="190" t="s">
        <v>208</v>
      </c>
      <c r="H19" s="227" t="s">
        <v>7</v>
      </c>
      <c r="I19" s="227" t="s">
        <v>208</v>
      </c>
      <c r="J19" s="227"/>
      <c r="K19" s="227" t="s">
        <v>209</v>
      </c>
      <c r="L19" s="227" t="s">
        <v>209</v>
      </c>
      <c r="M19" s="227" t="s">
        <v>253</v>
      </c>
      <c r="N19" s="227" t="s">
        <v>208</v>
      </c>
      <c r="O19" s="296" t="s">
        <v>776</v>
      </c>
      <c r="P19" s="227" t="s">
        <v>209</v>
      </c>
      <c r="Q19" s="227" t="s">
        <v>311</v>
      </c>
      <c r="R19" s="227" t="s">
        <v>209</v>
      </c>
      <c r="S19" s="296" t="s">
        <v>776</v>
      </c>
      <c r="T19" s="227" t="s">
        <v>209</v>
      </c>
      <c r="U19" s="296" t="s">
        <v>776</v>
      </c>
      <c r="V19" s="296" t="s">
        <v>776</v>
      </c>
      <c r="W19" s="296" t="s">
        <v>776</v>
      </c>
      <c r="X19" s="303" t="s">
        <v>779</v>
      </c>
      <c r="Y19" s="296" t="s">
        <v>776</v>
      </c>
      <c r="Z19" s="296" t="s">
        <v>776</v>
      </c>
      <c r="AA19" s="296" t="s">
        <v>776</v>
      </c>
      <c r="AB19" s="296" t="s">
        <v>776</v>
      </c>
      <c r="AC19" s="296" t="s">
        <v>776</v>
      </c>
      <c r="AD19" s="296" t="s">
        <v>776</v>
      </c>
      <c r="AE19" s="296" t="s">
        <v>776</v>
      </c>
      <c r="AF19" s="296" t="s">
        <v>776</v>
      </c>
      <c r="AG19" s="296"/>
      <c r="AH19" s="296" t="s">
        <v>776</v>
      </c>
      <c r="AI19" s="293"/>
      <c r="AJ19" s="294"/>
      <c r="AK19" s="294"/>
      <c r="AL19" s="294"/>
      <c r="AM19" s="294"/>
      <c r="AN19" s="294"/>
      <c r="AO19" s="294"/>
      <c r="AP19" s="294"/>
      <c r="AQ19" s="294"/>
      <c r="AR19" s="294"/>
      <c r="AS19" s="294"/>
      <c r="AT19" s="294"/>
      <c r="AU19" s="294"/>
      <c r="AV19" s="294"/>
      <c r="AW19" s="294"/>
      <c r="AX19" s="294"/>
      <c r="AY19" s="294"/>
      <c r="AZ19" s="294"/>
      <c r="BA19" s="294"/>
      <c r="BB19" s="294"/>
      <c r="BC19" s="294"/>
      <c r="BD19" s="294"/>
      <c r="BE19" s="294"/>
      <c r="BF19" s="294"/>
      <c r="BG19" s="294"/>
      <c r="BH19" s="294"/>
    </row>
    <row r="20" spans="1:60" s="1" customFormat="1" ht="15" x14ac:dyDescent="0.25">
      <c r="A20" s="188"/>
      <c r="B20" s="188"/>
      <c r="C20" s="307" t="s">
        <v>251</v>
      </c>
      <c r="D20" s="184" t="e">
        <f t="shared" si="0"/>
        <v>#N/A</v>
      </c>
      <c r="E20" s="276" t="s">
        <v>720</v>
      </c>
      <c r="F20" s="189" t="s">
        <v>208</v>
      </c>
      <c r="G20" s="190" t="s">
        <v>208</v>
      </c>
      <c r="H20" s="227" t="s">
        <v>11</v>
      </c>
      <c r="I20" s="227" t="s">
        <v>208</v>
      </c>
      <c r="J20" s="227"/>
      <c r="K20" s="227" t="s">
        <v>209</v>
      </c>
      <c r="L20" s="227" t="s">
        <v>209</v>
      </c>
      <c r="M20" s="227" t="s">
        <v>311</v>
      </c>
      <c r="N20" s="296" t="s">
        <v>776</v>
      </c>
      <c r="O20" s="296" t="s">
        <v>776</v>
      </c>
      <c r="P20" s="296" t="s">
        <v>776</v>
      </c>
      <c r="Q20" s="227" t="s">
        <v>311</v>
      </c>
      <c r="R20" s="296" t="s">
        <v>776</v>
      </c>
      <c r="S20" s="296" t="s">
        <v>776</v>
      </c>
      <c r="T20" s="296" t="s">
        <v>776</v>
      </c>
      <c r="U20" s="296" t="s">
        <v>776</v>
      </c>
      <c r="V20" s="296" t="s">
        <v>776</v>
      </c>
      <c r="W20" s="296" t="s">
        <v>776</v>
      </c>
      <c r="X20" s="296" t="s">
        <v>776</v>
      </c>
      <c r="Y20" s="296" t="s">
        <v>776</v>
      </c>
      <c r="Z20" s="296" t="s">
        <v>776</v>
      </c>
      <c r="AA20" s="296" t="s">
        <v>776</v>
      </c>
      <c r="AB20" s="296" t="s">
        <v>776</v>
      </c>
      <c r="AC20" s="296" t="s">
        <v>776</v>
      </c>
      <c r="AD20" s="292" t="s">
        <v>209</v>
      </c>
      <c r="AE20" s="296" t="s">
        <v>776</v>
      </c>
      <c r="AF20" s="296" t="s">
        <v>776</v>
      </c>
      <c r="AG20" s="296"/>
      <c r="AH20" s="296" t="s">
        <v>776</v>
      </c>
      <c r="AI20" s="293"/>
      <c r="AJ20" s="294"/>
      <c r="AK20" s="293" t="s">
        <v>209</v>
      </c>
      <c r="AL20" s="293" t="s">
        <v>209</v>
      </c>
      <c r="AM20" s="293" t="s">
        <v>209</v>
      </c>
      <c r="AN20" s="293"/>
      <c r="AO20" s="293" t="s">
        <v>209</v>
      </c>
      <c r="AP20" s="293" t="s">
        <v>209</v>
      </c>
      <c r="AQ20" s="293" t="s">
        <v>209</v>
      </c>
      <c r="AR20" s="293" t="s">
        <v>209</v>
      </c>
      <c r="AS20" s="293" t="s">
        <v>209</v>
      </c>
      <c r="AT20" s="293" t="s">
        <v>209</v>
      </c>
      <c r="AU20" s="293" t="s">
        <v>209</v>
      </c>
      <c r="AV20" s="293" t="s">
        <v>209</v>
      </c>
      <c r="AW20" s="293" t="s">
        <v>209</v>
      </c>
      <c r="AX20" s="293" t="s">
        <v>209</v>
      </c>
      <c r="AY20" s="294"/>
      <c r="AZ20" s="293" t="s">
        <v>209</v>
      </c>
      <c r="BA20" s="293" t="s">
        <v>209</v>
      </c>
      <c r="BB20" s="293" t="s">
        <v>209</v>
      </c>
      <c r="BC20" s="293"/>
      <c r="BD20" s="293" t="s">
        <v>209</v>
      </c>
      <c r="BE20" s="293" t="s">
        <v>209</v>
      </c>
      <c r="BF20" s="293" t="s">
        <v>209</v>
      </c>
      <c r="BG20" s="293" t="s">
        <v>209</v>
      </c>
      <c r="BH20" s="293" t="s">
        <v>209</v>
      </c>
    </row>
    <row r="21" spans="1:60" s="1" customFormat="1" ht="15" x14ac:dyDescent="0.25">
      <c r="A21" s="188"/>
      <c r="B21" s="188"/>
      <c r="C21" s="307" t="s">
        <v>251</v>
      </c>
      <c r="D21" s="184" t="e">
        <f t="shared" si="0"/>
        <v>#N/A</v>
      </c>
      <c r="E21" s="277" t="s">
        <v>721</v>
      </c>
      <c r="F21" s="189" t="s">
        <v>208</v>
      </c>
      <c r="G21" s="190" t="s">
        <v>208</v>
      </c>
      <c r="H21" s="227" t="s">
        <v>11</v>
      </c>
      <c r="I21" s="227" t="s">
        <v>208</v>
      </c>
      <c r="J21" s="227"/>
      <c r="K21" s="227" t="s">
        <v>209</v>
      </c>
      <c r="L21" s="227" t="s">
        <v>209</v>
      </c>
      <c r="M21" s="227" t="s">
        <v>311</v>
      </c>
      <c r="N21" s="296" t="s">
        <v>776</v>
      </c>
      <c r="O21" s="296" t="s">
        <v>776</v>
      </c>
      <c r="P21" s="296" t="s">
        <v>776</v>
      </c>
      <c r="Q21" s="227" t="s">
        <v>311</v>
      </c>
      <c r="R21" s="296" t="s">
        <v>776</v>
      </c>
      <c r="S21" s="296" t="s">
        <v>776</v>
      </c>
      <c r="T21" s="296" t="s">
        <v>776</v>
      </c>
      <c r="U21" s="296" t="s">
        <v>776</v>
      </c>
      <c r="V21" s="296" t="s">
        <v>776</v>
      </c>
      <c r="W21" s="296" t="s">
        <v>776</v>
      </c>
      <c r="X21" s="296" t="s">
        <v>776</v>
      </c>
      <c r="Y21" s="296" t="s">
        <v>776</v>
      </c>
      <c r="Z21" s="296" t="s">
        <v>776</v>
      </c>
      <c r="AA21" s="296" t="s">
        <v>776</v>
      </c>
      <c r="AB21" s="296" t="s">
        <v>776</v>
      </c>
      <c r="AC21" s="296" t="s">
        <v>776</v>
      </c>
      <c r="AD21" s="292" t="s">
        <v>209</v>
      </c>
      <c r="AE21" s="296" t="s">
        <v>776</v>
      </c>
      <c r="AF21" s="296" t="s">
        <v>776</v>
      </c>
      <c r="AG21" s="296"/>
      <c r="AH21" s="296" t="s">
        <v>776</v>
      </c>
      <c r="AI21" s="293"/>
      <c r="AJ21" s="294"/>
      <c r="AK21" s="293" t="s">
        <v>209</v>
      </c>
      <c r="AL21" s="293" t="s">
        <v>209</v>
      </c>
      <c r="AM21" s="293" t="s">
        <v>209</v>
      </c>
      <c r="AN21" s="293"/>
      <c r="AO21" s="293" t="s">
        <v>209</v>
      </c>
      <c r="AP21" s="293" t="s">
        <v>209</v>
      </c>
      <c r="AQ21" s="293" t="s">
        <v>209</v>
      </c>
      <c r="AR21" s="293" t="s">
        <v>209</v>
      </c>
      <c r="AS21" s="293" t="s">
        <v>209</v>
      </c>
      <c r="AT21" s="293" t="s">
        <v>209</v>
      </c>
      <c r="AU21" s="293" t="s">
        <v>209</v>
      </c>
      <c r="AV21" s="293" t="s">
        <v>209</v>
      </c>
      <c r="AW21" s="293" t="s">
        <v>209</v>
      </c>
      <c r="AX21" s="293" t="s">
        <v>209</v>
      </c>
      <c r="AY21" s="294"/>
      <c r="AZ21" s="293" t="s">
        <v>209</v>
      </c>
      <c r="BA21" s="293" t="s">
        <v>209</v>
      </c>
      <c r="BB21" s="293" t="s">
        <v>209</v>
      </c>
      <c r="BC21" s="293"/>
      <c r="BD21" s="293" t="s">
        <v>209</v>
      </c>
      <c r="BE21" s="293" t="s">
        <v>209</v>
      </c>
      <c r="BF21" s="293" t="s">
        <v>209</v>
      </c>
      <c r="BG21" s="293" t="s">
        <v>209</v>
      </c>
      <c r="BH21" s="293" t="s">
        <v>209</v>
      </c>
    </row>
    <row r="22" spans="1:60" s="1" customFormat="1" ht="15" x14ac:dyDescent="0.25">
      <c r="A22" s="188"/>
      <c r="B22" s="188"/>
      <c r="C22" s="307" t="s">
        <v>251</v>
      </c>
      <c r="D22" s="184" t="e">
        <f t="shared" si="0"/>
        <v>#N/A</v>
      </c>
      <c r="E22" s="276" t="s">
        <v>345</v>
      </c>
      <c r="F22" s="189" t="s">
        <v>208</v>
      </c>
      <c r="G22" s="190" t="s">
        <v>208</v>
      </c>
      <c r="H22" s="227" t="s">
        <v>11</v>
      </c>
      <c r="I22" s="227" t="s">
        <v>208</v>
      </c>
      <c r="J22" s="227"/>
      <c r="K22" s="227" t="s">
        <v>209</v>
      </c>
      <c r="L22" s="227" t="s">
        <v>209</v>
      </c>
      <c r="M22" s="296" t="s">
        <v>776</v>
      </c>
      <c r="N22" s="296" t="s">
        <v>776</v>
      </c>
      <c r="O22" s="296" t="s">
        <v>776</v>
      </c>
      <c r="P22" s="296" t="s">
        <v>776</v>
      </c>
      <c r="Q22" s="296" t="s">
        <v>776</v>
      </c>
      <c r="R22" s="296" t="s">
        <v>776</v>
      </c>
      <c r="S22" s="296" t="s">
        <v>776</v>
      </c>
      <c r="T22" s="296" t="s">
        <v>776</v>
      </c>
      <c r="U22" s="296" t="s">
        <v>776</v>
      </c>
      <c r="V22" s="296" t="s">
        <v>776</v>
      </c>
      <c r="W22" s="296" t="s">
        <v>776</v>
      </c>
      <c r="X22" s="296" t="s">
        <v>776</v>
      </c>
      <c r="Y22" s="296" t="s">
        <v>776</v>
      </c>
      <c r="Z22" s="296" t="s">
        <v>776</v>
      </c>
      <c r="AA22" s="296" t="s">
        <v>776</v>
      </c>
      <c r="AB22" s="296" t="s">
        <v>776</v>
      </c>
      <c r="AC22" s="296" t="s">
        <v>776</v>
      </c>
      <c r="AD22" s="292" t="s">
        <v>209</v>
      </c>
      <c r="AE22" s="296" t="s">
        <v>776</v>
      </c>
      <c r="AF22" s="296" t="s">
        <v>776</v>
      </c>
      <c r="AG22" s="296"/>
      <c r="AH22" s="296" t="s">
        <v>776</v>
      </c>
      <c r="AI22" s="293"/>
      <c r="AJ22" s="294"/>
      <c r="AK22" s="293" t="s">
        <v>209</v>
      </c>
      <c r="AL22" s="293" t="s">
        <v>209</v>
      </c>
      <c r="AM22" s="293" t="s">
        <v>209</v>
      </c>
      <c r="AN22" s="293"/>
      <c r="AO22" s="293" t="s">
        <v>209</v>
      </c>
      <c r="AP22" s="293" t="s">
        <v>209</v>
      </c>
      <c r="AQ22" s="293" t="s">
        <v>209</v>
      </c>
      <c r="AR22" s="293" t="s">
        <v>209</v>
      </c>
      <c r="AS22" s="293" t="s">
        <v>209</v>
      </c>
      <c r="AT22" s="293" t="s">
        <v>209</v>
      </c>
      <c r="AU22" s="293" t="s">
        <v>209</v>
      </c>
      <c r="AV22" s="293" t="s">
        <v>209</v>
      </c>
      <c r="AW22" s="293" t="s">
        <v>209</v>
      </c>
      <c r="AX22" s="293" t="s">
        <v>209</v>
      </c>
      <c r="AY22" s="294"/>
      <c r="AZ22" s="293" t="s">
        <v>209</v>
      </c>
      <c r="BA22" s="293" t="s">
        <v>209</v>
      </c>
      <c r="BB22" s="293" t="s">
        <v>209</v>
      </c>
      <c r="BC22" s="293"/>
      <c r="BD22" s="293" t="s">
        <v>209</v>
      </c>
      <c r="BE22" s="293" t="s">
        <v>209</v>
      </c>
      <c r="BF22" s="293" t="s">
        <v>209</v>
      </c>
      <c r="BG22" s="293" t="s">
        <v>209</v>
      </c>
      <c r="BH22" s="293" t="s">
        <v>209</v>
      </c>
    </row>
    <row r="23" spans="1:60" s="1" customFormat="1" ht="15" x14ac:dyDescent="0.25">
      <c r="A23" s="188"/>
      <c r="B23" s="188"/>
      <c r="C23" s="307" t="s">
        <v>251</v>
      </c>
      <c r="D23" s="184" t="e">
        <f t="shared" si="0"/>
        <v>#N/A</v>
      </c>
      <c r="E23" s="277" t="s">
        <v>337</v>
      </c>
      <c r="F23" s="189" t="s">
        <v>208</v>
      </c>
      <c r="G23" s="190" t="s">
        <v>208</v>
      </c>
      <c r="H23" s="227" t="s">
        <v>209</v>
      </c>
      <c r="I23" s="227" t="s">
        <v>208</v>
      </c>
      <c r="J23" s="227"/>
      <c r="K23" s="227" t="s">
        <v>209</v>
      </c>
      <c r="L23" s="227" t="s">
        <v>209</v>
      </c>
      <c r="M23" s="227" t="s">
        <v>311</v>
      </c>
      <c r="N23" s="227" t="s">
        <v>209</v>
      </c>
      <c r="O23" s="296" t="s">
        <v>776</v>
      </c>
      <c r="P23" s="296" t="s">
        <v>776</v>
      </c>
      <c r="Q23" s="227" t="s">
        <v>311</v>
      </c>
      <c r="R23" s="227" t="s">
        <v>209</v>
      </c>
      <c r="S23" s="296" t="s">
        <v>776</v>
      </c>
      <c r="T23" s="227" t="s">
        <v>209</v>
      </c>
      <c r="U23" s="227" t="s">
        <v>209</v>
      </c>
      <c r="V23" s="296" t="s">
        <v>776</v>
      </c>
      <c r="W23" s="296" t="s">
        <v>776</v>
      </c>
      <c r="X23" s="296" t="s">
        <v>208</v>
      </c>
      <c r="Y23" s="296" t="s">
        <v>776</v>
      </c>
      <c r="Z23" s="296" t="s">
        <v>776</v>
      </c>
      <c r="AA23" s="296" t="s">
        <v>776</v>
      </c>
      <c r="AB23" s="296" t="s">
        <v>776</v>
      </c>
      <c r="AC23" s="296" t="s">
        <v>776</v>
      </c>
      <c r="AD23" s="292" t="s">
        <v>209</v>
      </c>
      <c r="AE23" s="296" t="s">
        <v>776</v>
      </c>
      <c r="AF23" s="296" t="s">
        <v>776</v>
      </c>
      <c r="AG23" s="296"/>
      <c r="AH23" s="296" t="s">
        <v>776</v>
      </c>
      <c r="AI23" s="293"/>
      <c r="AJ23" s="294"/>
      <c r="AK23" s="293" t="s">
        <v>209</v>
      </c>
      <c r="AL23" s="293" t="s">
        <v>209</v>
      </c>
      <c r="AM23" s="293" t="s">
        <v>209</v>
      </c>
      <c r="AN23" s="293"/>
      <c r="AO23" s="293" t="s">
        <v>209</v>
      </c>
      <c r="AP23" s="293" t="s">
        <v>209</v>
      </c>
      <c r="AQ23" s="293" t="s">
        <v>209</v>
      </c>
      <c r="AR23" s="293" t="s">
        <v>209</v>
      </c>
      <c r="AS23" s="293" t="s">
        <v>209</v>
      </c>
      <c r="AT23" s="293" t="s">
        <v>209</v>
      </c>
      <c r="AU23" s="293" t="s">
        <v>209</v>
      </c>
      <c r="AV23" s="293" t="s">
        <v>209</v>
      </c>
      <c r="AW23" s="293" t="s">
        <v>209</v>
      </c>
      <c r="AX23" s="293" t="s">
        <v>209</v>
      </c>
      <c r="AY23" s="294"/>
      <c r="AZ23" s="293" t="s">
        <v>209</v>
      </c>
      <c r="BA23" s="293" t="s">
        <v>209</v>
      </c>
      <c r="BB23" s="293" t="s">
        <v>209</v>
      </c>
      <c r="BC23" s="293"/>
      <c r="BD23" s="293" t="s">
        <v>209</v>
      </c>
      <c r="BE23" s="293" t="s">
        <v>209</v>
      </c>
      <c r="BF23" s="293" t="s">
        <v>209</v>
      </c>
      <c r="BG23" s="293" t="s">
        <v>209</v>
      </c>
      <c r="BH23" s="293" t="s">
        <v>209</v>
      </c>
    </row>
    <row r="24" spans="1:60" s="1" customFormat="1" ht="15" x14ac:dyDescent="0.25">
      <c r="A24" s="188"/>
      <c r="B24" s="188"/>
      <c r="C24" s="307" t="s">
        <v>251</v>
      </c>
      <c r="D24" s="184" t="e">
        <f t="shared" si="0"/>
        <v>#N/A</v>
      </c>
      <c r="E24" s="276" t="s">
        <v>722</v>
      </c>
      <c r="F24" s="189" t="s">
        <v>208</v>
      </c>
      <c r="G24" s="190" t="s">
        <v>208</v>
      </c>
      <c r="H24" s="227" t="s">
        <v>209</v>
      </c>
      <c r="I24" s="227" t="s">
        <v>208</v>
      </c>
      <c r="J24" s="227"/>
      <c r="K24" s="227" t="s">
        <v>209</v>
      </c>
      <c r="L24" s="227" t="s">
        <v>209</v>
      </c>
      <c r="M24" s="227" t="s">
        <v>209</v>
      </c>
      <c r="N24" s="227" t="s">
        <v>209</v>
      </c>
      <c r="O24" s="227" t="s">
        <v>209</v>
      </c>
      <c r="P24" s="227" t="s">
        <v>209</v>
      </c>
      <c r="Q24" s="227" t="s">
        <v>209</v>
      </c>
      <c r="R24" s="227" t="s">
        <v>209</v>
      </c>
      <c r="S24" s="227" t="s">
        <v>209</v>
      </c>
      <c r="T24" s="227" t="s">
        <v>209</v>
      </c>
      <c r="U24" s="227" t="s">
        <v>209</v>
      </c>
      <c r="V24" s="227" t="s">
        <v>209</v>
      </c>
      <c r="W24" s="227" t="s">
        <v>209</v>
      </c>
      <c r="X24" s="296" t="s">
        <v>779</v>
      </c>
      <c r="Y24" s="227" t="s">
        <v>209</v>
      </c>
      <c r="Z24" s="296" t="s">
        <v>776</v>
      </c>
      <c r="AA24" s="296" t="s">
        <v>776</v>
      </c>
      <c r="AB24" s="296" t="s">
        <v>776</v>
      </c>
      <c r="AC24" s="296" t="s">
        <v>776</v>
      </c>
      <c r="AD24" s="292" t="s">
        <v>209</v>
      </c>
      <c r="AE24" s="296" t="s">
        <v>776</v>
      </c>
      <c r="AF24" s="296" t="s">
        <v>776</v>
      </c>
      <c r="AG24" s="296"/>
      <c r="AH24" s="296" t="s">
        <v>776</v>
      </c>
      <c r="AI24" s="293"/>
      <c r="AJ24" s="294"/>
      <c r="AK24" s="294" t="s">
        <v>209</v>
      </c>
      <c r="AL24" s="294" t="s">
        <v>209</v>
      </c>
      <c r="AM24" s="294" t="s">
        <v>209</v>
      </c>
      <c r="AN24" s="294"/>
      <c r="AO24" s="294" t="s">
        <v>209</v>
      </c>
      <c r="AP24" s="294" t="s">
        <v>209</v>
      </c>
      <c r="AQ24" s="294" t="s">
        <v>209</v>
      </c>
      <c r="AR24" s="294" t="s">
        <v>209</v>
      </c>
      <c r="AS24" s="294" t="s">
        <v>209</v>
      </c>
      <c r="AT24" s="294" t="s">
        <v>209</v>
      </c>
      <c r="AU24" s="294" t="s">
        <v>209</v>
      </c>
      <c r="AV24" s="294" t="s">
        <v>209</v>
      </c>
      <c r="AW24" s="294" t="s">
        <v>209</v>
      </c>
      <c r="AX24" s="294" t="s">
        <v>209</v>
      </c>
      <c r="AY24" s="294"/>
      <c r="AZ24" s="294" t="s">
        <v>209</v>
      </c>
      <c r="BA24" s="294" t="s">
        <v>209</v>
      </c>
      <c r="BB24" s="294" t="s">
        <v>209</v>
      </c>
      <c r="BC24" s="294"/>
      <c r="BD24" s="294" t="s">
        <v>209</v>
      </c>
      <c r="BE24" s="294" t="s">
        <v>209</v>
      </c>
      <c r="BF24" s="294" t="s">
        <v>209</v>
      </c>
      <c r="BG24" s="294" t="s">
        <v>209</v>
      </c>
      <c r="BH24" s="294" t="s">
        <v>209</v>
      </c>
    </row>
    <row r="25" spans="1:60" s="1" customFormat="1" ht="15" x14ac:dyDescent="0.25">
      <c r="A25" s="188"/>
      <c r="B25" s="188"/>
      <c r="C25" s="307" t="s">
        <v>251</v>
      </c>
      <c r="D25" s="184" t="e">
        <f t="shared" si="0"/>
        <v>#N/A</v>
      </c>
      <c r="E25" s="277" t="s">
        <v>723</v>
      </c>
      <c r="F25" s="189" t="s">
        <v>208</v>
      </c>
      <c r="G25" s="190" t="s">
        <v>208</v>
      </c>
      <c r="H25" s="227" t="s">
        <v>11</v>
      </c>
      <c r="I25" s="227" t="s">
        <v>208</v>
      </c>
      <c r="J25" s="227"/>
      <c r="K25" s="227" t="s">
        <v>209</v>
      </c>
      <c r="L25" s="227" t="s">
        <v>209</v>
      </c>
      <c r="M25" s="227" t="s">
        <v>209</v>
      </c>
      <c r="N25" s="227" t="s">
        <v>209</v>
      </c>
      <c r="O25" s="227" t="s">
        <v>208</v>
      </c>
      <c r="P25" s="296" t="s">
        <v>776</v>
      </c>
      <c r="Q25" s="227" t="s">
        <v>209</v>
      </c>
      <c r="R25" s="227" t="s">
        <v>209</v>
      </c>
      <c r="S25" s="227" t="s">
        <v>209</v>
      </c>
      <c r="T25" s="227" t="s">
        <v>209</v>
      </c>
      <c r="U25" s="227" t="s">
        <v>209</v>
      </c>
      <c r="V25" s="296" t="s">
        <v>776</v>
      </c>
      <c r="W25" s="227" t="s">
        <v>209</v>
      </c>
      <c r="X25" s="296" t="s">
        <v>779</v>
      </c>
      <c r="Y25" s="227" t="s">
        <v>209</v>
      </c>
      <c r="Z25" s="296" t="s">
        <v>776</v>
      </c>
      <c r="AA25" s="296" t="s">
        <v>776</v>
      </c>
      <c r="AB25" s="296" t="s">
        <v>776</v>
      </c>
      <c r="AC25" s="296" t="s">
        <v>776</v>
      </c>
      <c r="AD25" s="292" t="s">
        <v>209</v>
      </c>
      <c r="AE25" s="296" t="s">
        <v>776</v>
      </c>
      <c r="AF25" s="296" t="s">
        <v>776</v>
      </c>
      <c r="AG25" s="296"/>
      <c r="AH25" s="296" t="s">
        <v>776</v>
      </c>
      <c r="AI25" s="293"/>
      <c r="AJ25" s="294"/>
      <c r="AK25" s="294" t="s">
        <v>209</v>
      </c>
      <c r="AL25" s="294" t="s">
        <v>209</v>
      </c>
      <c r="AM25" s="294" t="s">
        <v>209</v>
      </c>
      <c r="AN25" s="294"/>
      <c r="AO25" s="294" t="s">
        <v>209</v>
      </c>
      <c r="AP25" s="294" t="s">
        <v>209</v>
      </c>
      <c r="AQ25" s="294" t="s">
        <v>209</v>
      </c>
      <c r="AR25" s="294" t="s">
        <v>209</v>
      </c>
      <c r="AS25" s="294" t="s">
        <v>209</v>
      </c>
      <c r="AT25" s="294" t="s">
        <v>209</v>
      </c>
      <c r="AU25" s="294" t="s">
        <v>209</v>
      </c>
      <c r="AV25" s="294" t="s">
        <v>209</v>
      </c>
      <c r="AW25" s="294" t="s">
        <v>209</v>
      </c>
      <c r="AX25" s="294" t="s">
        <v>209</v>
      </c>
      <c r="AY25" s="294"/>
      <c r="AZ25" s="294" t="s">
        <v>209</v>
      </c>
      <c r="BA25" s="294" t="s">
        <v>209</v>
      </c>
      <c r="BB25" s="294" t="s">
        <v>209</v>
      </c>
      <c r="BC25" s="294"/>
      <c r="BD25" s="294" t="s">
        <v>209</v>
      </c>
      <c r="BE25" s="294" t="s">
        <v>209</v>
      </c>
      <c r="BF25" s="294" t="s">
        <v>209</v>
      </c>
      <c r="BG25" s="294" t="s">
        <v>209</v>
      </c>
      <c r="BH25" s="294" t="s">
        <v>209</v>
      </c>
    </row>
    <row r="26" spans="1:60" s="1" customFormat="1" ht="15" x14ac:dyDescent="0.25">
      <c r="A26" s="188"/>
      <c r="B26" s="188"/>
      <c r="C26" s="307" t="s">
        <v>251</v>
      </c>
      <c r="D26" s="184" t="e">
        <f t="shared" si="0"/>
        <v>#N/A</v>
      </c>
      <c r="E26" s="276" t="s">
        <v>747</v>
      </c>
      <c r="F26" s="189" t="s">
        <v>208</v>
      </c>
      <c r="G26" s="190" t="s">
        <v>208</v>
      </c>
      <c r="H26" s="227" t="s">
        <v>11</v>
      </c>
      <c r="I26" s="227" t="s">
        <v>208</v>
      </c>
      <c r="J26" s="227"/>
      <c r="K26" s="227" t="s">
        <v>209</v>
      </c>
      <c r="L26" s="227" t="s">
        <v>209</v>
      </c>
      <c r="M26" s="227" t="s">
        <v>209</v>
      </c>
      <c r="N26" s="227" t="s">
        <v>209</v>
      </c>
      <c r="O26" s="227" t="s">
        <v>208</v>
      </c>
      <c r="P26" s="296" t="s">
        <v>776</v>
      </c>
      <c r="Q26" s="227" t="s">
        <v>209</v>
      </c>
      <c r="R26" s="227" t="s">
        <v>209</v>
      </c>
      <c r="S26" s="227" t="s">
        <v>209</v>
      </c>
      <c r="T26" s="227" t="s">
        <v>209</v>
      </c>
      <c r="U26" s="227" t="s">
        <v>209</v>
      </c>
      <c r="V26" s="296" t="s">
        <v>776</v>
      </c>
      <c r="W26" s="227" t="s">
        <v>209</v>
      </c>
      <c r="X26" s="296" t="s">
        <v>779</v>
      </c>
      <c r="Y26" s="227" t="s">
        <v>209</v>
      </c>
      <c r="Z26" s="296" t="s">
        <v>776</v>
      </c>
      <c r="AA26" s="296" t="s">
        <v>776</v>
      </c>
      <c r="AB26" s="296" t="s">
        <v>776</v>
      </c>
      <c r="AC26" s="296" t="s">
        <v>776</v>
      </c>
      <c r="AD26" s="292" t="s">
        <v>209</v>
      </c>
      <c r="AE26" s="227" t="s">
        <v>209</v>
      </c>
      <c r="AF26" s="296" t="s">
        <v>776</v>
      </c>
      <c r="AG26" s="296"/>
      <c r="AH26" s="227" t="s">
        <v>209</v>
      </c>
      <c r="AI26" s="293"/>
      <c r="AJ26" s="294"/>
      <c r="AK26" s="294" t="s">
        <v>209</v>
      </c>
      <c r="AL26" s="294" t="s">
        <v>209</v>
      </c>
      <c r="AM26" s="294" t="s">
        <v>209</v>
      </c>
      <c r="AN26" s="294"/>
      <c r="AO26" s="294" t="s">
        <v>209</v>
      </c>
      <c r="AP26" s="294" t="s">
        <v>209</v>
      </c>
      <c r="AQ26" s="294" t="s">
        <v>209</v>
      </c>
      <c r="AR26" s="294" t="s">
        <v>209</v>
      </c>
      <c r="AS26" s="294" t="s">
        <v>209</v>
      </c>
      <c r="AT26" s="294" t="s">
        <v>209</v>
      </c>
      <c r="AU26" s="294" t="s">
        <v>209</v>
      </c>
      <c r="AV26" s="294" t="s">
        <v>209</v>
      </c>
      <c r="AW26" s="294" t="s">
        <v>209</v>
      </c>
      <c r="AX26" s="294" t="s">
        <v>209</v>
      </c>
      <c r="AY26" s="294"/>
      <c r="AZ26" s="294" t="s">
        <v>209</v>
      </c>
      <c r="BA26" s="294" t="s">
        <v>209</v>
      </c>
      <c r="BB26" s="294" t="s">
        <v>209</v>
      </c>
      <c r="BC26" s="294"/>
      <c r="BD26" s="294" t="s">
        <v>209</v>
      </c>
      <c r="BE26" s="294" t="s">
        <v>209</v>
      </c>
      <c r="BF26" s="294" t="s">
        <v>209</v>
      </c>
      <c r="BG26" s="294" t="s">
        <v>209</v>
      </c>
      <c r="BH26" s="294" t="s">
        <v>209</v>
      </c>
    </row>
    <row r="27" spans="1:60" s="1" customFormat="1" ht="15" x14ac:dyDescent="0.25">
      <c r="A27" s="188"/>
      <c r="B27" s="188"/>
      <c r="C27" s="307" t="s">
        <v>251</v>
      </c>
      <c r="D27" s="184" t="e">
        <f t="shared" si="0"/>
        <v>#N/A</v>
      </c>
      <c r="E27" s="290" t="s">
        <v>754</v>
      </c>
      <c r="F27" s="189" t="s">
        <v>208</v>
      </c>
      <c r="G27" s="190" t="s">
        <v>208</v>
      </c>
      <c r="H27" s="227" t="s">
        <v>209</v>
      </c>
      <c r="I27" s="227" t="s">
        <v>208</v>
      </c>
      <c r="J27" s="227"/>
      <c r="K27" s="227" t="s">
        <v>209</v>
      </c>
      <c r="L27" s="227" t="s">
        <v>209</v>
      </c>
      <c r="M27" s="227" t="s">
        <v>253</v>
      </c>
      <c r="N27" s="227" t="s">
        <v>209</v>
      </c>
      <c r="O27" s="227" t="s">
        <v>208</v>
      </c>
      <c r="P27" s="296" t="s">
        <v>776</v>
      </c>
      <c r="Q27" s="227" t="s">
        <v>209</v>
      </c>
      <c r="R27" s="296" t="s">
        <v>776</v>
      </c>
      <c r="S27" s="227" t="s">
        <v>209</v>
      </c>
      <c r="T27" s="296" t="s">
        <v>776</v>
      </c>
      <c r="U27" s="296" t="s">
        <v>776</v>
      </c>
      <c r="V27" s="227" t="s">
        <v>209</v>
      </c>
      <c r="W27" s="227" t="s">
        <v>209</v>
      </c>
      <c r="X27" s="296" t="s">
        <v>776</v>
      </c>
      <c r="Y27" s="296" t="s">
        <v>776</v>
      </c>
      <c r="Z27" s="296" t="s">
        <v>776</v>
      </c>
      <c r="AA27" s="296" t="s">
        <v>776</v>
      </c>
      <c r="AB27" s="296" t="s">
        <v>776</v>
      </c>
      <c r="AC27" s="296" t="s">
        <v>776</v>
      </c>
      <c r="AD27" s="292" t="s">
        <v>209</v>
      </c>
      <c r="AE27" s="296" t="s">
        <v>776</v>
      </c>
      <c r="AF27" s="296" t="s">
        <v>776</v>
      </c>
      <c r="AG27" s="296"/>
      <c r="AH27" s="296" t="s">
        <v>776</v>
      </c>
      <c r="AI27" s="293"/>
      <c r="AJ27" s="294"/>
      <c r="AK27" s="293" t="s">
        <v>209</v>
      </c>
      <c r="AL27" s="293" t="s">
        <v>209</v>
      </c>
      <c r="AM27" s="293" t="s">
        <v>209</v>
      </c>
      <c r="AN27" s="293"/>
      <c r="AO27" s="293" t="s">
        <v>209</v>
      </c>
      <c r="AP27" s="293" t="s">
        <v>209</v>
      </c>
      <c r="AQ27" s="293" t="s">
        <v>209</v>
      </c>
      <c r="AR27" s="293" t="s">
        <v>209</v>
      </c>
      <c r="AS27" s="293" t="s">
        <v>209</v>
      </c>
      <c r="AT27" s="293" t="s">
        <v>209</v>
      </c>
      <c r="AU27" s="293" t="s">
        <v>209</v>
      </c>
      <c r="AV27" s="293" t="s">
        <v>209</v>
      </c>
      <c r="AW27" s="293" t="s">
        <v>209</v>
      </c>
      <c r="AX27" s="293" t="s">
        <v>209</v>
      </c>
      <c r="AY27" s="294"/>
      <c r="AZ27" s="293" t="s">
        <v>209</v>
      </c>
      <c r="BA27" s="293" t="s">
        <v>209</v>
      </c>
      <c r="BB27" s="293" t="s">
        <v>209</v>
      </c>
      <c r="BC27" s="293"/>
      <c r="BD27" s="293" t="s">
        <v>209</v>
      </c>
      <c r="BE27" s="293" t="s">
        <v>209</v>
      </c>
      <c r="BF27" s="293" t="s">
        <v>209</v>
      </c>
      <c r="BG27" s="293" t="s">
        <v>209</v>
      </c>
      <c r="BH27" s="293" t="s">
        <v>209</v>
      </c>
    </row>
    <row r="28" spans="1:60" s="1" customFormat="1" ht="15" x14ac:dyDescent="0.25">
      <c r="A28" s="188"/>
      <c r="B28" s="188"/>
      <c r="C28" s="307" t="s">
        <v>251</v>
      </c>
      <c r="D28" s="184" t="e">
        <f t="shared" si="0"/>
        <v>#N/A</v>
      </c>
      <c r="E28" s="276" t="s">
        <v>357</v>
      </c>
      <c r="F28" s="189" t="s">
        <v>208</v>
      </c>
      <c r="G28" s="190" t="s">
        <v>208</v>
      </c>
      <c r="H28" s="227" t="s">
        <v>209</v>
      </c>
      <c r="I28" s="227" t="s">
        <v>208</v>
      </c>
      <c r="J28" s="227"/>
      <c r="K28" s="227" t="s">
        <v>209</v>
      </c>
      <c r="L28" s="227" t="s">
        <v>209</v>
      </c>
      <c r="M28" s="227" t="s">
        <v>357</v>
      </c>
      <c r="N28" s="296" t="s">
        <v>776</v>
      </c>
      <c r="O28" s="227" t="s">
        <v>208</v>
      </c>
      <c r="P28" s="227" t="s">
        <v>209</v>
      </c>
      <c r="Q28" s="296" t="s">
        <v>776</v>
      </c>
      <c r="R28" s="296" t="s">
        <v>776</v>
      </c>
      <c r="S28" s="227" t="s">
        <v>209</v>
      </c>
      <c r="T28" s="296" t="s">
        <v>776</v>
      </c>
      <c r="U28" s="296" t="s">
        <v>776</v>
      </c>
      <c r="V28" s="296" t="s">
        <v>776</v>
      </c>
      <c r="W28" s="296" t="s">
        <v>776</v>
      </c>
      <c r="X28" s="296" t="s">
        <v>776</v>
      </c>
      <c r="Y28" s="227" t="s">
        <v>209</v>
      </c>
      <c r="Z28" s="227" t="s">
        <v>209</v>
      </c>
      <c r="AA28" s="296" t="s">
        <v>776</v>
      </c>
      <c r="AB28" s="296" t="s">
        <v>776</v>
      </c>
      <c r="AC28" s="296" t="s">
        <v>776</v>
      </c>
      <c r="AD28" s="292" t="s">
        <v>209</v>
      </c>
      <c r="AE28" s="296" t="s">
        <v>776</v>
      </c>
      <c r="AF28" s="296" t="s">
        <v>776</v>
      </c>
      <c r="AG28" s="296"/>
      <c r="AH28" s="296" t="s">
        <v>776</v>
      </c>
      <c r="AI28" s="293"/>
      <c r="AJ28" s="294"/>
      <c r="AK28" s="293" t="s">
        <v>209</v>
      </c>
      <c r="AL28" s="293" t="s">
        <v>209</v>
      </c>
      <c r="AM28" s="293" t="s">
        <v>209</v>
      </c>
      <c r="AN28" s="293"/>
      <c r="AO28" s="293" t="s">
        <v>209</v>
      </c>
      <c r="AP28" s="293" t="s">
        <v>209</v>
      </c>
      <c r="AQ28" s="293" t="s">
        <v>209</v>
      </c>
      <c r="AR28" s="293" t="s">
        <v>209</v>
      </c>
      <c r="AS28" s="293" t="s">
        <v>209</v>
      </c>
      <c r="AT28" s="293" t="s">
        <v>209</v>
      </c>
      <c r="AU28" s="293" t="s">
        <v>209</v>
      </c>
      <c r="AV28" s="293" t="s">
        <v>209</v>
      </c>
      <c r="AW28" s="293" t="s">
        <v>209</v>
      </c>
      <c r="AX28" s="293" t="s">
        <v>209</v>
      </c>
      <c r="AY28" s="294"/>
      <c r="AZ28" s="293" t="s">
        <v>209</v>
      </c>
      <c r="BA28" s="293" t="s">
        <v>209</v>
      </c>
      <c r="BB28" s="293" t="s">
        <v>209</v>
      </c>
      <c r="BC28" s="293"/>
      <c r="BD28" s="293" t="s">
        <v>209</v>
      </c>
      <c r="BE28" s="293" t="s">
        <v>209</v>
      </c>
      <c r="BF28" s="293" t="s">
        <v>209</v>
      </c>
      <c r="BG28" s="293" t="s">
        <v>209</v>
      </c>
      <c r="BH28" s="293" t="s">
        <v>209</v>
      </c>
    </row>
    <row r="29" spans="1:60" s="1" customFormat="1" ht="15" x14ac:dyDescent="0.25">
      <c r="A29" s="188"/>
      <c r="B29" s="188"/>
      <c r="C29" s="307" t="s">
        <v>251</v>
      </c>
      <c r="D29" s="184" t="e">
        <f t="shared" si="0"/>
        <v>#N/A</v>
      </c>
      <c r="E29" s="277" t="s">
        <v>251</v>
      </c>
      <c r="F29" s="189" t="s">
        <v>208</v>
      </c>
      <c r="G29" s="190" t="s">
        <v>208</v>
      </c>
      <c r="H29" s="227" t="s">
        <v>209</v>
      </c>
      <c r="I29" s="227" t="s">
        <v>208</v>
      </c>
      <c r="J29" s="227"/>
      <c r="K29" s="227" t="s">
        <v>209</v>
      </c>
      <c r="L29" s="227" t="s">
        <v>209</v>
      </c>
      <c r="M29" s="227" t="s">
        <v>251</v>
      </c>
      <c r="N29" s="296" t="s">
        <v>776</v>
      </c>
      <c r="O29" s="227" t="s">
        <v>208</v>
      </c>
      <c r="P29" s="227" t="s">
        <v>209</v>
      </c>
      <c r="Q29" s="296" t="s">
        <v>776</v>
      </c>
      <c r="R29" s="296" t="s">
        <v>776</v>
      </c>
      <c r="S29" s="227" t="s">
        <v>209</v>
      </c>
      <c r="T29" s="296" t="s">
        <v>776</v>
      </c>
      <c r="U29" s="296" t="s">
        <v>776</v>
      </c>
      <c r="V29" s="296" t="s">
        <v>776</v>
      </c>
      <c r="W29" s="296" t="s">
        <v>776</v>
      </c>
      <c r="X29" s="296" t="s">
        <v>776</v>
      </c>
      <c r="Y29" s="227" t="s">
        <v>209</v>
      </c>
      <c r="Z29" s="227" t="s">
        <v>209</v>
      </c>
      <c r="AA29" s="296" t="s">
        <v>776</v>
      </c>
      <c r="AB29" s="296" t="s">
        <v>776</v>
      </c>
      <c r="AC29" s="296" t="s">
        <v>776</v>
      </c>
      <c r="AD29" s="292" t="s">
        <v>209</v>
      </c>
      <c r="AE29" s="296" t="s">
        <v>776</v>
      </c>
      <c r="AF29" s="296" t="s">
        <v>776</v>
      </c>
      <c r="AG29" s="296"/>
      <c r="AH29" s="296" t="s">
        <v>776</v>
      </c>
      <c r="AI29" s="293"/>
      <c r="AJ29" s="294"/>
      <c r="AK29" s="293" t="s">
        <v>209</v>
      </c>
      <c r="AL29" s="293" t="s">
        <v>209</v>
      </c>
      <c r="AM29" s="293" t="s">
        <v>209</v>
      </c>
      <c r="AN29" s="293"/>
      <c r="AO29" s="293" t="s">
        <v>209</v>
      </c>
      <c r="AP29" s="293" t="s">
        <v>209</v>
      </c>
      <c r="AQ29" s="293" t="s">
        <v>209</v>
      </c>
      <c r="AR29" s="293" t="s">
        <v>209</v>
      </c>
      <c r="AS29" s="293" t="s">
        <v>209</v>
      </c>
      <c r="AT29" s="293" t="s">
        <v>209</v>
      </c>
      <c r="AU29" s="293" t="s">
        <v>209</v>
      </c>
      <c r="AV29" s="293" t="s">
        <v>209</v>
      </c>
      <c r="AW29" s="293" t="s">
        <v>209</v>
      </c>
      <c r="AX29" s="293" t="s">
        <v>209</v>
      </c>
      <c r="AY29" s="294"/>
      <c r="AZ29" s="293" t="s">
        <v>209</v>
      </c>
      <c r="BA29" s="293" t="s">
        <v>209</v>
      </c>
      <c r="BB29" s="293" t="s">
        <v>209</v>
      </c>
      <c r="BC29" s="293"/>
      <c r="BD29" s="293" t="s">
        <v>209</v>
      </c>
      <c r="BE29" s="293" t="s">
        <v>209</v>
      </c>
      <c r="BF29" s="293" t="s">
        <v>209</v>
      </c>
      <c r="BG29" s="293" t="s">
        <v>209</v>
      </c>
      <c r="BH29" s="293" t="s">
        <v>209</v>
      </c>
    </row>
    <row r="30" spans="1:60" s="1" customFormat="1" ht="15" x14ac:dyDescent="0.25">
      <c r="A30" s="188"/>
      <c r="B30" s="188"/>
      <c r="C30" s="307" t="s">
        <v>251</v>
      </c>
      <c r="D30" s="184" t="e">
        <f t="shared" si="0"/>
        <v>#N/A</v>
      </c>
      <c r="E30" s="276" t="s">
        <v>250</v>
      </c>
      <c r="F30" s="189" t="s">
        <v>208</v>
      </c>
      <c r="G30" s="190" t="s">
        <v>208</v>
      </c>
      <c r="H30" s="227" t="s">
        <v>209</v>
      </c>
      <c r="I30" s="227" t="s">
        <v>208</v>
      </c>
      <c r="J30" s="227"/>
      <c r="K30" s="227" t="s">
        <v>209</v>
      </c>
      <c r="L30" s="227" t="s">
        <v>209</v>
      </c>
      <c r="M30" s="227" t="s">
        <v>250</v>
      </c>
      <c r="N30" s="296" t="s">
        <v>776</v>
      </c>
      <c r="O30" s="227" t="s">
        <v>208</v>
      </c>
      <c r="P30" s="296" t="s">
        <v>776</v>
      </c>
      <c r="Q30" s="296" t="s">
        <v>776</v>
      </c>
      <c r="R30" s="296" t="s">
        <v>776</v>
      </c>
      <c r="S30" s="227" t="s">
        <v>209</v>
      </c>
      <c r="T30" s="296" t="s">
        <v>776</v>
      </c>
      <c r="U30" s="296" t="s">
        <v>776</v>
      </c>
      <c r="V30" s="296" t="s">
        <v>776</v>
      </c>
      <c r="W30" s="296" t="s">
        <v>776</v>
      </c>
      <c r="X30" s="296" t="s">
        <v>776</v>
      </c>
      <c r="Y30" s="296" t="s">
        <v>209</v>
      </c>
      <c r="Z30" s="296" t="s">
        <v>776</v>
      </c>
      <c r="AA30" s="296" t="s">
        <v>776</v>
      </c>
      <c r="AB30" s="296" t="s">
        <v>776</v>
      </c>
      <c r="AC30" s="296" t="s">
        <v>776</v>
      </c>
      <c r="AD30" s="292" t="s">
        <v>209</v>
      </c>
      <c r="AE30" s="296" t="s">
        <v>776</v>
      </c>
      <c r="AF30" s="296" t="s">
        <v>776</v>
      </c>
      <c r="AG30" s="296"/>
      <c r="AH30" s="296" t="s">
        <v>776</v>
      </c>
      <c r="AI30" s="293"/>
      <c r="AJ30" s="294"/>
      <c r="AK30" s="293" t="s">
        <v>209</v>
      </c>
      <c r="AL30" s="293" t="s">
        <v>209</v>
      </c>
      <c r="AM30" s="293" t="s">
        <v>209</v>
      </c>
      <c r="AN30" s="293"/>
      <c r="AO30" s="293" t="s">
        <v>209</v>
      </c>
      <c r="AP30" s="293" t="s">
        <v>209</v>
      </c>
      <c r="AQ30" s="293" t="s">
        <v>209</v>
      </c>
      <c r="AR30" s="293" t="s">
        <v>209</v>
      </c>
      <c r="AS30" s="293" t="s">
        <v>209</v>
      </c>
      <c r="AT30" s="293" t="s">
        <v>209</v>
      </c>
      <c r="AU30" s="293" t="s">
        <v>209</v>
      </c>
      <c r="AV30" s="293" t="s">
        <v>209</v>
      </c>
      <c r="AW30" s="293" t="s">
        <v>209</v>
      </c>
      <c r="AX30" s="293" t="s">
        <v>209</v>
      </c>
      <c r="AY30" s="294"/>
      <c r="AZ30" s="293" t="s">
        <v>209</v>
      </c>
      <c r="BA30" s="293" t="s">
        <v>209</v>
      </c>
      <c r="BB30" s="293" t="s">
        <v>209</v>
      </c>
      <c r="BC30" s="293"/>
      <c r="BD30" s="293" t="s">
        <v>209</v>
      </c>
      <c r="BE30" s="293" t="s">
        <v>209</v>
      </c>
      <c r="BF30" s="293" t="s">
        <v>209</v>
      </c>
      <c r="BG30" s="293" t="s">
        <v>209</v>
      </c>
      <c r="BH30" s="293" t="s">
        <v>209</v>
      </c>
    </row>
    <row r="31" spans="1:60" s="1" customFormat="1" ht="15" x14ac:dyDescent="0.25">
      <c r="A31" s="188"/>
      <c r="B31" s="188"/>
      <c r="C31" s="307" t="s">
        <v>251</v>
      </c>
      <c r="D31" s="184" t="e">
        <f t="shared" si="0"/>
        <v>#N/A</v>
      </c>
      <c r="E31" s="277" t="s">
        <v>750</v>
      </c>
      <c r="F31" s="189" t="s">
        <v>208</v>
      </c>
      <c r="G31" s="190" t="s">
        <v>208</v>
      </c>
      <c r="H31" s="227" t="s">
        <v>209</v>
      </c>
      <c r="I31" s="227" t="s">
        <v>208</v>
      </c>
      <c r="J31" s="227"/>
      <c r="K31" s="227" t="s">
        <v>209</v>
      </c>
      <c r="L31" s="227" t="s">
        <v>209</v>
      </c>
      <c r="M31" s="227" t="s">
        <v>538</v>
      </c>
      <c r="N31" s="227" t="s">
        <v>209</v>
      </c>
      <c r="O31" s="227" t="s">
        <v>208</v>
      </c>
      <c r="P31" s="227" t="s">
        <v>209</v>
      </c>
      <c r="Q31" s="296" t="s">
        <v>776</v>
      </c>
      <c r="R31" s="296" t="s">
        <v>776</v>
      </c>
      <c r="S31" s="227" t="s">
        <v>209</v>
      </c>
      <c r="T31" s="296" t="s">
        <v>776</v>
      </c>
      <c r="U31" s="296" t="s">
        <v>776</v>
      </c>
      <c r="V31" s="296" t="s">
        <v>776</v>
      </c>
      <c r="W31" s="227" t="s">
        <v>209</v>
      </c>
      <c r="X31" s="296" t="s">
        <v>776</v>
      </c>
      <c r="Y31" s="227" t="s">
        <v>209</v>
      </c>
      <c r="Z31" s="227" t="s">
        <v>209</v>
      </c>
      <c r="AA31" s="296" t="s">
        <v>776</v>
      </c>
      <c r="AB31" s="296" t="s">
        <v>776</v>
      </c>
      <c r="AC31" s="296" t="s">
        <v>776</v>
      </c>
      <c r="AD31" s="292" t="s">
        <v>209</v>
      </c>
      <c r="AE31" s="296" t="s">
        <v>776</v>
      </c>
      <c r="AF31" s="296" t="s">
        <v>776</v>
      </c>
      <c r="AG31" s="296"/>
      <c r="AH31" s="297" t="s">
        <v>209</v>
      </c>
      <c r="AI31" s="293"/>
      <c r="AJ31" s="294"/>
      <c r="AK31" s="293" t="s">
        <v>209</v>
      </c>
      <c r="AL31" s="293" t="s">
        <v>209</v>
      </c>
      <c r="AM31" s="293" t="s">
        <v>209</v>
      </c>
      <c r="AN31" s="293"/>
      <c r="AO31" s="293" t="s">
        <v>209</v>
      </c>
      <c r="AP31" s="293" t="s">
        <v>209</v>
      </c>
      <c r="AQ31" s="293" t="s">
        <v>209</v>
      </c>
      <c r="AR31" s="293" t="s">
        <v>209</v>
      </c>
      <c r="AS31" s="293" t="s">
        <v>209</v>
      </c>
      <c r="AT31" s="293" t="s">
        <v>209</v>
      </c>
      <c r="AU31" s="293" t="s">
        <v>209</v>
      </c>
      <c r="AV31" s="293" t="s">
        <v>209</v>
      </c>
      <c r="AW31" s="293" t="s">
        <v>209</v>
      </c>
      <c r="AX31" s="293" t="s">
        <v>209</v>
      </c>
      <c r="AY31" s="294"/>
      <c r="AZ31" s="293" t="s">
        <v>209</v>
      </c>
      <c r="BA31" s="293" t="s">
        <v>209</v>
      </c>
      <c r="BB31" s="293" t="s">
        <v>209</v>
      </c>
      <c r="BC31" s="293"/>
      <c r="BD31" s="293" t="s">
        <v>209</v>
      </c>
      <c r="BE31" s="293" t="s">
        <v>209</v>
      </c>
      <c r="BF31" s="293" t="s">
        <v>209</v>
      </c>
      <c r="BG31" s="293" t="s">
        <v>209</v>
      </c>
      <c r="BH31" s="293" t="s">
        <v>209</v>
      </c>
    </row>
    <row r="32" spans="1:60" s="1" customFormat="1" ht="15" x14ac:dyDescent="0.25">
      <c r="A32" s="188"/>
      <c r="B32" s="188"/>
      <c r="C32" s="307" t="s">
        <v>251</v>
      </c>
      <c r="D32" s="184" t="e">
        <f t="shared" si="0"/>
        <v>#N/A</v>
      </c>
      <c r="E32" s="291" t="s">
        <v>755</v>
      </c>
      <c r="F32" s="189" t="s">
        <v>208</v>
      </c>
      <c r="G32" s="190" t="s">
        <v>208</v>
      </c>
      <c r="H32" s="227" t="s">
        <v>209</v>
      </c>
      <c r="I32" s="227" t="s">
        <v>208</v>
      </c>
      <c r="J32" s="227"/>
      <c r="K32" s="227" t="s">
        <v>209</v>
      </c>
      <c r="L32" s="227" t="s">
        <v>209</v>
      </c>
      <c r="M32" s="227" t="s">
        <v>253</v>
      </c>
      <c r="N32" s="227" t="s">
        <v>209</v>
      </c>
      <c r="O32" s="227" t="s">
        <v>208</v>
      </c>
      <c r="P32" s="227" t="s">
        <v>209</v>
      </c>
      <c r="Q32" s="227" t="s">
        <v>209</v>
      </c>
      <c r="R32" s="296" t="s">
        <v>776</v>
      </c>
      <c r="S32" s="227" t="s">
        <v>209</v>
      </c>
      <c r="T32" s="296" t="s">
        <v>776</v>
      </c>
      <c r="U32" s="296" t="s">
        <v>776</v>
      </c>
      <c r="V32" s="227" t="s">
        <v>209</v>
      </c>
      <c r="W32" s="227" t="s">
        <v>209</v>
      </c>
      <c r="X32" s="296" t="s">
        <v>776</v>
      </c>
      <c r="Y32" s="227" t="s">
        <v>209</v>
      </c>
      <c r="Z32" s="227" t="s">
        <v>209</v>
      </c>
      <c r="AA32" s="296" t="s">
        <v>776</v>
      </c>
      <c r="AB32" s="296" t="s">
        <v>776</v>
      </c>
      <c r="AC32" s="296" t="s">
        <v>776</v>
      </c>
      <c r="AD32" s="292" t="s">
        <v>209</v>
      </c>
      <c r="AE32" s="296" t="s">
        <v>776</v>
      </c>
      <c r="AF32" s="296" t="s">
        <v>776</v>
      </c>
      <c r="AG32" s="296"/>
      <c r="AH32" s="292" t="s">
        <v>209</v>
      </c>
      <c r="AI32" s="293"/>
      <c r="AJ32" s="295"/>
      <c r="AK32" s="293" t="s">
        <v>209</v>
      </c>
      <c r="AL32" s="293" t="s">
        <v>209</v>
      </c>
      <c r="AM32" s="293" t="s">
        <v>209</v>
      </c>
      <c r="AN32" s="293"/>
      <c r="AO32" s="293" t="s">
        <v>209</v>
      </c>
      <c r="AP32" s="293" t="s">
        <v>209</v>
      </c>
      <c r="AQ32" s="293" t="s">
        <v>209</v>
      </c>
      <c r="AR32" s="293" t="s">
        <v>209</v>
      </c>
      <c r="AS32" s="293" t="s">
        <v>209</v>
      </c>
      <c r="AT32" s="293" t="s">
        <v>209</v>
      </c>
      <c r="AU32" s="293" t="s">
        <v>209</v>
      </c>
      <c r="AV32" s="293" t="s">
        <v>209</v>
      </c>
      <c r="AW32" s="293" t="s">
        <v>209</v>
      </c>
      <c r="AX32" s="293" t="s">
        <v>209</v>
      </c>
      <c r="AY32" s="295"/>
      <c r="AZ32" s="293" t="s">
        <v>209</v>
      </c>
      <c r="BA32" s="293" t="s">
        <v>209</v>
      </c>
      <c r="BB32" s="293" t="s">
        <v>209</v>
      </c>
      <c r="BC32" s="293"/>
      <c r="BD32" s="293" t="s">
        <v>209</v>
      </c>
      <c r="BE32" s="293" t="s">
        <v>209</v>
      </c>
      <c r="BF32" s="293" t="s">
        <v>209</v>
      </c>
      <c r="BG32" s="293" t="s">
        <v>209</v>
      </c>
      <c r="BH32" s="293" t="s">
        <v>209</v>
      </c>
    </row>
    <row r="33" spans="1:60" s="1" customFormat="1" ht="15" x14ac:dyDescent="0.25">
      <c r="A33" s="188"/>
      <c r="B33" s="188"/>
      <c r="C33" s="307" t="s">
        <v>251</v>
      </c>
      <c r="D33" s="184" t="e">
        <f t="shared" si="0"/>
        <v>#N/A</v>
      </c>
      <c r="E33" s="277" t="s">
        <v>724</v>
      </c>
      <c r="F33" s="189" t="s">
        <v>208</v>
      </c>
      <c r="G33" s="190" t="s">
        <v>208</v>
      </c>
      <c r="H33" s="227" t="s">
        <v>209</v>
      </c>
      <c r="I33" s="227" t="s">
        <v>208</v>
      </c>
      <c r="J33" s="227"/>
      <c r="K33" s="227" t="s">
        <v>209</v>
      </c>
      <c r="L33" s="227" t="s">
        <v>209</v>
      </c>
      <c r="M33" s="227" t="s">
        <v>539</v>
      </c>
      <c r="N33" s="227" t="s">
        <v>209</v>
      </c>
      <c r="O33" s="227" t="s">
        <v>208</v>
      </c>
      <c r="P33" s="296" t="s">
        <v>776</v>
      </c>
      <c r="Q33" s="296" t="s">
        <v>776</v>
      </c>
      <c r="R33" s="296" t="s">
        <v>776</v>
      </c>
      <c r="S33" s="227" t="s">
        <v>209</v>
      </c>
      <c r="T33" s="296" t="s">
        <v>776</v>
      </c>
      <c r="U33" s="296" t="s">
        <v>776</v>
      </c>
      <c r="V33" s="227" t="s">
        <v>209</v>
      </c>
      <c r="W33" s="296" t="s">
        <v>776</v>
      </c>
      <c r="X33" s="296" t="s">
        <v>776</v>
      </c>
      <c r="Y33" s="296" t="s">
        <v>776</v>
      </c>
      <c r="Z33" s="296" t="s">
        <v>776</v>
      </c>
      <c r="AA33" s="296" t="s">
        <v>776</v>
      </c>
      <c r="AB33" s="296" t="s">
        <v>776</v>
      </c>
      <c r="AC33" s="296" t="s">
        <v>776</v>
      </c>
      <c r="AD33" s="292" t="s">
        <v>209</v>
      </c>
      <c r="AE33" s="296" t="s">
        <v>776</v>
      </c>
      <c r="AF33" s="296" t="s">
        <v>776</v>
      </c>
      <c r="AG33" s="296"/>
      <c r="AH33" s="296" t="s">
        <v>776</v>
      </c>
      <c r="AI33" s="293"/>
      <c r="AJ33" s="294"/>
      <c r="AK33" s="293" t="s">
        <v>209</v>
      </c>
      <c r="AL33" s="293" t="s">
        <v>209</v>
      </c>
      <c r="AM33" s="293" t="s">
        <v>209</v>
      </c>
      <c r="AN33" s="293"/>
      <c r="AO33" s="293" t="s">
        <v>209</v>
      </c>
      <c r="AP33" s="293" t="s">
        <v>209</v>
      </c>
      <c r="AQ33" s="293" t="s">
        <v>209</v>
      </c>
      <c r="AR33" s="293" t="s">
        <v>209</v>
      </c>
      <c r="AS33" s="293" t="s">
        <v>209</v>
      </c>
      <c r="AT33" s="293" t="s">
        <v>209</v>
      </c>
      <c r="AU33" s="293" t="s">
        <v>209</v>
      </c>
      <c r="AV33" s="293" t="s">
        <v>209</v>
      </c>
      <c r="AW33" s="293" t="s">
        <v>209</v>
      </c>
      <c r="AX33" s="293" t="s">
        <v>209</v>
      </c>
      <c r="AY33" s="294"/>
      <c r="AZ33" s="293" t="s">
        <v>209</v>
      </c>
      <c r="BA33" s="293" t="s">
        <v>209</v>
      </c>
      <c r="BB33" s="293" t="s">
        <v>209</v>
      </c>
      <c r="BC33" s="293"/>
      <c r="BD33" s="293" t="s">
        <v>209</v>
      </c>
      <c r="BE33" s="293" t="s">
        <v>209</v>
      </c>
      <c r="BF33" s="293" t="s">
        <v>209</v>
      </c>
      <c r="BG33" s="293" t="s">
        <v>209</v>
      </c>
      <c r="BH33" s="293" t="s">
        <v>209</v>
      </c>
    </row>
    <row r="34" spans="1:60" s="1" customFormat="1" ht="15" x14ac:dyDescent="0.25">
      <c r="A34" s="191"/>
      <c r="B34" s="188"/>
      <c r="C34" s="307" t="s">
        <v>251</v>
      </c>
      <c r="D34" s="184" t="e">
        <f t="shared" si="0"/>
        <v>#N/A</v>
      </c>
      <c r="E34" s="276" t="s">
        <v>725</v>
      </c>
      <c r="F34" s="189" t="s">
        <v>208</v>
      </c>
      <c r="G34" s="190" t="s">
        <v>208</v>
      </c>
      <c r="H34" s="292" t="s">
        <v>209</v>
      </c>
      <c r="I34" s="227" t="s">
        <v>208</v>
      </c>
      <c r="J34" s="227"/>
      <c r="K34" s="292" t="s">
        <v>209</v>
      </c>
      <c r="L34" s="292" t="s">
        <v>209</v>
      </c>
      <c r="M34" s="292" t="s">
        <v>253</v>
      </c>
      <c r="N34" s="296" t="s">
        <v>776</v>
      </c>
      <c r="O34" s="292" t="s">
        <v>208</v>
      </c>
      <c r="P34" s="296" t="s">
        <v>776</v>
      </c>
      <c r="Q34" s="292" t="s">
        <v>208</v>
      </c>
      <c r="R34" s="292" t="s">
        <v>209</v>
      </c>
      <c r="S34" s="292" t="s">
        <v>209</v>
      </c>
      <c r="T34" s="296" t="s">
        <v>776</v>
      </c>
      <c r="U34" s="296" t="s">
        <v>776</v>
      </c>
      <c r="V34" s="292" t="s">
        <v>209</v>
      </c>
      <c r="W34" s="296" t="s">
        <v>776</v>
      </c>
      <c r="X34" s="296" t="s">
        <v>776</v>
      </c>
      <c r="Y34" s="296" t="s">
        <v>776</v>
      </c>
      <c r="Z34" s="296" t="s">
        <v>776</v>
      </c>
      <c r="AA34" s="296" t="s">
        <v>776</v>
      </c>
      <c r="AB34" s="296" t="s">
        <v>776</v>
      </c>
      <c r="AC34" s="296" t="s">
        <v>776</v>
      </c>
      <c r="AD34" s="292" t="s">
        <v>209</v>
      </c>
      <c r="AE34" s="296" t="s">
        <v>776</v>
      </c>
      <c r="AF34" s="296" t="s">
        <v>776</v>
      </c>
      <c r="AG34" s="296"/>
      <c r="AH34" s="296" t="s">
        <v>776</v>
      </c>
      <c r="AI34" s="293"/>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row>
    <row r="35" spans="1:60" s="1" customFormat="1" ht="15" x14ac:dyDescent="0.25">
      <c r="A35" s="188"/>
      <c r="B35" s="188"/>
      <c r="C35" s="307" t="s">
        <v>251</v>
      </c>
      <c r="D35" s="184" t="e">
        <f t="shared" si="0"/>
        <v>#N/A</v>
      </c>
      <c r="E35" s="277" t="s">
        <v>726</v>
      </c>
      <c r="F35" s="189" t="s">
        <v>208</v>
      </c>
      <c r="G35" s="190" t="s">
        <v>208</v>
      </c>
      <c r="H35" s="292" t="s">
        <v>209</v>
      </c>
      <c r="I35" s="227" t="s">
        <v>208</v>
      </c>
      <c r="J35" s="227"/>
      <c r="K35" s="292" t="s">
        <v>209</v>
      </c>
      <c r="L35" s="292" t="s">
        <v>209</v>
      </c>
      <c r="M35" s="292" t="s">
        <v>253</v>
      </c>
      <c r="N35" s="296" t="s">
        <v>776</v>
      </c>
      <c r="O35" s="292" t="s">
        <v>208</v>
      </c>
      <c r="P35" s="296" t="s">
        <v>776</v>
      </c>
      <c r="Q35" s="292" t="s">
        <v>208</v>
      </c>
      <c r="R35" s="292" t="s">
        <v>209</v>
      </c>
      <c r="S35" s="292" t="s">
        <v>209</v>
      </c>
      <c r="T35" s="296" t="s">
        <v>776</v>
      </c>
      <c r="U35" s="296" t="s">
        <v>776</v>
      </c>
      <c r="V35" s="292" t="s">
        <v>209</v>
      </c>
      <c r="W35" s="296" t="s">
        <v>776</v>
      </c>
      <c r="X35" s="296" t="s">
        <v>776</v>
      </c>
      <c r="Y35" s="296" t="s">
        <v>776</v>
      </c>
      <c r="Z35" s="296" t="s">
        <v>776</v>
      </c>
      <c r="AA35" s="296" t="s">
        <v>776</v>
      </c>
      <c r="AB35" s="296" t="s">
        <v>776</v>
      </c>
      <c r="AC35" s="296" t="s">
        <v>776</v>
      </c>
      <c r="AD35" s="292" t="s">
        <v>209</v>
      </c>
      <c r="AE35" s="296" t="s">
        <v>776</v>
      </c>
      <c r="AF35" s="296" t="s">
        <v>776</v>
      </c>
      <c r="AG35" s="296"/>
      <c r="AH35" s="296" t="s">
        <v>776</v>
      </c>
      <c r="AI35" s="293"/>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1" customFormat="1" ht="15" x14ac:dyDescent="0.25">
      <c r="A36" s="188"/>
      <c r="B36" s="188"/>
      <c r="C36" s="307" t="s">
        <v>251</v>
      </c>
      <c r="D36" s="184" t="e">
        <f t="shared" si="0"/>
        <v>#N/A</v>
      </c>
      <c r="E36" s="276" t="s">
        <v>727</v>
      </c>
      <c r="F36" s="189" t="s">
        <v>208</v>
      </c>
      <c r="G36" s="190" t="s">
        <v>208</v>
      </c>
      <c r="H36" s="292" t="s">
        <v>209</v>
      </c>
      <c r="I36" s="227" t="s">
        <v>208</v>
      </c>
      <c r="J36" s="227"/>
      <c r="K36" s="292" t="s">
        <v>209</v>
      </c>
      <c r="L36" s="292" t="s">
        <v>209</v>
      </c>
      <c r="M36" s="292" t="s">
        <v>255</v>
      </c>
      <c r="N36" s="296" t="s">
        <v>776</v>
      </c>
      <c r="O36" s="292" t="s">
        <v>208</v>
      </c>
      <c r="P36" s="296" t="s">
        <v>776</v>
      </c>
      <c r="Q36" s="296" t="s">
        <v>776</v>
      </c>
      <c r="R36" s="292" t="s">
        <v>209</v>
      </c>
      <c r="S36" s="292" t="s">
        <v>209</v>
      </c>
      <c r="T36" s="296" t="s">
        <v>776</v>
      </c>
      <c r="U36" s="296" t="s">
        <v>776</v>
      </c>
      <c r="V36" s="296" t="s">
        <v>776</v>
      </c>
      <c r="W36" s="296" t="s">
        <v>776</v>
      </c>
      <c r="X36" s="296" t="s">
        <v>776</v>
      </c>
      <c r="Y36" s="296" t="s">
        <v>776</v>
      </c>
      <c r="Z36" s="296" t="s">
        <v>776</v>
      </c>
      <c r="AA36" s="296" t="s">
        <v>776</v>
      </c>
      <c r="AB36" s="296" t="s">
        <v>776</v>
      </c>
      <c r="AC36" s="296" t="s">
        <v>776</v>
      </c>
      <c r="AD36" s="292" t="s">
        <v>209</v>
      </c>
      <c r="AE36" s="296" t="s">
        <v>776</v>
      </c>
      <c r="AF36" s="296" t="s">
        <v>776</v>
      </c>
      <c r="AG36" s="296"/>
      <c r="AH36" s="296" t="s">
        <v>776</v>
      </c>
      <c r="AI36" s="293"/>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1" customFormat="1" ht="15" x14ac:dyDescent="0.25">
      <c r="A37" s="191"/>
      <c r="B37" s="188"/>
      <c r="C37" s="307" t="s">
        <v>251</v>
      </c>
      <c r="D37" s="184" t="e">
        <f t="shared" si="0"/>
        <v>#N/A</v>
      </c>
      <c r="E37" s="277" t="s">
        <v>728</v>
      </c>
      <c r="F37" s="189" t="s">
        <v>208</v>
      </c>
      <c r="G37" s="190" t="s">
        <v>208</v>
      </c>
      <c r="H37" s="227" t="s">
        <v>209</v>
      </c>
      <c r="I37" s="227" t="s">
        <v>208</v>
      </c>
      <c r="J37" s="227"/>
      <c r="K37" s="227" t="s">
        <v>209</v>
      </c>
      <c r="L37" s="227" t="s">
        <v>209</v>
      </c>
      <c r="M37" s="227" t="s">
        <v>537</v>
      </c>
      <c r="N37" s="296" t="s">
        <v>776</v>
      </c>
      <c r="O37" s="227" t="s">
        <v>208</v>
      </c>
      <c r="P37" s="296" t="s">
        <v>776</v>
      </c>
      <c r="Q37" s="296" t="s">
        <v>776</v>
      </c>
      <c r="R37" s="292" t="s">
        <v>209</v>
      </c>
      <c r="S37" s="227" t="s">
        <v>209</v>
      </c>
      <c r="T37" s="296" t="s">
        <v>776</v>
      </c>
      <c r="U37" s="296" t="s">
        <v>776</v>
      </c>
      <c r="V37" s="296" t="s">
        <v>776</v>
      </c>
      <c r="W37" s="296" t="s">
        <v>776</v>
      </c>
      <c r="X37" s="296" t="s">
        <v>776</v>
      </c>
      <c r="Y37" s="296" t="s">
        <v>776</v>
      </c>
      <c r="Z37" s="296" t="s">
        <v>776</v>
      </c>
      <c r="AA37" s="296" t="s">
        <v>776</v>
      </c>
      <c r="AB37" s="296" t="s">
        <v>776</v>
      </c>
      <c r="AC37" s="296" t="s">
        <v>776</v>
      </c>
      <c r="AD37" s="292" t="s">
        <v>209</v>
      </c>
      <c r="AE37" s="296" t="s">
        <v>776</v>
      </c>
      <c r="AF37" s="296" t="s">
        <v>776</v>
      </c>
      <c r="AG37" s="296"/>
      <c r="AH37" s="296" t="s">
        <v>776</v>
      </c>
      <c r="AI37" s="293"/>
      <c r="AJ37" s="294"/>
      <c r="AK37" s="293" t="s">
        <v>209</v>
      </c>
      <c r="AL37" s="293" t="s">
        <v>209</v>
      </c>
      <c r="AM37" s="293" t="s">
        <v>209</v>
      </c>
      <c r="AN37" s="293"/>
      <c r="AO37" s="293" t="s">
        <v>209</v>
      </c>
      <c r="AP37" s="293" t="s">
        <v>209</v>
      </c>
      <c r="AQ37" s="293" t="s">
        <v>209</v>
      </c>
      <c r="AR37" s="293" t="s">
        <v>209</v>
      </c>
      <c r="AS37" s="293" t="s">
        <v>209</v>
      </c>
      <c r="AT37" s="293" t="s">
        <v>209</v>
      </c>
      <c r="AU37" s="293" t="s">
        <v>209</v>
      </c>
      <c r="AV37" s="293" t="s">
        <v>209</v>
      </c>
      <c r="AW37" s="293" t="s">
        <v>209</v>
      </c>
      <c r="AX37" s="293" t="s">
        <v>209</v>
      </c>
      <c r="AY37" s="294"/>
      <c r="AZ37" s="293" t="s">
        <v>209</v>
      </c>
      <c r="BA37" s="293" t="s">
        <v>209</v>
      </c>
      <c r="BB37" s="293" t="s">
        <v>209</v>
      </c>
      <c r="BC37" s="293"/>
      <c r="BD37" s="293" t="s">
        <v>209</v>
      </c>
      <c r="BE37" s="293" t="s">
        <v>209</v>
      </c>
      <c r="BF37" s="293" t="s">
        <v>209</v>
      </c>
      <c r="BG37" s="293" t="s">
        <v>209</v>
      </c>
      <c r="BH37" s="293" t="s">
        <v>209</v>
      </c>
    </row>
    <row r="38" spans="1:60" s="1" customFormat="1" ht="15" x14ac:dyDescent="0.25">
      <c r="A38" s="188"/>
      <c r="B38" s="188"/>
      <c r="C38" s="307" t="s">
        <v>251</v>
      </c>
      <c r="D38" s="184" t="e">
        <f t="shared" si="0"/>
        <v>#N/A</v>
      </c>
      <c r="E38" s="276" t="s">
        <v>729</v>
      </c>
      <c r="F38" s="189" t="s">
        <v>208</v>
      </c>
      <c r="G38" s="190" t="s">
        <v>208</v>
      </c>
      <c r="H38" s="227" t="s">
        <v>7</v>
      </c>
      <c r="I38" s="227" t="s">
        <v>209</v>
      </c>
      <c r="J38" s="227"/>
      <c r="K38" s="227" t="s">
        <v>209</v>
      </c>
      <c r="L38" s="227" t="s">
        <v>209</v>
      </c>
      <c r="M38" s="292" t="s">
        <v>208</v>
      </c>
      <c r="N38" s="292" t="s">
        <v>209</v>
      </c>
      <c r="O38" s="292" t="s">
        <v>208</v>
      </c>
      <c r="P38" s="292" t="s">
        <v>209</v>
      </c>
      <c r="Q38" s="292" t="s">
        <v>208</v>
      </c>
      <c r="R38" s="292" t="s">
        <v>209</v>
      </c>
      <c r="S38" s="292" t="s">
        <v>209</v>
      </c>
      <c r="T38" s="292" t="s">
        <v>209</v>
      </c>
      <c r="U38" s="292" t="s">
        <v>776</v>
      </c>
      <c r="V38" s="292" t="s">
        <v>776</v>
      </c>
      <c r="W38" s="292" t="s">
        <v>234</v>
      </c>
      <c r="X38" s="292" t="s">
        <v>776</v>
      </c>
      <c r="Y38" s="292" t="s">
        <v>234</v>
      </c>
      <c r="Z38" s="292" t="s">
        <v>234</v>
      </c>
      <c r="AA38" s="292" t="s">
        <v>234</v>
      </c>
      <c r="AB38" s="292" t="s">
        <v>776</v>
      </c>
      <c r="AC38" s="292" t="s">
        <v>776</v>
      </c>
      <c r="AD38" s="304" t="s">
        <v>783</v>
      </c>
      <c r="AE38" s="292" t="s">
        <v>209</v>
      </c>
      <c r="AF38" s="292" t="s">
        <v>776</v>
      </c>
      <c r="AG38" s="292"/>
      <c r="AH38" s="292" t="s">
        <v>209</v>
      </c>
      <c r="AI38" s="293"/>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1" customFormat="1" ht="15" x14ac:dyDescent="0.25">
      <c r="A39" s="180"/>
      <c r="B39" s="180"/>
      <c r="C39" s="307" t="s">
        <v>251</v>
      </c>
      <c r="D39" s="184" t="e">
        <f t="shared" si="0"/>
        <v>#N/A</v>
      </c>
      <c r="E39" s="277" t="s">
        <v>730</v>
      </c>
      <c r="F39" s="189" t="s">
        <v>208</v>
      </c>
      <c r="G39" s="190" t="s">
        <v>208</v>
      </c>
      <c r="H39" s="227" t="s">
        <v>7</v>
      </c>
      <c r="I39" s="227" t="s">
        <v>209</v>
      </c>
      <c r="J39" s="227"/>
      <c r="K39" s="227" t="s">
        <v>209</v>
      </c>
      <c r="L39" s="227" t="s">
        <v>209</v>
      </c>
      <c r="M39" s="227" t="s">
        <v>208</v>
      </c>
      <c r="N39" s="227" t="s">
        <v>209</v>
      </c>
      <c r="O39" s="227" t="s">
        <v>208</v>
      </c>
      <c r="P39" s="227" t="s">
        <v>209</v>
      </c>
      <c r="Q39" s="227" t="s">
        <v>209</v>
      </c>
      <c r="R39" s="296" t="s">
        <v>776</v>
      </c>
      <c r="S39" s="227" t="s">
        <v>209</v>
      </c>
      <c r="T39" s="296" t="s">
        <v>776</v>
      </c>
      <c r="U39" s="296" t="s">
        <v>776</v>
      </c>
      <c r="V39" s="296" t="s">
        <v>776</v>
      </c>
      <c r="W39" s="296" t="s">
        <v>776</v>
      </c>
      <c r="X39" s="296" t="s">
        <v>776</v>
      </c>
      <c r="Y39" s="296" t="s">
        <v>776</v>
      </c>
      <c r="Z39" s="296" t="s">
        <v>776</v>
      </c>
      <c r="AA39" s="296" t="s">
        <v>776</v>
      </c>
      <c r="AB39" s="296" t="s">
        <v>776</v>
      </c>
      <c r="AC39" s="296" t="s">
        <v>776</v>
      </c>
      <c r="AD39" s="296" t="s">
        <v>776</v>
      </c>
      <c r="AE39" s="296" t="s">
        <v>776</v>
      </c>
      <c r="AF39" s="296" t="s">
        <v>776</v>
      </c>
      <c r="AG39" s="296"/>
      <c r="AH39" s="296" t="s">
        <v>776</v>
      </c>
      <c r="AI39" s="293"/>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1" customFormat="1" ht="15" x14ac:dyDescent="0.25">
      <c r="A40" s="180"/>
      <c r="B40" s="180"/>
      <c r="C40" s="307" t="s">
        <v>251</v>
      </c>
      <c r="D40" s="184" t="e">
        <f t="shared" si="0"/>
        <v>#N/A</v>
      </c>
      <c r="E40" s="276" t="s">
        <v>748</v>
      </c>
      <c r="F40" s="189" t="s">
        <v>208</v>
      </c>
      <c r="G40" s="190" t="s">
        <v>208</v>
      </c>
      <c r="H40" s="227" t="s">
        <v>209</v>
      </c>
      <c r="I40" s="227" t="s">
        <v>209</v>
      </c>
      <c r="J40" s="227"/>
      <c r="K40" s="227" t="s">
        <v>209</v>
      </c>
      <c r="L40" s="227" t="s">
        <v>209</v>
      </c>
      <c r="M40" s="227" t="s">
        <v>208</v>
      </c>
      <c r="N40" s="227" t="s">
        <v>209</v>
      </c>
      <c r="O40" s="227" t="s">
        <v>208</v>
      </c>
      <c r="P40" s="227" t="s">
        <v>209</v>
      </c>
      <c r="Q40" s="227" t="s">
        <v>209</v>
      </c>
      <c r="R40" s="227" t="s">
        <v>209</v>
      </c>
      <c r="S40" s="227" t="s">
        <v>209</v>
      </c>
      <c r="T40" s="227" t="s">
        <v>209</v>
      </c>
      <c r="U40" s="296" t="s">
        <v>776</v>
      </c>
      <c r="V40" s="227" t="s">
        <v>209</v>
      </c>
      <c r="W40" s="227" t="s">
        <v>209</v>
      </c>
      <c r="X40" s="296" t="s">
        <v>776</v>
      </c>
      <c r="Y40" s="227" t="s">
        <v>209</v>
      </c>
      <c r="Z40" s="296" t="s">
        <v>776</v>
      </c>
      <c r="AA40" s="296" t="s">
        <v>776</v>
      </c>
      <c r="AB40" s="227" t="s">
        <v>209</v>
      </c>
      <c r="AC40" s="227" t="s">
        <v>209</v>
      </c>
      <c r="AD40" s="305" t="s">
        <v>783</v>
      </c>
      <c r="AE40" s="292" t="s">
        <v>776</v>
      </c>
      <c r="AF40" s="292" t="s">
        <v>776</v>
      </c>
      <c r="AG40" s="292"/>
      <c r="AH40" s="292" t="s">
        <v>776</v>
      </c>
      <c r="AI40" s="293"/>
      <c r="AJ40" s="294"/>
      <c r="AK40" s="294" t="s">
        <v>209</v>
      </c>
      <c r="AL40" s="294"/>
      <c r="AM40" s="294"/>
      <c r="AN40" s="294"/>
      <c r="AO40" s="294"/>
      <c r="AP40" s="294"/>
      <c r="AQ40" s="294"/>
      <c r="AR40" s="294"/>
      <c r="AS40" s="294"/>
      <c r="AT40" s="294"/>
      <c r="AU40" s="294"/>
      <c r="AV40" s="294"/>
      <c r="AW40" s="294"/>
      <c r="AX40" s="294"/>
      <c r="AY40" s="294"/>
      <c r="AZ40" s="294" t="s">
        <v>209</v>
      </c>
      <c r="BA40" s="294"/>
      <c r="BB40" s="294"/>
      <c r="BC40" s="294"/>
      <c r="BD40" s="294"/>
      <c r="BE40" s="294"/>
      <c r="BF40" s="294"/>
      <c r="BG40" s="294"/>
      <c r="BH40" s="294"/>
    </row>
    <row r="41" spans="1:60" s="1" customFormat="1" ht="15" x14ac:dyDescent="0.25">
      <c r="A41" s="180"/>
      <c r="B41" s="180"/>
      <c r="C41" s="307" t="s">
        <v>251</v>
      </c>
      <c r="D41" s="184" t="e">
        <f t="shared" si="0"/>
        <v>#N/A</v>
      </c>
      <c r="E41" s="277" t="s">
        <v>731</v>
      </c>
      <c r="F41" s="189" t="s">
        <v>208</v>
      </c>
      <c r="G41" s="190" t="s">
        <v>208</v>
      </c>
      <c r="H41" s="227" t="s">
        <v>209</v>
      </c>
      <c r="I41" s="227" t="s">
        <v>208</v>
      </c>
      <c r="J41" s="227"/>
      <c r="K41" s="227" t="s">
        <v>209</v>
      </c>
      <c r="L41" s="227" t="s">
        <v>358</v>
      </c>
      <c r="M41" s="227" t="s">
        <v>208</v>
      </c>
      <c r="N41" s="227" t="s">
        <v>209</v>
      </c>
      <c r="O41" s="227" t="s">
        <v>208</v>
      </c>
      <c r="P41" s="227" t="s">
        <v>209</v>
      </c>
      <c r="Q41" s="227" t="s">
        <v>208</v>
      </c>
      <c r="R41" s="227" t="s">
        <v>209</v>
      </c>
      <c r="S41" s="227" t="s">
        <v>209</v>
      </c>
      <c r="T41" s="227" t="s">
        <v>209</v>
      </c>
      <c r="U41" s="296" t="s">
        <v>776</v>
      </c>
      <c r="V41" s="296" t="s">
        <v>209</v>
      </c>
      <c r="W41" s="227" t="s">
        <v>209</v>
      </c>
      <c r="X41" s="296" t="s">
        <v>776</v>
      </c>
      <c r="Y41" s="227" t="s">
        <v>209</v>
      </c>
      <c r="Z41" s="296" t="s">
        <v>776</v>
      </c>
      <c r="AA41" s="296" t="s">
        <v>776</v>
      </c>
      <c r="AB41" s="227" t="s">
        <v>209</v>
      </c>
      <c r="AC41" s="227" t="s">
        <v>209</v>
      </c>
      <c r="AD41" s="305" t="s">
        <v>783</v>
      </c>
      <c r="AE41" s="297" t="s">
        <v>784</v>
      </c>
      <c r="AF41" s="297" t="s">
        <v>209</v>
      </c>
      <c r="AG41" s="297"/>
      <c r="AH41" s="297" t="s">
        <v>209</v>
      </c>
      <c r="AI41" s="293"/>
      <c r="AJ41" s="295"/>
      <c r="AK41" s="294" t="s">
        <v>209</v>
      </c>
      <c r="AL41" s="294"/>
      <c r="AM41" s="294"/>
      <c r="AN41" s="294"/>
      <c r="AO41" s="294"/>
      <c r="AP41" s="294"/>
      <c r="AQ41" s="294"/>
      <c r="AR41" s="294"/>
      <c r="AS41" s="294"/>
      <c r="AT41" s="294"/>
      <c r="AU41" s="294"/>
      <c r="AV41" s="294"/>
      <c r="AW41" s="294"/>
      <c r="AX41" s="294"/>
      <c r="AY41" s="295"/>
      <c r="AZ41" s="294" t="s">
        <v>209</v>
      </c>
      <c r="BA41" s="294"/>
      <c r="BB41" s="294"/>
      <c r="BC41" s="294"/>
      <c r="BD41" s="294"/>
      <c r="BE41" s="294"/>
      <c r="BF41" s="294"/>
      <c r="BG41" s="294"/>
      <c r="BH41" s="294"/>
    </row>
    <row r="42" spans="1:60" s="1" customFormat="1" ht="15" x14ac:dyDescent="0.25">
      <c r="A42" s="180"/>
      <c r="B42" s="180"/>
      <c r="C42" s="307" t="s">
        <v>251</v>
      </c>
      <c r="D42" s="184" t="e">
        <f t="shared" si="0"/>
        <v>#N/A</v>
      </c>
      <c r="E42" s="276" t="s">
        <v>732</v>
      </c>
      <c r="F42" s="189" t="s">
        <v>208</v>
      </c>
      <c r="G42" s="190" t="s">
        <v>208</v>
      </c>
      <c r="H42" s="227" t="s">
        <v>209</v>
      </c>
      <c r="I42" s="227" t="s">
        <v>209</v>
      </c>
      <c r="J42" s="227"/>
      <c r="K42" s="227" t="s">
        <v>209</v>
      </c>
      <c r="L42" s="227" t="s">
        <v>209</v>
      </c>
      <c r="M42" s="292" t="s">
        <v>208</v>
      </c>
      <c r="N42" s="292" t="s">
        <v>209</v>
      </c>
      <c r="O42" s="292" t="s">
        <v>208</v>
      </c>
      <c r="P42" s="292" t="s">
        <v>208</v>
      </c>
      <c r="Q42" s="292" t="s">
        <v>208</v>
      </c>
      <c r="R42" s="292" t="s">
        <v>209</v>
      </c>
      <c r="S42" s="292" t="s">
        <v>209</v>
      </c>
      <c r="T42" s="292" t="s">
        <v>209</v>
      </c>
      <c r="U42" s="292" t="s">
        <v>776</v>
      </c>
      <c r="V42" s="292" t="s">
        <v>776</v>
      </c>
      <c r="W42" s="292" t="s">
        <v>234</v>
      </c>
      <c r="X42" s="292" t="s">
        <v>776</v>
      </c>
      <c r="Y42" s="292" t="s">
        <v>234</v>
      </c>
      <c r="Z42" s="292" t="s">
        <v>234</v>
      </c>
      <c r="AA42" s="292" t="s">
        <v>234</v>
      </c>
      <c r="AB42" s="292" t="s">
        <v>776</v>
      </c>
      <c r="AC42" s="292" t="s">
        <v>776</v>
      </c>
      <c r="AD42" s="292" t="s">
        <v>209</v>
      </c>
      <c r="AE42" s="292" t="s">
        <v>209</v>
      </c>
      <c r="AF42" s="292" t="s">
        <v>776</v>
      </c>
      <c r="AG42" s="292"/>
      <c r="AH42" s="292" t="s">
        <v>209</v>
      </c>
      <c r="AI42" s="293"/>
      <c r="AJ42" s="295"/>
      <c r="AK42" s="294"/>
      <c r="AL42" s="294"/>
      <c r="AM42" s="294"/>
      <c r="AN42" s="294"/>
      <c r="AO42" s="294"/>
      <c r="AP42" s="294"/>
      <c r="AQ42" s="294"/>
      <c r="AR42" s="294"/>
      <c r="AS42" s="294"/>
      <c r="AT42" s="294"/>
      <c r="AU42" s="294"/>
      <c r="AV42" s="294"/>
      <c r="AW42" s="294"/>
      <c r="AX42" s="294"/>
      <c r="AY42" s="295"/>
      <c r="AZ42" s="294"/>
      <c r="BA42" s="294"/>
      <c r="BB42" s="294"/>
      <c r="BC42" s="294"/>
      <c r="BD42" s="294"/>
      <c r="BE42" s="294"/>
      <c r="BF42" s="294"/>
      <c r="BG42" s="294"/>
      <c r="BH42" s="294"/>
    </row>
    <row r="43" spans="1:60" s="1" customFormat="1" ht="15" x14ac:dyDescent="0.25">
      <c r="A43" s="180"/>
      <c r="B43" s="180"/>
      <c r="C43" s="307" t="s">
        <v>251</v>
      </c>
      <c r="D43" s="184" t="e">
        <f t="shared" si="0"/>
        <v>#N/A</v>
      </c>
      <c r="E43" s="277" t="s">
        <v>751</v>
      </c>
      <c r="F43" s="189" t="s">
        <v>208</v>
      </c>
      <c r="G43" s="190" t="s">
        <v>208</v>
      </c>
      <c r="H43" s="231" t="s">
        <v>209</v>
      </c>
      <c r="I43" s="227" t="s">
        <v>208</v>
      </c>
      <c r="J43" s="227"/>
      <c r="K43" s="227" t="s">
        <v>209</v>
      </c>
      <c r="L43" s="227" t="s">
        <v>209</v>
      </c>
      <c r="M43" s="227" t="s">
        <v>209</v>
      </c>
      <c r="N43" s="292" t="s">
        <v>776</v>
      </c>
      <c r="O43" s="227" t="s">
        <v>208</v>
      </c>
      <c r="P43" s="292" t="s">
        <v>776</v>
      </c>
      <c r="Q43" s="227" t="s">
        <v>209</v>
      </c>
      <c r="R43" s="292" t="s">
        <v>776</v>
      </c>
      <c r="S43" s="296" t="s">
        <v>209</v>
      </c>
      <c r="T43" s="292" t="s">
        <v>776</v>
      </c>
      <c r="U43" s="292" t="s">
        <v>776</v>
      </c>
      <c r="V43" s="292" t="s">
        <v>776</v>
      </c>
      <c r="W43" s="292" t="s">
        <v>776</v>
      </c>
      <c r="X43" s="292" t="s">
        <v>776</v>
      </c>
      <c r="Y43" s="292" t="s">
        <v>776</v>
      </c>
      <c r="Z43" s="292" t="s">
        <v>776</v>
      </c>
      <c r="AA43" s="292" t="s">
        <v>776</v>
      </c>
      <c r="AB43" s="292" t="s">
        <v>776</v>
      </c>
      <c r="AC43" s="292" t="s">
        <v>776</v>
      </c>
      <c r="AD43" s="292" t="s">
        <v>209</v>
      </c>
      <c r="AE43" s="297" t="s">
        <v>209</v>
      </c>
      <c r="AF43" s="292" t="s">
        <v>776</v>
      </c>
      <c r="AG43" s="292"/>
      <c r="AH43" s="292" t="s">
        <v>776</v>
      </c>
      <c r="AI43" s="293"/>
      <c r="AJ43" s="294"/>
      <c r="AK43" s="293" t="s">
        <v>209</v>
      </c>
      <c r="AL43" s="293" t="s">
        <v>209</v>
      </c>
      <c r="AM43" s="293" t="s">
        <v>209</v>
      </c>
      <c r="AN43" s="293"/>
      <c r="AO43" s="293" t="s">
        <v>209</v>
      </c>
      <c r="AP43" s="293" t="s">
        <v>209</v>
      </c>
      <c r="AQ43" s="293" t="s">
        <v>209</v>
      </c>
      <c r="AR43" s="293" t="s">
        <v>209</v>
      </c>
      <c r="AS43" s="293" t="s">
        <v>209</v>
      </c>
      <c r="AT43" s="293" t="s">
        <v>209</v>
      </c>
      <c r="AU43" s="293" t="s">
        <v>209</v>
      </c>
      <c r="AV43" s="293" t="s">
        <v>209</v>
      </c>
      <c r="AW43" s="293" t="s">
        <v>209</v>
      </c>
      <c r="AX43" s="293" t="s">
        <v>209</v>
      </c>
      <c r="AY43" s="294"/>
      <c r="AZ43" s="293" t="s">
        <v>209</v>
      </c>
      <c r="BA43" s="293" t="s">
        <v>209</v>
      </c>
      <c r="BB43" s="293" t="s">
        <v>209</v>
      </c>
      <c r="BC43" s="293"/>
      <c r="BD43" s="293" t="s">
        <v>209</v>
      </c>
      <c r="BE43" s="293" t="s">
        <v>209</v>
      </c>
      <c r="BF43" s="293" t="s">
        <v>209</v>
      </c>
      <c r="BG43" s="293" t="s">
        <v>209</v>
      </c>
      <c r="BH43" s="293" t="s">
        <v>209</v>
      </c>
    </row>
    <row r="44" spans="1:60" s="1" customFormat="1" ht="15" x14ac:dyDescent="0.25">
      <c r="A44" s="180"/>
      <c r="B44" s="180"/>
      <c r="C44" s="307" t="s">
        <v>251</v>
      </c>
      <c r="D44" s="184" t="e">
        <f t="shared" si="0"/>
        <v>#N/A</v>
      </c>
      <c r="E44" s="276" t="s">
        <v>733</v>
      </c>
      <c r="F44" s="189" t="s">
        <v>208</v>
      </c>
      <c r="G44" s="190" t="s">
        <v>208</v>
      </c>
      <c r="H44" s="227" t="s">
        <v>209</v>
      </c>
      <c r="I44" s="227" t="s">
        <v>208</v>
      </c>
      <c r="J44" s="227"/>
      <c r="K44" s="227" t="s">
        <v>209</v>
      </c>
      <c r="L44" s="227" t="s">
        <v>209</v>
      </c>
      <c r="M44" s="227" t="s">
        <v>253</v>
      </c>
      <c r="N44" s="227" t="s">
        <v>209</v>
      </c>
      <c r="O44" s="227" t="s">
        <v>208</v>
      </c>
      <c r="P44" s="292" t="s">
        <v>776</v>
      </c>
      <c r="Q44" s="227" t="s">
        <v>209</v>
      </c>
      <c r="R44" s="227" t="s">
        <v>209</v>
      </c>
      <c r="S44" s="296" t="s">
        <v>209</v>
      </c>
      <c r="T44" s="227" t="s">
        <v>209</v>
      </c>
      <c r="U44" s="292" t="s">
        <v>776</v>
      </c>
      <c r="V44" s="296" t="s">
        <v>208</v>
      </c>
      <c r="W44" s="227" t="s">
        <v>209</v>
      </c>
      <c r="X44" s="292" t="s">
        <v>776</v>
      </c>
      <c r="Y44" s="292" t="s">
        <v>776</v>
      </c>
      <c r="Z44" s="292" t="s">
        <v>776</v>
      </c>
      <c r="AA44" s="292" t="s">
        <v>776</v>
      </c>
      <c r="AB44" s="292" t="s">
        <v>776</v>
      </c>
      <c r="AC44" s="292" t="s">
        <v>776</v>
      </c>
      <c r="AD44" s="292" t="s">
        <v>209</v>
      </c>
      <c r="AE44" s="292" t="s">
        <v>776</v>
      </c>
      <c r="AF44" s="292" t="s">
        <v>776</v>
      </c>
      <c r="AG44" s="292"/>
      <c r="AH44" s="292" t="s">
        <v>776</v>
      </c>
      <c r="AI44" s="293"/>
      <c r="AJ44" s="294"/>
      <c r="AK44" s="293" t="s">
        <v>209</v>
      </c>
      <c r="AL44" s="293" t="s">
        <v>209</v>
      </c>
      <c r="AM44" s="293" t="s">
        <v>209</v>
      </c>
      <c r="AN44" s="293"/>
      <c r="AO44" s="293" t="s">
        <v>209</v>
      </c>
      <c r="AP44" s="293" t="s">
        <v>209</v>
      </c>
      <c r="AQ44" s="293" t="s">
        <v>209</v>
      </c>
      <c r="AR44" s="293" t="s">
        <v>209</v>
      </c>
      <c r="AS44" s="293" t="s">
        <v>209</v>
      </c>
      <c r="AT44" s="293" t="s">
        <v>209</v>
      </c>
      <c r="AU44" s="293" t="s">
        <v>209</v>
      </c>
      <c r="AV44" s="293" t="s">
        <v>209</v>
      </c>
      <c r="AW44" s="293" t="s">
        <v>209</v>
      </c>
      <c r="AX44" s="293" t="s">
        <v>209</v>
      </c>
      <c r="AY44" s="294"/>
      <c r="AZ44" s="293" t="s">
        <v>209</v>
      </c>
      <c r="BA44" s="293" t="s">
        <v>209</v>
      </c>
      <c r="BB44" s="293" t="s">
        <v>209</v>
      </c>
      <c r="BC44" s="293"/>
      <c r="BD44" s="293" t="s">
        <v>209</v>
      </c>
      <c r="BE44" s="293" t="s">
        <v>209</v>
      </c>
      <c r="BF44" s="293" t="s">
        <v>209</v>
      </c>
      <c r="BG44" s="293" t="s">
        <v>209</v>
      </c>
      <c r="BH44" s="293" t="s">
        <v>209</v>
      </c>
    </row>
    <row r="45" spans="1:60" s="1" customFormat="1" ht="15" x14ac:dyDescent="0.25">
      <c r="A45" s="180"/>
      <c r="B45" s="180"/>
      <c r="C45" s="307" t="s">
        <v>251</v>
      </c>
      <c r="D45" s="184" t="e">
        <f t="shared" si="0"/>
        <v>#N/A</v>
      </c>
      <c r="E45" s="277" t="s">
        <v>734</v>
      </c>
      <c r="F45" s="189" t="s">
        <v>208</v>
      </c>
      <c r="G45" s="190" t="s">
        <v>208</v>
      </c>
      <c r="H45" s="292" t="s">
        <v>209</v>
      </c>
      <c r="I45" s="227" t="s">
        <v>208</v>
      </c>
      <c r="J45" s="227"/>
      <c r="K45" s="292" t="s">
        <v>209</v>
      </c>
      <c r="L45" s="292" t="s">
        <v>209</v>
      </c>
      <c r="M45" s="292" t="s">
        <v>208</v>
      </c>
      <c r="N45" s="292" t="s">
        <v>209</v>
      </c>
      <c r="O45" s="292" t="s">
        <v>208</v>
      </c>
      <c r="P45" s="292" t="s">
        <v>208</v>
      </c>
      <c r="Q45" s="292" t="s">
        <v>208</v>
      </c>
      <c r="R45" s="292" t="s">
        <v>209</v>
      </c>
      <c r="S45" s="292" t="s">
        <v>209</v>
      </c>
      <c r="T45" s="292" t="s">
        <v>209</v>
      </c>
      <c r="U45" s="292" t="s">
        <v>776</v>
      </c>
      <c r="V45" s="292" t="s">
        <v>209</v>
      </c>
      <c r="W45" s="292" t="s">
        <v>776</v>
      </c>
      <c r="X45" s="292" t="s">
        <v>776</v>
      </c>
      <c r="Y45" s="292" t="s">
        <v>776</v>
      </c>
      <c r="Z45" s="292" t="s">
        <v>776</v>
      </c>
      <c r="AA45" s="292" t="s">
        <v>776</v>
      </c>
      <c r="AB45" s="292" t="s">
        <v>208</v>
      </c>
      <c r="AC45" s="292" t="s">
        <v>208</v>
      </c>
      <c r="AD45" s="292" t="s">
        <v>209</v>
      </c>
      <c r="AE45" s="292" t="s">
        <v>776</v>
      </c>
      <c r="AF45" s="292" t="s">
        <v>208</v>
      </c>
      <c r="AG45" s="292"/>
      <c r="AH45" s="292" t="s">
        <v>208</v>
      </c>
      <c r="AI45" s="301"/>
      <c r="AJ45" s="294"/>
      <c r="AK45" s="293" t="s">
        <v>209</v>
      </c>
      <c r="AL45" s="293" t="s">
        <v>209</v>
      </c>
      <c r="AM45" s="293" t="s">
        <v>209</v>
      </c>
      <c r="AN45" s="293"/>
      <c r="AO45" s="293" t="s">
        <v>209</v>
      </c>
      <c r="AP45" s="293" t="s">
        <v>209</v>
      </c>
      <c r="AQ45" s="293" t="s">
        <v>209</v>
      </c>
      <c r="AR45" s="293" t="s">
        <v>209</v>
      </c>
      <c r="AS45" s="293" t="s">
        <v>209</v>
      </c>
      <c r="AT45" s="293" t="s">
        <v>209</v>
      </c>
      <c r="AU45" s="293" t="s">
        <v>209</v>
      </c>
      <c r="AV45" s="293" t="s">
        <v>209</v>
      </c>
      <c r="AW45" s="293" t="s">
        <v>209</v>
      </c>
      <c r="AX45" s="293" t="s">
        <v>209</v>
      </c>
      <c r="AY45" s="294"/>
      <c r="AZ45" s="293" t="s">
        <v>209</v>
      </c>
      <c r="BA45" s="293" t="s">
        <v>209</v>
      </c>
      <c r="BB45" s="293" t="s">
        <v>209</v>
      </c>
      <c r="BC45" s="293"/>
      <c r="BD45" s="293" t="s">
        <v>209</v>
      </c>
      <c r="BE45" s="293" t="s">
        <v>209</v>
      </c>
      <c r="BF45" s="293" t="s">
        <v>209</v>
      </c>
      <c r="BG45" s="293" t="s">
        <v>209</v>
      </c>
      <c r="BH45" s="293" t="s">
        <v>209</v>
      </c>
    </row>
    <row r="46" spans="1:60" s="1" customFormat="1" ht="15" x14ac:dyDescent="0.25">
      <c r="A46" s="180"/>
      <c r="B46" s="180"/>
      <c r="C46" s="307" t="s">
        <v>251</v>
      </c>
      <c r="D46" s="184" t="e">
        <f t="shared" si="0"/>
        <v>#N/A</v>
      </c>
      <c r="E46" s="276" t="s">
        <v>735</v>
      </c>
      <c r="F46" s="189" t="s">
        <v>208</v>
      </c>
      <c r="G46" s="190" t="s">
        <v>208</v>
      </c>
      <c r="H46" s="227" t="s">
        <v>1</v>
      </c>
      <c r="I46" s="227" t="s">
        <v>208</v>
      </c>
      <c r="J46" s="227"/>
      <c r="K46" s="292" t="s">
        <v>209</v>
      </c>
      <c r="L46" s="292" t="s">
        <v>209</v>
      </c>
      <c r="M46" s="292" t="s">
        <v>750</v>
      </c>
      <c r="N46" s="292" t="s">
        <v>234</v>
      </c>
      <c r="O46" s="292" t="s">
        <v>234</v>
      </c>
      <c r="P46" s="292" t="s">
        <v>209</v>
      </c>
      <c r="Q46" s="292" t="s">
        <v>234</v>
      </c>
      <c r="R46" s="292" t="s">
        <v>209</v>
      </c>
      <c r="S46" s="292" t="s">
        <v>234</v>
      </c>
      <c r="T46" s="292" t="s">
        <v>209</v>
      </c>
      <c r="U46" s="292" t="s">
        <v>776</v>
      </c>
      <c r="V46" s="292" t="s">
        <v>776</v>
      </c>
      <c r="W46" s="292" t="s">
        <v>234</v>
      </c>
      <c r="X46" s="292" t="s">
        <v>776</v>
      </c>
      <c r="Y46" s="292" t="s">
        <v>234</v>
      </c>
      <c r="Z46" s="292" t="s">
        <v>209</v>
      </c>
      <c r="AA46" s="292" t="s">
        <v>234</v>
      </c>
      <c r="AB46" s="292" t="s">
        <v>776</v>
      </c>
      <c r="AC46" s="292" t="s">
        <v>776</v>
      </c>
      <c r="AD46" s="292" t="s">
        <v>209</v>
      </c>
      <c r="AE46" s="292" t="s">
        <v>209</v>
      </c>
      <c r="AF46" s="292" t="s">
        <v>776</v>
      </c>
      <c r="AG46" s="292"/>
      <c r="AH46" s="292" t="s">
        <v>209</v>
      </c>
      <c r="AI46" s="301"/>
      <c r="AJ46" s="294"/>
      <c r="AK46" s="294"/>
      <c r="AL46" s="295"/>
      <c r="AM46" s="295"/>
      <c r="AN46" s="295"/>
      <c r="AO46" s="295"/>
      <c r="AP46" s="295"/>
      <c r="AQ46" s="295"/>
      <c r="AR46" s="295"/>
      <c r="AS46" s="295"/>
      <c r="AT46" s="295"/>
      <c r="AU46" s="295"/>
      <c r="AV46" s="295"/>
      <c r="AW46" s="295"/>
      <c r="AX46" s="295"/>
      <c r="AY46" s="294"/>
      <c r="AZ46" s="294"/>
      <c r="BA46" s="295"/>
      <c r="BB46" s="295"/>
      <c r="BC46" s="295"/>
      <c r="BD46" s="295"/>
      <c r="BE46" s="295"/>
      <c r="BF46" s="295"/>
      <c r="BG46" s="295"/>
      <c r="BH46" s="295"/>
    </row>
    <row r="47" spans="1:60" s="1" customFormat="1" ht="15" x14ac:dyDescent="0.25">
      <c r="A47" s="180"/>
      <c r="B47" s="180"/>
      <c r="C47" s="307" t="s">
        <v>251</v>
      </c>
      <c r="D47" s="184" t="e">
        <f t="shared" si="0"/>
        <v>#N/A</v>
      </c>
      <c r="E47" s="277" t="s">
        <v>736</v>
      </c>
      <c r="F47" s="189" t="s">
        <v>208</v>
      </c>
      <c r="G47" s="190" t="s">
        <v>208</v>
      </c>
      <c r="H47" s="227" t="s">
        <v>1</v>
      </c>
      <c r="I47" s="227" t="s">
        <v>208</v>
      </c>
      <c r="J47" s="227"/>
      <c r="K47" s="292" t="s">
        <v>209</v>
      </c>
      <c r="L47" s="292" t="s">
        <v>209</v>
      </c>
      <c r="M47" s="292" t="s">
        <v>750</v>
      </c>
      <c r="N47" s="292" t="s">
        <v>234</v>
      </c>
      <c r="O47" s="292" t="s">
        <v>234</v>
      </c>
      <c r="P47" s="292" t="s">
        <v>209</v>
      </c>
      <c r="Q47" s="292" t="s">
        <v>234</v>
      </c>
      <c r="R47" s="292" t="s">
        <v>209</v>
      </c>
      <c r="S47" s="292" t="s">
        <v>234</v>
      </c>
      <c r="T47" s="292" t="s">
        <v>209</v>
      </c>
      <c r="U47" s="292" t="s">
        <v>776</v>
      </c>
      <c r="V47" s="292" t="s">
        <v>776</v>
      </c>
      <c r="W47" s="292" t="s">
        <v>234</v>
      </c>
      <c r="X47" s="292" t="s">
        <v>776</v>
      </c>
      <c r="Y47" s="292" t="s">
        <v>234</v>
      </c>
      <c r="Z47" s="292" t="s">
        <v>209</v>
      </c>
      <c r="AA47" s="292" t="s">
        <v>234</v>
      </c>
      <c r="AB47" s="292" t="s">
        <v>776</v>
      </c>
      <c r="AC47" s="292" t="s">
        <v>776</v>
      </c>
      <c r="AD47" s="292" t="s">
        <v>209</v>
      </c>
      <c r="AE47" s="292" t="s">
        <v>209</v>
      </c>
      <c r="AF47" s="292" t="s">
        <v>776</v>
      </c>
      <c r="AG47" s="292"/>
      <c r="AH47" s="292" t="s">
        <v>209</v>
      </c>
      <c r="AI47" s="301"/>
      <c r="AJ47" s="294"/>
      <c r="AK47" s="294"/>
      <c r="AL47" s="295"/>
      <c r="AM47" s="295"/>
      <c r="AN47" s="295"/>
      <c r="AO47" s="295"/>
      <c r="AP47" s="295"/>
      <c r="AQ47" s="295"/>
      <c r="AR47" s="295"/>
      <c r="AS47" s="295"/>
      <c r="AT47" s="295"/>
      <c r="AU47" s="295"/>
      <c r="AV47" s="295"/>
      <c r="AW47" s="295"/>
      <c r="AX47" s="295"/>
      <c r="AY47" s="294"/>
      <c r="AZ47" s="294"/>
      <c r="BA47" s="295"/>
      <c r="BB47" s="295"/>
      <c r="BC47" s="295"/>
      <c r="BD47" s="295"/>
      <c r="BE47" s="295"/>
      <c r="BF47" s="295"/>
      <c r="BG47" s="295"/>
      <c r="BH47" s="295"/>
    </row>
    <row r="48" spans="1:60" s="1" customFormat="1" ht="15" x14ac:dyDescent="0.25">
      <c r="A48" s="180"/>
      <c r="B48" s="180"/>
      <c r="C48" s="307" t="s">
        <v>251</v>
      </c>
      <c r="D48" s="184" t="e">
        <f t="shared" si="0"/>
        <v>#N/A</v>
      </c>
      <c r="E48" s="276" t="s">
        <v>737</v>
      </c>
      <c r="F48" s="189" t="s">
        <v>208</v>
      </c>
      <c r="G48" s="190" t="s">
        <v>208</v>
      </c>
      <c r="H48" s="227" t="s">
        <v>11</v>
      </c>
      <c r="I48" s="227" t="s">
        <v>208</v>
      </c>
      <c r="J48" s="227"/>
      <c r="K48" s="227" t="s">
        <v>209</v>
      </c>
      <c r="L48" s="227" t="s">
        <v>209</v>
      </c>
      <c r="M48" s="227" t="s">
        <v>209</v>
      </c>
      <c r="N48" s="227" t="s">
        <v>209</v>
      </c>
      <c r="O48" s="227" t="s">
        <v>208</v>
      </c>
      <c r="P48" s="296" t="s">
        <v>776</v>
      </c>
      <c r="Q48" s="296" t="s">
        <v>776</v>
      </c>
      <c r="R48" s="296" t="s">
        <v>776</v>
      </c>
      <c r="S48" s="296" t="s">
        <v>776</v>
      </c>
      <c r="T48" s="296" t="s">
        <v>776</v>
      </c>
      <c r="U48" s="296" t="s">
        <v>776</v>
      </c>
      <c r="V48" s="296" t="s">
        <v>776</v>
      </c>
      <c r="W48" s="292" t="s">
        <v>776</v>
      </c>
      <c r="X48" s="292" t="s">
        <v>776</v>
      </c>
      <c r="Y48" s="292" t="s">
        <v>776</v>
      </c>
      <c r="Z48" s="292" t="s">
        <v>776</v>
      </c>
      <c r="AA48" s="292" t="s">
        <v>776</v>
      </c>
      <c r="AB48" s="292" t="s">
        <v>776</v>
      </c>
      <c r="AC48" s="292" t="s">
        <v>776</v>
      </c>
      <c r="AD48" s="292" t="s">
        <v>209</v>
      </c>
      <c r="AE48" s="292" t="s">
        <v>776</v>
      </c>
      <c r="AF48" s="292" t="s">
        <v>776</v>
      </c>
      <c r="AG48" s="292"/>
      <c r="AH48" s="292" t="s">
        <v>776</v>
      </c>
      <c r="AI48" s="293"/>
      <c r="AJ48" s="294"/>
      <c r="AK48" s="293" t="s">
        <v>209</v>
      </c>
      <c r="AL48" s="293" t="s">
        <v>209</v>
      </c>
      <c r="AM48" s="293" t="s">
        <v>209</v>
      </c>
      <c r="AN48" s="293"/>
      <c r="AO48" s="293" t="s">
        <v>209</v>
      </c>
      <c r="AP48" s="293" t="s">
        <v>209</v>
      </c>
      <c r="AQ48" s="293" t="s">
        <v>209</v>
      </c>
      <c r="AR48" s="293" t="s">
        <v>209</v>
      </c>
      <c r="AS48" s="293" t="s">
        <v>209</v>
      </c>
      <c r="AT48" s="293" t="s">
        <v>209</v>
      </c>
      <c r="AU48" s="293" t="s">
        <v>209</v>
      </c>
      <c r="AV48" s="293" t="s">
        <v>209</v>
      </c>
      <c r="AW48" s="293" t="s">
        <v>209</v>
      </c>
      <c r="AX48" s="293" t="s">
        <v>209</v>
      </c>
      <c r="AY48" s="294"/>
      <c r="AZ48" s="293" t="s">
        <v>209</v>
      </c>
      <c r="BA48" s="293" t="s">
        <v>209</v>
      </c>
      <c r="BB48" s="293" t="s">
        <v>209</v>
      </c>
      <c r="BC48" s="293"/>
      <c r="BD48" s="293" t="s">
        <v>209</v>
      </c>
      <c r="BE48" s="293" t="s">
        <v>209</v>
      </c>
      <c r="BF48" s="293" t="s">
        <v>209</v>
      </c>
      <c r="BG48" s="293" t="s">
        <v>209</v>
      </c>
      <c r="BH48" s="293" t="s">
        <v>209</v>
      </c>
    </row>
    <row r="49" spans="1:60" s="1" customFormat="1" ht="15" x14ac:dyDescent="0.25">
      <c r="A49" s="180"/>
      <c r="B49" s="180"/>
      <c r="C49" s="307" t="s">
        <v>251</v>
      </c>
      <c r="D49" s="184" t="e">
        <f t="shared" si="0"/>
        <v>#N/A</v>
      </c>
      <c r="E49" s="277" t="s">
        <v>738</v>
      </c>
      <c r="F49" s="189" t="s">
        <v>208</v>
      </c>
      <c r="G49" s="190" t="s">
        <v>208</v>
      </c>
      <c r="H49" s="227" t="s">
        <v>11</v>
      </c>
      <c r="I49" s="227" t="s">
        <v>208</v>
      </c>
      <c r="J49" s="227"/>
      <c r="K49" s="227" t="s">
        <v>209</v>
      </c>
      <c r="L49" s="227" t="s">
        <v>209</v>
      </c>
      <c r="M49" s="292" t="s">
        <v>776</v>
      </c>
      <c r="N49" s="227" t="s">
        <v>209</v>
      </c>
      <c r="O49" s="227" t="s">
        <v>208</v>
      </c>
      <c r="P49" s="296" t="s">
        <v>776</v>
      </c>
      <c r="Q49" s="296" t="s">
        <v>776</v>
      </c>
      <c r="R49" s="296" t="s">
        <v>776</v>
      </c>
      <c r="S49" s="296" t="s">
        <v>776</v>
      </c>
      <c r="T49" s="296" t="s">
        <v>776</v>
      </c>
      <c r="U49" s="296" t="s">
        <v>776</v>
      </c>
      <c r="V49" s="296" t="s">
        <v>776</v>
      </c>
      <c r="W49" s="227" t="s">
        <v>209</v>
      </c>
      <c r="X49" s="292" t="s">
        <v>776</v>
      </c>
      <c r="Y49" s="292" t="s">
        <v>776</v>
      </c>
      <c r="Z49" s="292" t="s">
        <v>776</v>
      </c>
      <c r="AA49" s="292" t="s">
        <v>776</v>
      </c>
      <c r="AB49" s="292" t="s">
        <v>776</v>
      </c>
      <c r="AC49" s="292" t="s">
        <v>776</v>
      </c>
      <c r="AD49" s="292" t="s">
        <v>209</v>
      </c>
      <c r="AE49" s="292" t="s">
        <v>776</v>
      </c>
      <c r="AF49" s="297" t="s">
        <v>209</v>
      </c>
      <c r="AG49" s="297"/>
      <c r="AH49" s="297" t="s">
        <v>209</v>
      </c>
      <c r="AI49" s="293"/>
      <c r="AJ49" s="294"/>
      <c r="AK49" s="293" t="s">
        <v>209</v>
      </c>
      <c r="AL49" s="293" t="s">
        <v>209</v>
      </c>
      <c r="AM49" s="293" t="s">
        <v>209</v>
      </c>
      <c r="AN49" s="293"/>
      <c r="AO49" s="293" t="s">
        <v>209</v>
      </c>
      <c r="AP49" s="293" t="s">
        <v>209</v>
      </c>
      <c r="AQ49" s="293" t="s">
        <v>209</v>
      </c>
      <c r="AR49" s="293" t="s">
        <v>209</v>
      </c>
      <c r="AS49" s="293" t="s">
        <v>209</v>
      </c>
      <c r="AT49" s="293" t="s">
        <v>209</v>
      </c>
      <c r="AU49" s="293" t="s">
        <v>209</v>
      </c>
      <c r="AV49" s="293" t="s">
        <v>209</v>
      </c>
      <c r="AW49" s="293" t="s">
        <v>209</v>
      </c>
      <c r="AX49" s="293" t="s">
        <v>209</v>
      </c>
      <c r="AY49" s="294"/>
      <c r="AZ49" s="293" t="s">
        <v>209</v>
      </c>
      <c r="BA49" s="293" t="s">
        <v>209</v>
      </c>
      <c r="BB49" s="293" t="s">
        <v>209</v>
      </c>
      <c r="BC49" s="293"/>
      <c r="BD49" s="293" t="s">
        <v>209</v>
      </c>
      <c r="BE49" s="293" t="s">
        <v>209</v>
      </c>
      <c r="BF49" s="293" t="s">
        <v>209</v>
      </c>
      <c r="BG49" s="293" t="s">
        <v>209</v>
      </c>
      <c r="BH49" s="293" t="s">
        <v>209</v>
      </c>
    </row>
    <row r="50" spans="1:60" s="1" customFormat="1" ht="15" x14ac:dyDescent="0.25">
      <c r="A50" s="180"/>
      <c r="B50" s="180"/>
      <c r="C50" s="307" t="s">
        <v>251</v>
      </c>
      <c r="D50" s="184" t="e">
        <f t="shared" si="0"/>
        <v>#N/A</v>
      </c>
      <c r="E50" s="276" t="s">
        <v>752</v>
      </c>
      <c r="F50" s="189" t="s">
        <v>208</v>
      </c>
      <c r="G50" s="190" t="s">
        <v>208</v>
      </c>
      <c r="H50" s="227" t="s">
        <v>11</v>
      </c>
      <c r="I50" s="227" t="s">
        <v>208</v>
      </c>
      <c r="J50" s="227"/>
      <c r="K50" s="227" t="s">
        <v>209</v>
      </c>
      <c r="L50" s="227" t="s">
        <v>209</v>
      </c>
      <c r="M50" s="292" t="s">
        <v>776</v>
      </c>
      <c r="N50" s="227" t="s">
        <v>209</v>
      </c>
      <c r="O50" s="292" t="s">
        <v>776</v>
      </c>
      <c r="P50" s="296" t="s">
        <v>776</v>
      </c>
      <c r="Q50" s="296" t="s">
        <v>776</v>
      </c>
      <c r="R50" s="296" t="s">
        <v>776</v>
      </c>
      <c r="S50" s="296" t="s">
        <v>776</v>
      </c>
      <c r="T50" s="296" t="s">
        <v>776</v>
      </c>
      <c r="U50" s="296" t="s">
        <v>776</v>
      </c>
      <c r="V50" s="296" t="s">
        <v>776</v>
      </c>
      <c r="W50" s="292" t="s">
        <v>776</v>
      </c>
      <c r="X50" s="292" t="s">
        <v>776</v>
      </c>
      <c r="Y50" s="292" t="s">
        <v>776</v>
      </c>
      <c r="Z50" s="292" t="s">
        <v>776</v>
      </c>
      <c r="AA50" s="292" t="s">
        <v>776</v>
      </c>
      <c r="AB50" s="292" t="s">
        <v>776</v>
      </c>
      <c r="AC50" s="292" t="s">
        <v>776</v>
      </c>
      <c r="AD50" s="292" t="s">
        <v>209</v>
      </c>
      <c r="AE50" s="292" t="s">
        <v>776</v>
      </c>
      <c r="AF50" s="292" t="s">
        <v>776</v>
      </c>
      <c r="AG50" s="292"/>
      <c r="AH50" s="292" t="s">
        <v>776</v>
      </c>
      <c r="AI50" s="293"/>
      <c r="AJ50" s="294"/>
      <c r="AK50" s="293" t="s">
        <v>209</v>
      </c>
      <c r="AL50" s="293" t="s">
        <v>209</v>
      </c>
      <c r="AM50" s="293" t="s">
        <v>209</v>
      </c>
      <c r="AN50" s="293"/>
      <c r="AO50" s="293" t="s">
        <v>209</v>
      </c>
      <c r="AP50" s="293" t="s">
        <v>209</v>
      </c>
      <c r="AQ50" s="293" t="s">
        <v>209</v>
      </c>
      <c r="AR50" s="293" t="s">
        <v>209</v>
      </c>
      <c r="AS50" s="293" t="s">
        <v>209</v>
      </c>
      <c r="AT50" s="293" t="s">
        <v>209</v>
      </c>
      <c r="AU50" s="293" t="s">
        <v>209</v>
      </c>
      <c r="AV50" s="293" t="s">
        <v>209</v>
      </c>
      <c r="AW50" s="293" t="s">
        <v>209</v>
      </c>
      <c r="AX50" s="293" t="s">
        <v>209</v>
      </c>
      <c r="AY50" s="294"/>
      <c r="AZ50" s="293" t="s">
        <v>209</v>
      </c>
      <c r="BA50" s="293" t="s">
        <v>209</v>
      </c>
      <c r="BB50" s="293" t="s">
        <v>209</v>
      </c>
      <c r="BC50" s="293"/>
      <c r="BD50" s="293" t="s">
        <v>209</v>
      </c>
      <c r="BE50" s="293" t="s">
        <v>209</v>
      </c>
      <c r="BF50" s="293" t="s">
        <v>209</v>
      </c>
      <c r="BG50" s="293" t="s">
        <v>209</v>
      </c>
      <c r="BH50" s="293" t="s">
        <v>209</v>
      </c>
    </row>
    <row r="51" spans="1:60" s="1" customFormat="1" ht="15" x14ac:dyDescent="0.25">
      <c r="A51" s="180"/>
      <c r="B51" s="180"/>
      <c r="C51" s="307" t="s">
        <v>251</v>
      </c>
      <c r="D51" s="184" t="e">
        <f t="shared" si="0"/>
        <v>#N/A</v>
      </c>
      <c r="E51" s="277" t="s">
        <v>739</v>
      </c>
      <c r="F51" s="189" t="s">
        <v>208</v>
      </c>
      <c r="G51" s="190" t="s">
        <v>208</v>
      </c>
      <c r="H51" s="227" t="s">
        <v>11</v>
      </c>
      <c r="I51" s="227" t="s">
        <v>208</v>
      </c>
      <c r="J51" s="227"/>
      <c r="K51" s="227" t="s">
        <v>209</v>
      </c>
      <c r="L51" s="227" t="s">
        <v>209</v>
      </c>
      <c r="M51" s="227" t="s">
        <v>209</v>
      </c>
      <c r="N51" s="292" t="s">
        <v>776</v>
      </c>
      <c r="O51" s="227" t="s">
        <v>208</v>
      </c>
      <c r="P51" s="296" t="s">
        <v>776</v>
      </c>
      <c r="Q51" s="227" t="s">
        <v>209</v>
      </c>
      <c r="R51" s="296" t="s">
        <v>776</v>
      </c>
      <c r="S51" s="296" t="s">
        <v>776</v>
      </c>
      <c r="T51" s="296" t="s">
        <v>776</v>
      </c>
      <c r="U51" s="296" t="s">
        <v>776</v>
      </c>
      <c r="V51" s="296" t="s">
        <v>776</v>
      </c>
      <c r="W51" s="292" t="s">
        <v>776</v>
      </c>
      <c r="X51" s="292" t="s">
        <v>776</v>
      </c>
      <c r="Y51" s="292" t="s">
        <v>776</v>
      </c>
      <c r="Z51" s="292" t="s">
        <v>776</v>
      </c>
      <c r="AA51" s="292" t="s">
        <v>776</v>
      </c>
      <c r="AB51" s="292" t="s">
        <v>776</v>
      </c>
      <c r="AC51" s="292" t="s">
        <v>776</v>
      </c>
      <c r="AD51" s="292" t="s">
        <v>209</v>
      </c>
      <c r="AE51" s="292" t="s">
        <v>776</v>
      </c>
      <c r="AF51" s="292" t="s">
        <v>776</v>
      </c>
      <c r="AG51" s="292"/>
      <c r="AH51" s="292" t="s">
        <v>776</v>
      </c>
      <c r="AI51" s="293"/>
      <c r="AJ51" s="294"/>
      <c r="AK51" s="293" t="s">
        <v>209</v>
      </c>
      <c r="AL51" s="293" t="s">
        <v>209</v>
      </c>
      <c r="AM51" s="293" t="s">
        <v>209</v>
      </c>
      <c r="AN51" s="293"/>
      <c r="AO51" s="293" t="s">
        <v>209</v>
      </c>
      <c r="AP51" s="293" t="s">
        <v>209</v>
      </c>
      <c r="AQ51" s="293" t="s">
        <v>209</v>
      </c>
      <c r="AR51" s="293" t="s">
        <v>209</v>
      </c>
      <c r="AS51" s="293" t="s">
        <v>209</v>
      </c>
      <c r="AT51" s="293" t="s">
        <v>209</v>
      </c>
      <c r="AU51" s="293" t="s">
        <v>209</v>
      </c>
      <c r="AV51" s="293" t="s">
        <v>209</v>
      </c>
      <c r="AW51" s="293" t="s">
        <v>209</v>
      </c>
      <c r="AX51" s="293" t="s">
        <v>209</v>
      </c>
      <c r="AY51" s="294"/>
      <c r="AZ51" s="293" t="s">
        <v>209</v>
      </c>
      <c r="BA51" s="293" t="s">
        <v>209</v>
      </c>
      <c r="BB51" s="293" t="s">
        <v>209</v>
      </c>
      <c r="BC51" s="293"/>
      <c r="BD51" s="293" t="s">
        <v>209</v>
      </c>
      <c r="BE51" s="293" t="s">
        <v>209</v>
      </c>
      <c r="BF51" s="293" t="s">
        <v>209</v>
      </c>
      <c r="BG51" s="293" t="s">
        <v>209</v>
      </c>
      <c r="BH51" s="293" t="s">
        <v>209</v>
      </c>
    </row>
    <row r="52" spans="1:60" s="1" customFormat="1" ht="15" x14ac:dyDescent="0.25">
      <c r="A52" s="180"/>
      <c r="B52" s="180"/>
      <c r="C52" s="307" t="s">
        <v>251</v>
      </c>
      <c r="D52" s="184" t="e">
        <f t="shared" si="0"/>
        <v>#N/A</v>
      </c>
      <c r="E52" s="276" t="s">
        <v>740</v>
      </c>
      <c r="F52" s="177" t="s">
        <v>208</v>
      </c>
      <c r="G52" s="177" t="s">
        <v>208</v>
      </c>
      <c r="H52" s="227" t="s">
        <v>1</v>
      </c>
      <c r="I52" s="227" t="s">
        <v>208</v>
      </c>
      <c r="J52" s="227"/>
      <c r="K52" s="292" t="s">
        <v>209</v>
      </c>
      <c r="L52" s="292" t="s">
        <v>209</v>
      </c>
      <c r="M52" s="292" t="s">
        <v>750</v>
      </c>
      <c r="N52" s="292" t="s">
        <v>234</v>
      </c>
      <c r="O52" s="292" t="s">
        <v>208</v>
      </c>
      <c r="P52" s="292" t="s">
        <v>209</v>
      </c>
      <c r="Q52" s="292" t="s">
        <v>234</v>
      </c>
      <c r="R52" s="292" t="s">
        <v>209</v>
      </c>
      <c r="S52" s="292" t="s">
        <v>209</v>
      </c>
      <c r="T52" s="292" t="s">
        <v>209</v>
      </c>
      <c r="U52" s="292" t="s">
        <v>776</v>
      </c>
      <c r="V52" s="292" t="s">
        <v>776</v>
      </c>
      <c r="W52" s="292" t="s">
        <v>234</v>
      </c>
      <c r="X52" s="292" t="s">
        <v>776</v>
      </c>
      <c r="Y52" s="292" t="s">
        <v>234</v>
      </c>
      <c r="Z52" s="292" t="s">
        <v>234</v>
      </c>
      <c r="AA52" s="292" t="s">
        <v>234</v>
      </c>
      <c r="AB52" s="292" t="s">
        <v>776</v>
      </c>
      <c r="AC52" s="292" t="s">
        <v>776</v>
      </c>
      <c r="AD52" s="292" t="s">
        <v>209</v>
      </c>
      <c r="AE52" s="292" t="s">
        <v>209</v>
      </c>
      <c r="AF52" s="292" t="s">
        <v>776</v>
      </c>
      <c r="AG52" s="292"/>
      <c r="AH52" s="292" t="s">
        <v>209</v>
      </c>
      <c r="AI52" s="293"/>
      <c r="AJ52" s="294"/>
      <c r="AK52" s="294"/>
      <c r="AL52" s="294"/>
      <c r="AM52" s="294"/>
      <c r="AN52" s="294"/>
      <c r="AO52" s="294"/>
      <c r="AP52" s="294"/>
      <c r="AQ52" s="294"/>
      <c r="AR52" s="294"/>
      <c r="AS52" s="294"/>
      <c r="AT52" s="294"/>
      <c r="AU52" s="294"/>
      <c r="AV52" s="294"/>
      <c r="AW52" s="294"/>
      <c r="AX52" s="294"/>
      <c r="AY52" s="294"/>
      <c r="AZ52" s="294"/>
      <c r="BA52" s="294"/>
      <c r="BB52" s="294"/>
      <c r="BC52" s="294"/>
      <c r="BD52" s="294"/>
      <c r="BE52" s="294"/>
      <c r="BF52" s="294"/>
      <c r="BG52" s="294"/>
      <c r="BH52" s="294"/>
    </row>
    <row r="53" spans="1:60" s="1" customFormat="1" ht="12" x14ac:dyDescent="0.2">
      <c r="A53" s="180"/>
      <c r="B53" s="180"/>
      <c r="C53" s="182"/>
      <c r="D53" s="184"/>
      <c r="E53" s="177"/>
      <c r="F53" s="177"/>
      <c r="G53" s="177"/>
      <c r="H53" s="12"/>
      <c r="I53" s="12"/>
      <c r="J53" s="12"/>
      <c r="K53" s="12"/>
      <c r="L53" s="12"/>
      <c r="M53" s="12"/>
      <c r="N53" s="12"/>
      <c r="O53" s="12"/>
      <c r="P53" s="186"/>
      <c r="Q53" s="161"/>
      <c r="R53" s="161"/>
      <c r="S53" s="161"/>
      <c r="T53" s="161"/>
    </row>
    <row r="54" spans="1:60" s="1" customFormat="1" ht="12" x14ac:dyDescent="0.2">
      <c r="A54" s="180"/>
      <c r="B54" s="180"/>
      <c r="C54" s="182"/>
      <c r="D54" s="184"/>
      <c r="E54" s="177"/>
      <c r="F54" s="177"/>
      <c r="G54" s="177"/>
      <c r="H54" s="12"/>
      <c r="I54" s="12"/>
      <c r="J54" s="12"/>
      <c r="K54" s="12"/>
      <c r="L54" s="12"/>
      <c r="M54" s="12"/>
      <c r="N54" s="12"/>
      <c r="O54" s="12"/>
      <c r="P54" s="186"/>
      <c r="Q54" s="161"/>
      <c r="R54" s="161"/>
      <c r="S54" s="161"/>
      <c r="T54" s="161"/>
    </row>
    <row r="55" spans="1:60" s="1" customFormat="1" ht="12" x14ac:dyDescent="0.2">
      <c r="A55" s="180"/>
      <c r="B55" s="180"/>
      <c r="C55" s="182"/>
      <c r="D55" s="184"/>
      <c r="E55" s="177"/>
      <c r="F55" s="177"/>
      <c r="G55" s="177"/>
      <c r="H55" s="12"/>
      <c r="I55" s="12"/>
      <c r="J55" s="12"/>
      <c r="K55" s="12"/>
      <c r="L55" s="12"/>
      <c r="M55" s="12"/>
      <c r="N55" s="12"/>
      <c r="O55" s="12"/>
      <c r="P55" s="186"/>
      <c r="Q55" s="161"/>
      <c r="R55" s="161"/>
      <c r="S55" s="161"/>
      <c r="T55" s="161"/>
    </row>
    <row r="56" spans="1:60" s="1" customFormat="1" ht="12" x14ac:dyDescent="0.2">
      <c r="A56" s="180"/>
      <c r="B56" s="180"/>
      <c r="C56" s="182"/>
      <c r="D56" s="184"/>
      <c r="E56" s="177"/>
      <c r="F56" s="177"/>
      <c r="G56" s="177"/>
      <c r="H56" s="12"/>
      <c r="I56" s="12"/>
      <c r="J56" s="12"/>
      <c r="K56" s="12"/>
      <c r="L56" s="12"/>
      <c r="M56" s="12"/>
      <c r="N56" s="12"/>
      <c r="O56" s="12"/>
      <c r="P56" s="186"/>
      <c r="Q56" s="161"/>
      <c r="R56" s="161"/>
      <c r="S56" s="161"/>
      <c r="T56" s="161"/>
    </row>
    <row r="57" spans="1:60" s="1" customFormat="1" ht="12" x14ac:dyDescent="0.2">
      <c r="A57" s="180"/>
      <c r="B57" s="180"/>
      <c r="C57" s="182"/>
      <c r="D57" s="184"/>
      <c r="E57" s="178"/>
      <c r="F57" s="178"/>
      <c r="G57" s="178"/>
      <c r="H57" s="12"/>
      <c r="I57" s="12"/>
      <c r="J57" s="12"/>
      <c r="K57" s="12"/>
      <c r="L57" s="12"/>
      <c r="M57" s="12"/>
      <c r="N57" s="12"/>
      <c r="O57" s="12"/>
      <c r="P57" s="186"/>
      <c r="Q57" s="161"/>
      <c r="R57" s="161"/>
      <c r="S57" s="161"/>
      <c r="T57" s="161"/>
    </row>
    <row r="58" spans="1:60" s="1" customFormat="1" ht="12" x14ac:dyDescent="0.2">
      <c r="A58" s="180"/>
      <c r="B58" s="180"/>
      <c r="C58" s="182"/>
      <c r="D58" s="184"/>
      <c r="E58" s="178"/>
      <c r="F58" s="178"/>
      <c r="G58" s="178"/>
      <c r="H58" s="12"/>
      <c r="I58" s="12"/>
      <c r="J58" s="12"/>
      <c r="K58" s="12"/>
      <c r="L58" s="12"/>
      <c r="M58" s="12"/>
      <c r="N58" s="12"/>
      <c r="O58" s="12"/>
      <c r="P58" s="186"/>
      <c r="Q58" s="161"/>
      <c r="R58" s="161"/>
      <c r="S58" s="161"/>
      <c r="T58" s="161"/>
    </row>
    <row r="59" spans="1:60" s="1" customFormat="1" ht="12" x14ac:dyDescent="0.2">
      <c r="A59" s="181"/>
      <c r="B59" s="180"/>
      <c r="C59" s="182"/>
      <c r="D59" s="184"/>
      <c r="E59" s="177"/>
      <c r="F59" s="177"/>
      <c r="G59" s="177"/>
      <c r="H59" s="12"/>
      <c r="I59" s="12"/>
      <c r="J59" s="12"/>
      <c r="K59" s="12"/>
      <c r="L59" s="12"/>
      <c r="M59" s="12"/>
      <c r="N59" s="12"/>
      <c r="O59" s="12"/>
      <c r="P59" s="186"/>
      <c r="Q59" s="161"/>
      <c r="R59" s="161"/>
      <c r="S59" s="161"/>
      <c r="T59" s="161"/>
    </row>
    <row r="60" spans="1:60" s="1" customFormat="1" ht="12" x14ac:dyDescent="0.2">
      <c r="A60" s="181"/>
      <c r="B60" s="180"/>
      <c r="C60" s="182"/>
      <c r="D60" s="184"/>
      <c r="E60" s="177"/>
      <c r="F60" s="177"/>
      <c r="G60" s="177"/>
      <c r="H60" s="12"/>
      <c r="I60" s="12"/>
      <c r="J60" s="12"/>
      <c r="K60" s="12"/>
      <c r="L60" s="12"/>
      <c r="M60" s="12"/>
      <c r="N60" s="12"/>
      <c r="O60" s="12"/>
      <c r="P60" s="186"/>
      <c r="Q60" s="161"/>
      <c r="R60" s="161"/>
      <c r="S60" s="161"/>
      <c r="T60" s="161"/>
    </row>
    <row r="61" spans="1:60" s="1" customFormat="1" ht="12" x14ac:dyDescent="0.2">
      <c r="A61" s="181"/>
      <c r="B61" s="180"/>
      <c r="C61" s="182"/>
      <c r="D61" s="184"/>
      <c r="E61" s="177"/>
      <c r="F61" s="177"/>
      <c r="G61" s="177"/>
      <c r="H61" s="12"/>
      <c r="I61" s="12"/>
      <c r="J61" s="12"/>
      <c r="K61" s="12"/>
      <c r="L61" s="12"/>
      <c r="M61" s="12"/>
      <c r="N61" s="12"/>
      <c r="O61" s="12"/>
      <c r="P61" s="186"/>
      <c r="Q61" s="161"/>
      <c r="R61" s="161"/>
      <c r="S61" s="161"/>
      <c r="T61" s="161"/>
    </row>
    <row r="62" spans="1:60" s="1" customFormat="1" ht="12" x14ac:dyDescent="0.2">
      <c r="A62" s="181"/>
      <c r="B62" s="180"/>
      <c r="C62" s="182"/>
      <c r="D62" s="184"/>
      <c r="E62" s="177"/>
      <c r="F62" s="177"/>
      <c r="G62" s="177"/>
      <c r="H62" s="12"/>
      <c r="I62" s="12"/>
      <c r="J62" s="12"/>
      <c r="K62" s="12"/>
      <c r="L62" s="12"/>
      <c r="M62" s="12"/>
      <c r="N62" s="12"/>
      <c r="O62" s="12"/>
      <c r="P62" s="186"/>
      <c r="Q62" s="161"/>
      <c r="R62" s="161"/>
      <c r="S62" s="161"/>
      <c r="T62" s="161"/>
    </row>
    <row r="63" spans="1:60" s="1" customFormat="1" ht="12" x14ac:dyDescent="0.2">
      <c r="A63" s="180"/>
      <c r="B63" s="180"/>
      <c r="C63" s="182"/>
      <c r="D63" s="184"/>
      <c r="E63" s="177"/>
      <c r="F63" s="177"/>
      <c r="G63" s="177"/>
      <c r="H63" s="12"/>
      <c r="I63" s="12"/>
      <c r="J63" s="12"/>
      <c r="K63" s="12"/>
      <c r="L63" s="12"/>
      <c r="M63" s="12"/>
      <c r="N63" s="12"/>
      <c r="O63" s="12"/>
      <c r="P63" s="186"/>
      <c r="Q63" s="161"/>
      <c r="R63" s="161"/>
      <c r="S63" s="161"/>
      <c r="T63" s="161"/>
    </row>
    <row r="64" spans="1:60" s="1" customFormat="1" ht="12" x14ac:dyDescent="0.2">
      <c r="A64" s="181"/>
      <c r="B64" s="180"/>
      <c r="C64" s="182"/>
      <c r="D64" s="184"/>
      <c r="E64" s="177"/>
      <c r="F64" s="177"/>
      <c r="G64" s="177"/>
      <c r="H64" s="12"/>
      <c r="I64" s="12"/>
      <c r="J64" s="12"/>
      <c r="K64" s="12"/>
      <c r="L64" s="12"/>
      <c r="M64" s="12"/>
      <c r="N64" s="12"/>
      <c r="O64" s="12"/>
      <c r="P64" s="186"/>
      <c r="Q64" s="161"/>
      <c r="R64" s="161"/>
      <c r="S64" s="161"/>
      <c r="T64" s="161"/>
    </row>
    <row r="65" spans="1:20" s="1" customFormat="1" ht="12" x14ac:dyDescent="0.2">
      <c r="A65" s="181"/>
      <c r="B65" s="180"/>
      <c r="C65" s="182"/>
      <c r="D65" s="184"/>
      <c r="E65" s="177"/>
      <c r="F65" s="177"/>
      <c r="G65" s="177"/>
      <c r="H65" s="12"/>
      <c r="I65" s="12"/>
      <c r="J65" s="12"/>
      <c r="K65" s="12"/>
      <c r="L65" s="12"/>
      <c r="M65" s="12"/>
      <c r="N65" s="12"/>
      <c r="O65" s="12"/>
      <c r="P65" s="186"/>
      <c r="Q65" s="161"/>
      <c r="R65" s="161"/>
      <c r="S65" s="161"/>
      <c r="T65" s="161"/>
    </row>
    <row r="66" spans="1:20" s="1" customFormat="1" ht="12" x14ac:dyDescent="0.2">
      <c r="A66" s="181"/>
      <c r="B66" s="180"/>
      <c r="C66" s="182"/>
      <c r="D66" s="184"/>
      <c r="E66" s="177"/>
      <c r="F66" s="177"/>
      <c r="G66" s="177"/>
      <c r="H66" s="12"/>
      <c r="I66" s="12"/>
      <c r="J66" s="12"/>
      <c r="K66" s="12"/>
      <c r="L66" s="12"/>
      <c r="M66" s="12"/>
      <c r="N66" s="12"/>
      <c r="O66" s="12"/>
      <c r="P66" s="186"/>
      <c r="Q66" s="161"/>
      <c r="R66" s="161"/>
      <c r="S66" s="161"/>
      <c r="T66" s="161"/>
    </row>
    <row r="67" spans="1:20" s="1" customFormat="1" ht="12" x14ac:dyDescent="0.2">
      <c r="A67" s="181"/>
      <c r="B67" s="180"/>
      <c r="C67" s="182"/>
      <c r="D67" s="184"/>
      <c r="E67" s="177"/>
      <c r="F67" s="177"/>
      <c r="G67" s="177"/>
      <c r="H67" s="12"/>
      <c r="I67" s="12"/>
      <c r="J67" s="12"/>
      <c r="K67" s="12"/>
      <c r="L67" s="12"/>
      <c r="M67" s="12"/>
      <c r="N67" s="12"/>
      <c r="O67" s="12"/>
      <c r="P67" s="186"/>
      <c r="Q67" s="161"/>
      <c r="R67" s="161"/>
      <c r="S67" s="161"/>
      <c r="T67" s="161"/>
    </row>
    <row r="68" spans="1:20" s="1" customFormat="1" ht="12" x14ac:dyDescent="0.2">
      <c r="A68" s="181"/>
      <c r="B68" s="180"/>
      <c r="C68" s="182"/>
      <c r="D68" s="184"/>
      <c r="E68" s="177"/>
      <c r="F68" s="177"/>
      <c r="G68" s="177"/>
      <c r="H68" s="12"/>
      <c r="I68" s="12"/>
      <c r="J68" s="12"/>
      <c r="K68" s="12"/>
      <c r="L68" s="12"/>
      <c r="M68" s="12"/>
      <c r="N68" s="12"/>
      <c r="O68" s="12"/>
      <c r="P68" s="186"/>
      <c r="Q68" s="161"/>
      <c r="R68" s="161"/>
      <c r="S68" s="161"/>
      <c r="T68" s="161"/>
    </row>
    <row r="69" spans="1:20" s="1" customFormat="1" ht="12" x14ac:dyDescent="0.2">
      <c r="A69" s="181"/>
      <c r="B69" s="180"/>
      <c r="C69" s="182"/>
      <c r="D69" s="184"/>
      <c r="E69" s="177"/>
      <c r="F69" s="177"/>
      <c r="G69" s="177"/>
      <c r="H69" s="12"/>
      <c r="I69" s="12"/>
      <c r="J69" s="12"/>
      <c r="K69" s="12"/>
      <c r="L69" s="12"/>
      <c r="M69" s="12"/>
      <c r="N69" s="12"/>
      <c r="O69" s="12"/>
      <c r="P69" s="186"/>
      <c r="Q69" s="161"/>
      <c r="R69" s="161"/>
      <c r="S69" s="161"/>
      <c r="T69" s="161"/>
    </row>
    <row r="70" spans="1:20" s="1" customFormat="1" ht="12" x14ac:dyDescent="0.2">
      <c r="A70" s="181"/>
      <c r="B70" s="180"/>
      <c r="C70" s="182"/>
      <c r="D70" s="184"/>
      <c r="E70" s="177"/>
      <c r="F70" s="177"/>
      <c r="G70" s="177"/>
      <c r="H70" s="12"/>
      <c r="I70" s="12"/>
      <c r="J70" s="12"/>
      <c r="K70" s="12"/>
      <c r="L70" s="12"/>
      <c r="M70" s="12"/>
      <c r="N70" s="12"/>
      <c r="O70" s="12"/>
      <c r="P70" s="186"/>
      <c r="Q70" s="161"/>
      <c r="R70" s="161"/>
      <c r="S70" s="161"/>
      <c r="T70" s="161"/>
    </row>
    <row r="71" spans="1:20" s="1" customFormat="1" ht="12" x14ac:dyDescent="0.2">
      <c r="A71" s="181"/>
      <c r="B71" s="180"/>
      <c r="C71" s="182"/>
      <c r="D71" s="184"/>
      <c r="E71" s="177"/>
      <c r="F71" s="177"/>
      <c r="G71" s="177"/>
      <c r="H71" s="12"/>
      <c r="I71" s="12"/>
      <c r="J71" s="12"/>
      <c r="K71" s="12"/>
      <c r="L71" s="12"/>
      <c r="M71" s="12"/>
      <c r="N71" s="12"/>
      <c r="O71" s="12"/>
      <c r="P71" s="186"/>
      <c r="Q71" s="161"/>
      <c r="R71" s="161"/>
      <c r="S71" s="161"/>
      <c r="T71" s="161"/>
    </row>
    <row r="72" spans="1:20" s="1" customFormat="1" ht="12" x14ac:dyDescent="0.2">
      <c r="A72" s="181"/>
      <c r="B72" s="180"/>
      <c r="C72" s="182"/>
      <c r="D72" s="184"/>
      <c r="E72" s="177"/>
      <c r="F72" s="177"/>
      <c r="G72" s="177"/>
      <c r="H72" s="12"/>
      <c r="I72" s="12"/>
      <c r="J72" s="12"/>
      <c r="K72" s="12"/>
      <c r="L72" s="12"/>
      <c r="M72" s="12"/>
      <c r="N72" s="12"/>
      <c r="O72" s="12"/>
      <c r="P72" s="186"/>
      <c r="Q72" s="161"/>
      <c r="R72" s="161"/>
      <c r="S72" s="161"/>
      <c r="T72" s="161"/>
    </row>
    <row r="73" spans="1:20" s="1" customFormat="1" ht="12" x14ac:dyDescent="0.2">
      <c r="A73" s="181"/>
      <c r="B73" s="180"/>
      <c r="C73" s="182"/>
      <c r="D73" s="184"/>
      <c r="E73" s="177"/>
      <c r="F73" s="177"/>
      <c r="G73" s="177"/>
      <c r="H73" s="12"/>
      <c r="I73" s="12"/>
      <c r="J73" s="12"/>
      <c r="K73" s="12"/>
      <c r="L73" s="12"/>
      <c r="M73" s="12"/>
      <c r="N73" s="12"/>
      <c r="O73" s="12"/>
      <c r="P73" s="186"/>
      <c r="Q73" s="161"/>
      <c r="R73" s="161"/>
      <c r="S73" s="161"/>
      <c r="T73" s="161"/>
    </row>
    <row r="74" spans="1:20" s="1" customFormat="1" ht="12" x14ac:dyDescent="0.2">
      <c r="A74" s="181"/>
      <c r="B74" s="180"/>
      <c r="C74" s="182"/>
      <c r="D74" s="184"/>
      <c r="E74" s="177"/>
      <c r="F74" s="177"/>
      <c r="G74" s="177"/>
      <c r="H74" s="12"/>
      <c r="I74" s="12"/>
      <c r="J74" s="12"/>
      <c r="K74" s="12"/>
      <c r="L74" s="12"/>
      <c r="M74" s="12"/>
      <c r="N74" s="12"/>
      <c r="O74" s="12"/>
      <c r="P74" s="186"/>
      <c r="Q74" s="161"/>
      <c r="R74" s="161"/>
      <c r="S74" s="161"/>
      <c r="T74" s="161"/>
    </row>
    <row r="75" spans="1:20" s="1" customFormat="1" ht="12" x14ac:dyDescent="0.2">
      <c r="A75" s="181"/>
      <c r="B75" s="180"/>
      <c r="C75" s="182"/>
      <c r="D75" s="184"/>
      <c r="E75" s="177"/>
      <c r="F75" s="177"/>
      <c r="G75" s="177"/>
      <c r="H75" s="12"/>
      <c r="I75" s="12"/>
      <c r="J75" s="12"/>
      <c r="K75" s="12"/>
      <c r="L75" s="12"/>
      <c r="M75" s="12"/>
      <c r="N75" s="12"/>
      <c r="O75" s="12"/>
      <c r="P75" s="186"/>
      <c r="Q75" s="161"/>
      <c r="R75" s="161"/>
      <c r="S75" s="161"/>
      <c r="T75" s="161"/>
    </row>
    <row r="76" spans="1:20" s="1" customFormat="1" ht="12" x14ac:dyDescent="0.2">
      <c r="A76" s="181"/>
      <c r="B76" s="180"/>
      <c r="C76" s="182"/>
      <c r="D76" s="184"/>
      <c r="E76" s="177"/>
      <c r="F76" s="177"/>
      <c r="G76" s="177"/>
      <c r="H76" s="12"/>
      <c r="I76" s="12"/>
      <c r="J76" s="12"/>
      <c r="K76" s="12"/>
      <c r="L76" s="12"/>
      <c r="M76" s="12"/>
      <c r="N76" s="12"/>
      <c r="O76" s="12"/>
      <c r="P76" s="186"/>
      <c r="Q76" s="161"/>
      <c r="R76" s="161"/>
      <c r="S76" s="161"/>
      <c r="T76" s="161"/>
    </row>
    <row r="77" spans="1:20" s="1" customFormat="1" ht="12" x14ac:dyDescent="0.2">
      <c r="A77" s="181"/>
      <c r="B77" s="180"/>
      <c r="C77" s="182"/>
      <c r="D77" s="184"/>
      <c r="E77" s="177"/>
      <c r="F77" s="177"/>
      <c r="G77" s="177"/>
      <c r="H77" s="12"/>
      <c r="I77" s="12"/>
      <c r="J77" s="12"/>
      <c r="K77" s="12"/>
      <c r="L77" s="12"/>
      <c r="M77" s="12"/>
      <c r="N77" s="12"/>
      <c r="O77" s="12"/>
      <c r="P77" s="186"/>
      <c r="Q77" s="161"/>
      <c r="R77" s="161"/>
      <c r="S77" s="161"/>
      <c r="T77" s="161"/>
    </row>
    <row r="78" spans="1:20" s="1" customFormat="1" ht="12" x14ac:dyDescent="0.2">
      <c r="A78" s="181"/>
      <c r="B78" s="180"/>
      <c r="C78" s="182"/>
      <c r="D78" s="184"/>
      <c r="E78" s="177"/>
      <c r="F78" s="177"/>
      <c r="G78" s="177"/>
      <c r="H78" s="12"/>
      <c r="I78" s="12"/>
      <c r="J78" s="12"/>
      <c r="K78" s="12"/>
      <c r="L78" s="12"/>
      <c r="M78" s="12"/>
      <c r="N78" s="12"/>
      <c r="O78" s="12"/>
      <c r="P78" s="186"/>
      <c r="Q78" s="161"/>
      <c r="R78" s="161"/>
      <c r="S78" s="161"/>
      <c r="T78" s="161"/>
    </row>
    <row r="79" spans="1:20" s="1" customFormat="1" ht="12" x14ac:dyDescent="0.2">
      <c r="A79" s="181"/>
      <c r="B79" s="180"/>
      <c r="C79" s="182"/>
      <c r="D79" s="184"/>
      <c r="E79" s="177"/>
      <c r="F79" s="177"/>
      <c r="G79" s="177"/>
      <c r="H79" s="12"/>
      <c r="I79" s="12"/>
      <c r="J79" s="12"/>
      <c r="K79" s="12"/>
      <c r="L79" s="12"/>
      <c r="M79" s="12"/>
      <c r="N79" s="12"/>
      <c r="O79" s="12"/>
      <c r="P79" s="186"/>
      <c r="Q79" s="161"/>
      <c r="R79" s="161"/>
      <c r="S79" s="161"/>
      <c r="T79" s="161"/>
    </row>
    <row r="80" spans="1:20" s="1" customFormat="1" ht="12" x14ac:dyDescent="0.2">
      <c r="A80" s="181"/>
      <c r="B80" s="180"/>
      <c r="C80" s="182"/>
      <c r="D80" s="184"/>
      <c r="E80" s="177"/>
      <c r="F80" s="177"/>
      <c r="G80" s="177"/>
      <c r="H80" s="12"/>
      <c r="I80" s="12"/>
      <c r="J80" s="12"/>
      <c r="K80" s="12"/>
      <c r="L80" s="12"/>
      <c r="M80" s="12"/>
      <c r="N80" s="12"/>
      <c r="O80" s="12"/>
      <c r="P80" s="186"/>
      <c r="Q80" s="161"/>
      <c r="R80" s="161"/>
      <c r="S80" s="161"/>
      <c r="T80" s="161"/>
    </row>
    <row r="81" spans="1:20" s="1" customFormat="1" ht="12" x14ac:dyDescent="0.2">
      <c r="A81" s="181"/>
      <c r="B81" s="180"/>
      <c r="C81" s="182"/>
      <c r="D81" s="184"/>
      <c r="E81" s="177"/>
      <c r="F81" s="177"/>
      <c r="G81" s="177"/>
      <c r="H81" s="12"/>
      <c r="I81" s="12"/>
      <c r="J81" s="12"/>
      <c r="K81" s="12"/>
      <c r="L81" s="12"/>
      <c r="M81" s="12"/>
      <c r="N81" s="12"/>
      <c r="O81" s="12"/>
      <c r="P81" s="186"/>
      <c r="Q81" s="161"/>
      <c r="R81" s="161"/>
      <c r="S81" s="161"/>
      <c r="T81" s="161"/>
    </row>
    <row r="82" spans="1:20" s="1" customFormat="1" ht="12" x14ac:dyDescent="0.2">
      <c r="A82" s="181"/>
      <c r="B82" s="180"/>
      <c r="C82" s="182"/>
      <c r="D82" s="184"/>
      <c r="E82" s="177"/>
      <c r="F82" s="177"/>
      <c r="G82" s="177"/>
      <c r="H82" s="12"/>
      <c r="I82" s="12"/>
      <c r="J82" s="12"/>
      <c r="K82" s="12"/>
      <c r="L82" s="12"/>
      <c r="M82" s="12"/>
      <c r="N82" s="12"/>
      <c r="O82" s="12"/>
      <c r="P82" s="186"/>
      <c r="Q82" s="161"/>
      <c r="R82" s="161"/>
      <c r="S82" s="161"/>
      <c r="T82" s="161"/>
    </row>
    <row r="83" spans="1:20" s="1" customFormat="1" ht="12" x14ac:dyDescent="0.2">
      <c r="A83" s="181"/>
      <c r="B83" s="180"/>
      <c r="C83" s="182"/>
      <c r="D83" s="184"/>
      <c r="E83" s="177"/>
      <c r="F83" s="177"/>
      <c r="G83" s="177"/>
      <c r="H83" s="12"/>
      <c r="I83" s="12"/>
      <c r="J83" s="12"/>
      <c r="K83" s="12"/>
      <c r="L83" s="12"/>
      <c r="M83" s="12"/>
      <c r="N83" s="12"/>
      <c r="O83" s="12"/>
      <c r="P83" s="186"/>
      <c r="Q83" s="161"/>
      <c r="R83" s="161"/>
      <c r="S83" s="161"/>
      <c r="T83" s="161"/>
    </row>
    <row r="84" spans="1:20" s="1" customFormat="1" ht="12" x14ac:dyDescent="0.2">
      <c r="A84" s="181"/>
      <c r="B84" s="180"/>
      <c r="C84" s="182"/>
      <c r="D84" s="184"/>
      <c r="E84" s="177"/>
      <c r="F84" s="177"/>
      <c r="G84" s="177"/>
      <c r="H84" s="12"/>
      <c r="I84" s="12"/>
      <c r="J84" s="12"/>
      <c r="K84" s="12"/>
      <c r="L84" s="12"/>
      <c r="M84" s="12"/>
      <c r="N84" s="12"/>
      <c r="O84" s="12"/>
      <c r="P84" s="186"/>
      <c r="Q84" s="161"/>
      <c r="R84" s="161"/>
      <c r="S84" s="161"/>
      <c r="T84" s="161"/>
    </row>
    <row r="85" spans="1:20" s="1" customFormat="1" ht="12" x14ac:dyDescent="0.2">
      <c r="A85" s="181"/>
      <c r="B85" s="180"/>
      <c r="C85" s="182"/>
      <c r="D85" s="184"/>
      <c r="E85" s="177"/>
      <c r="F85" s="177"/>
      <c r="G85" s="177"/>
      <c r="H85" s="12"/>
      <c r="I85" s="12"/>
      <c r="J85" s="12"/>
      <c r="K85" s="12"/>
      <c r="L85" s="12"/>
      <c r="M85" s="12"/>
      <c r="N85" s="12"/>
      <c r="O85" s="12"/>
      <c r="P85" s="186"/>
      <c r="Q85" s="161"/>
      <c r="R85" s="161"/>
      <c r="S85" s="161"/>
      <c r="T85" s="161"/>
    </row>
    <row r="86" spans="1:20" s="1" customFormat="1" ht="12" x14ac:dyDescent="0.2">
      <c r="A86" s="181"/>
      <c r="B86" s="180"/>
      <c r="C86" s="182"/>
      <c r="D86" s="184"/>
      <c r="E86" s="177"/>
      <c r="F86" s="177"/>
      <c r="G86" s="177"/>
      <c r="H86" s="12"/>
      <c r="I86" s="12"/>
      <c r="J86" s="12"/>
      <c r="K86" s="12"/>
      <c r="L86" s="12"/>
      <c r="M86" s="12"/>
      <c r="N86" s="12"/>
      <c r="O86" s="12"/>
      <c r="P86" s="186"/>
      <c r="Q86" s="161"/>
      <c r="R86" s="161"/>
      <c r="S86" s="161"/>
      <c r="T86" s="161"/>
    </row>
    <row r="87" spans="1:20" s="1" customFormat="1" ht="12" x14ac:dyDescent="0.2">
      <c r="A87" s="181"/>
      <c r="B87" s="180"/>
      <c r="C87" s="182"/>
      <c r="D87" s="184"/>
      <c r="E87" s="177"/>
      <c r="F87" s="177"/>
      <c r="G87" s="177"/>
      <c r="H87" s="12"/>
      <c r="I87" s="12"/>
      <c r="J87" s="12"/>
      <c r="K87" s="12"/>
      <c r="L87" s="12"/>
      <c r="M87" s="12"/>
      <c r="N87" s="12"/>
      <c r="O87" s="12"/>
      <c r="P87" s="186"/>
      <c r="Q87" s="161"/>
      <c r="R87" s="161"/>
      <c r="S87" s="161"/>
      <c r="T87" s="161"/>
    </row>
    <row r="88" spans="1:20" s="1" customFormat="1" ht="12" x14ac:dyDescent="0.2">
      <c r="A88" s="181"/>
      <c r="B88" s="180"/>
      <c r="C88" s="182"/>
      <c r="D88" s="184"/>
      <c r="E88" s="177"/>
      <c r="F88" s="177"/>
      <c r="G88" s="177"/>
      <c r="H88" s="12"/>
      <c r="I88" s="12"/>
      <c r="J88" s="12"/>
      <c r="K88" s="12"/>
      <c r="L88" s="12"/>
      <c r="M88" s="12"/>
      <c r="N88" s="12"/>
      <c r="O88" s="12"/>
      <c r="P88" s="186"/>
      <c r="Q88" s="161"/>
      <c r="R88" s="161"/>
      <c r="S88" s="161"/>
      <c r="T88" s="161"/>
    </row>
    <row r="89" spans="1:20" s="1" customFormat="1" ht="12" x14ac:dyDescent="0.2">
      <c r="A89" s="181"/>
      <c r="B89" s="180"/>
      <c r="C89" s="182"/>
      <c r="D89" s="184"/>
      <c r="E89" s="177"/>
      <c r="F89" s="177"/>
      <c r="G89" s="177"/>
      <c r="H89" s="12"/>
      <c r="I89" s="12"/>
      <c r="J89" s="12"/>
      <c r="K89" s="12"/>
      <c r="L89" s="12"/>
      <c r="M89" s="12"/>
      <c r="N89" s="12"/>
      <c r="O89" s="12"/>
      <c r="P89" s="186"/>
      <c r="Q89" s="161"/>
      <c r="R89" s="161"/>
      <c r="S89" s="161"/>
      <c r="T89" s="161"/>
    </row>
  </sheetData>
  <autoFilter ref="H5:N5"/>
  <dataConsolidate/>
  <mergeCells count="82">
    <mergeCell ref="CD3:CD4"/>
    <mergeCell ref="BS3:BS4"/>
    <mergeCell ref="BT3:BT4"/>
    <mergeCell ref="BU3:BU4"/>
    <mergeCell ref="BV3:BV4"/>
    <mergeCell ref="BW3:BW4"/>
    <mergeCell ref="BX3:BX4"/>
    <mergeCell ref="BY3:BY4"/>
    <mergeCell ref="BZ3:BZ4"/>
    <mergeCell ref="CA3:CA4"/>
    <mergeCell ref="CB3:CB4"/>
    <mergeCell ref="CC3:CC4"/>
    <mergeCell ref="BR3:BR4"/>
    <mergeCell ref="BG3:BG4"/>
    <mergeCell ref="BH3:BH4"/>
    <mergeCell ref="BI3:BI4"/>
    <mergeCell ref="BJ3:BJ4"/>
    <mergeCell ref="BK3:BK4"/>
    <mergeCell ref="BL3:BL4"/>
    <mergeCell ref="BM3:BM4"/>
    <mergeCell ref="BN3:BN4"/>
    <mergeCell ref="BO3:BO4"/>
    <mergeCell ref="BP3:BP4"/>
    <mergeCell ref="BQ3:BQ4"/>
    <mergeCell ref="BF3:BF4"/>
    <mergeCell ref="AU3:AU4"/>
    <mergeCell ref="AV3:AV4"/>
    <mergeCell ref="AW3:AW4"/>
    <mergeCell ref="AX3:AX4"/>
    <mergeCell ref="AY3:AY4"/>
    <mergeCell ref="AZ3:AZ4"/>
    <mergeCell ref="BA3:BA4"/>
    <mergeCell ref="BB3:BB4"/>
    <mergeCell ref="BC3:BC4"/>
    <mergeCell ref="BD3:BD4"/>
    <mergeCell ref="BE3:BE4"/>
    <mergeCell ref="AT3:AT4"/>
    <mergeCell ref="AI3:AI4"/>
    <mergeCell ref="AJ3:AJ4"/>
    <mergeCell ref="AK3:AK4"/>
    <mergeCell ref="AL3:AL4"/>
    <mergeCell ref="AM3:AM4"/>
    <mergeCell ref="AN3:AN4"/>
    <mergeCell ref="AO3:AO4"/>
    <mergeCell ref="AP3:AP4"/>
    <mergeCell ref="AQ3:AQ4"/>
    <mergeCell ref="AR3:AR4"/>
    <mergeCell ref="AS3:AS4"/>
    <mergeCell ref="AH3:AH4"/>
    <mergeCell ref="W3:W4"/>
    <mergeCell ref="X3:X4"/>
    <mergeCell ref="Y3:Y4"/>
    <mergeCell ref="Z3:Z4"/>
    <mergeCell ref="AA3:AA4"/>
    <mergeCell ref="AB3:AB4"/>
    <mergeCell ref="AC3:AC4"/>
    <mergeCell ref="AD3:AD4"/>
    <mergeCell ref="AE3:AE4"/>
    <mergeCell ref="AF3:AF4"/>
    <mergeCell ref="AG3:AG4"/>
    <mergeCell ref="V3:V4"/>
    <mergeCell ref="K3:K4"/>
    <mergeCell ref="L3:L4"/>
    <mergeCell ref="M3:M4"/>
    <mergeCell ref="N3:N4"/>
    <mergeCell ref="O3:O4"/>
    <mergeCell ref="P3:P4"/>
    <mergeCell ref="Q3:Q4"/>
    <mergeCell ref="R3:R4"/>
    <mergeCell ref="S3:S4"/>
    <mergeCell ref="T3:T4"/>
    <mergeCell ref="U3:U4"/>
    <mergeCell ref="H2:K2"/>
    <mergeCell ref="L2:N2"/>
    <mergeCell ref="A3:B4"/>
    <mergeCell ref="C3:D3"/>
    <mergeCell ref="E3:E4"/>
    <mergeCell ref="F3:F4"/>
    <mergeCell ref="G3:G4"/>
    <mergeCell ref="H3:H4"/>
    <mergeCell ref="I3:I4"/>
    <mergeCell ref="J3:J4"/>
  </mergeCells>
  <conditionalFormatting sqref="E6:E52">
    <cfRule type="duplicateValues" dxfId="0"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K3:K4" location="CL_MEASURE!A1" display="MEASURE"/>
    <hyperlink ref="L3:L4" location="CL_UNIT_MEASURE!A1" display="UNIT_MEASURE"/>
    <hyperlink ref="M3:M4" location="CL_LABOUR_FORCE_STATUS!A1" display="LABOUR_FORCE_STATUS"/>
    <hyperlink ref="N3:N4" location="CL_ACTIVITY!A1" display="ACTIVITY"/>
    <hyperlink ref="O3:O4" location="CL_SEX!A1" display="SEX"/>
    <hyperlink ref="P3:P4" location="CL_SEASONAL_ADJUST!A1" display="SEASONAL_ADJUST"/>
    <hyperlink ref="Q3:Q4" location="CL_WORKER_STATUS!A1" display="WORKER_STATUS"/>
    <hyperlink ref="S3:S4" location="CL_AGE!A1" display="AGE"/>
    <hyperlink ref="T3:T4" location="CL_AGGREGATION_OPERATION!A1" display="AGGREGATION_OPERATION"/>
    <hyperlink ref="U3:U4" location="CL_CURRENCY!A1" display="CURRENCY"/>
    <hyperlink ref="V3:V4" location="CL_HOURS_TYPE!A1" display="HOURS_TYPE"/>
    <hyperlink ref="W3:W4" location="CL_OCCUPATION!A1" display="OCCUPATION"/>
    <hyperlink ref="X3:X4" location="CL_VALUE_TYPE!A1" display="VALUE_TYPE"/>
    <hyperlink ref="Y3:Y4" location="CL_EDUCATION_LEVEL!A1" display="EDUCATION_LEV"/>
    <hyperlink ref="Z3:Z4" location="CL_DEG_URB!A1" display="DEG_URB"/>
    <hyperlink ref="AA3:AA4" location="CL_SIZECLASS!A1" display="SIZECLASS"/>
    <hyperlink ref="AB3:AB4" location="CL_AREA!A1" display="MIGRANT_ORIGIN"/>
    <hyperlink ref="AC3:AC4" location="CL_AREA!A1" display="NATIONALITY"/>
    <hyperlink ref="AD3:AD4" location="CL_SOURCE_TYPE!A1" display="SOURCE_TYPE"/>
    <hyperlink ref="AE3:AE4" location="CL_PRODUNIT!A1" display="PROD_UNIT"/>
    <hyperlink ref="AF3:AF4" location="CL_MIGRANT_STATUS!A1" display="MIGRANT_STATUS"/>
    <hyperlink ref="AK3:AK4" location="CL_BREAK!A1" display="BREAK"/>
    <hyperlink ref="AO3:AO4" location="CL_COV_INST!A1" display="COV_INST"/>
    <hyperlink ref="AS3:AS4" location="CL_COV_ECO!A1" display="COV_ECO"/>
    <hyperlink ref="AT3:AT4" location="CL_INDICATOR_NOTES!A1" display="INDICATOR_NOTES1"/>
    <hyperlink ref="AU3:AU4" location="CL_INDICATOR_NOTES!A1" display="INDICATOR_NOTES2"/>
    <hyperlink ref="AV3:AV4" location="CL_INDICATOR_NOTES!A1" display="INDICATOR_NOTES3"/>
    <hyperlink ref="AW3:AW4" location="CL_INDICATOR_NOTES!A1" display="INDICATOR_NOTES4"/>
    <hyperlink ref="AX3:AX4" location="CL_INDICATOR_NOTES!A1" display="INDICATOR_NOTES5"/>
    <hyperlink ref="AH3" location="CL_COMPOSITE_BREAKDOWN!A1" display="COMPOSITE_BREAKDOWN"/>
    <hyperlink ref="I3:I4" location="CL_AREA!A1" display="REF_AREA"/>
    <hyperlink ref="H3:H4" location="CL_FREQ!A1" display="FREQ"/>
    <hyperlink ref="AI3:AI4" location="CL_COMPOSITE_BREAKDOWN_PFX!A1" display="CL_COMPOSITE_BREAKDOWN_PFX"/>
    <hyperlink ref="E6" r:id="rId1" display="MAIN@1"/>
  </hyperlinks>
  <pageMargins left="0.70866141732283472" right="0.70866141732283472" top="0.74803149606299213" bottom="0.74803149606299213" header="0.31496062992125984" footer="0.31496062992125984"/>
  <pageSetup paperSize="9" scale="62" fitToHeight="0" orientation="landscape"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G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I23" sqref="I23"/>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33" customFormat="1" x14ac:dyDescent="0.2">
      <c r="A1" s="133" t="s">
        <v>433</v>
      </c>
      <c r="B1" s="133" t="s">
        <v>432</v>
      </c>
      <c r="C1" s="133" t="s">
        <v>380</v>
      </c>
    </row>
    <row r="2" spans="1:7" s="133" customFormat="1" x14ac:dyDescent="0.2">
      <c r="C2" s="133" t="s">
        <v>18</v>
      </c>
      <c r="D2" s="133" t="s">
        <v>233</v>
      </c>
      <c r="E2" s="133" t="s">
        <v>29</v>
      </c>
      <c r="F2" s="133" t="s">
        <v>16</v>
      </c>
      <c r="G2" s="133" t="s">
        <v>256</v>
      </c>
    </row>
    <row r="3" spans="1:7" x14ac:dyDescent="0.2">
      <c r="A3"/>
      <c r="B3"/>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D12" sqref="D12"/>
    </sheetView>
  </sheetViews>
  <sheetFormatPr defaultRowHeight="15" x14ac:dyDescent="0.2"/>
  <cols>
    <col min="1" max="1" width="18.6640625" style="77" bestFit="1" customWidth="1"/>
    <col min="2" max="2" width="22.33203125" style="77" customWidth="1"/>
    <col min="3" max="3" width="59.1640625" style="75" customWidth="1"/>
    <col min="4" max="4" width="12.83203125" style="75" bestFit="1" customWidth="1"/>
    <col min="5" max="5" width="13.5" style="77" bestFit="1" customWidth="1"/>
    <col min="6" max="6" width="29.6640625" style="77" customWidth="1"/>
    <col min="7" max="7" width="13" style="77" bestFit="1" customWidth="1"/>
    <col min="8" max="8" width="11.1640625" style="77" bestFit="1" customWidth="1"/>
    <col min="9" max="9" width="8.1640625" style="73" bestFit="1" customWidth="1"/>
    <col min="10" max="10" width="8.5" style="77" bestFit="1" customWidth="1"/>
    <col min="11" max="16384" width="9.33203125" style="77"/>
  </cols>
  <sheetData>
    <row r="1" spans="1:11" s="95" customFormat="1" x14ac:dyDescent="0.2">
      <c r="A1" s="94" t="s">
        <v>46</v>
      </c>
      <c r="B1" s="208" t="s">
        <v>15</v>
      </c>
      <c r="C1" s="96" t="s">
        <v>47</v>
      </c>
      <c r="D1" s="209" t="s">
        <v>116</v>
      </c>
      <c r="E1" s="94" t="s">
        <v>215</v>
      </c>
      <c r="F1" s="208" t="s">
        <v>1264</v>
      </c>
      <c r="G1" s="94" t="s">
        <v>9</v>
      </c>
      <c r="H1" s="208"/>
      <c r="I1" s="94" t="s">
        <v>282</v>
      </c>
      <c r="J1" s="208" t="b">
        <v>0</v>
      </c>
    </row>
    <row r="2" spans="1:11" s="115" customFormat="1" x14ac:dyDescent="0.25">
      <c r="A2" s="114" t="s">
        <v>456</v>
      </c>
      <c r="B2" s="155" t="s">
        <v>455</v>
      </c>
      <c r="C2" s="155" t="s">
        <v>204</v>
      </c>
      <c r="D2" s="155" t="s">
        <v>453</v>
      </c>
      <c r="F2" s="388" t="s">
        <v>381</v>
      </c>
      <c r="G2" s="389"/>
      <c r="H2" s="389"/>
      <c r="I2" s="389"/>
      <c r="J2" s="389"/>
      <c r="K2" s="390"/>
    </row>
    <row r="3" spans="1:11" s="115" customFormat="1" x14ac:dyDescent="0.25">
      <c r="A3" s="155" t="s">
        <v>495</v>
      </c>
      <c r="B3" s="155" t="s">
        <v>452</v>
      </c>
      <c r="C3" s="155" t="s">
        <v>382</v>
      </c>
      <c r="D3" s="155" t="s">
        <v>454</v>
      </c>
      <c r="F3" s="118" t="s">
        <v>382</v>
      </c>
      <c r="G3" s="119"/>
      <c r="H3" s="119"/>
      <c r="I3" s="119"/>
      <c r="J3" s="119"/>
      <c r="K3" s="119"/>
    </row>
    <row r="4" spans="1:11" s="65" customFormat="1" x14ac:dyDescent="0.2">
      <c r="A4" s="112" t="s">
        <v>6</v>
      </c>
      <c r="B4" s="112" t="s">
        <v>215</v>
      </c>
      <c r="C4" s="112" t="s">
        <v>9</v>
      </c>
      <c r="D4" s="112" t="s">
        <v>48</v>
      </c>
      <c r="E4" s="112" t="s">
        <v>383</v>
      </c>
      <c r="F4" s="120" t="s">
        <v>380</v>
      </c>
      <c r="G4" s="121"/>
      <c r="H4" s="121"/>
      <c r="I4" s="121"/>
      <c r="J4" s="121"/>
      <c r="K4" s="121"/>
    </row>
    <row r="5" spans="1:11" ht="30" x14ac:dyDescent="0.2">
      <c r="A5" s="73" t="s">
        <v>11</v>
      </c>
      <c r="B5" s="73" t="s">
        <v>23</v>
      </c>
      <c r="C5" s="74" t="s">
        <v>119</v>
      </c>
      <c r="E5" s="76"/>
      <c r="F5" s="76"/>
      <c r="G5" s="121"/>
      <c r="H5" s="121"/>
      <c r="I5" s="121"/>
      <c r="J5" s="121"/>
      <c r="K5" s="121"/>
    </row>
    <row r="6" spans="1:11" ht="30" x14ac:dyDescent="0.2">
      <c r="A6" s="73" t="s">
        <v>2</v>
      </c>
      <c r="B6" s="73" t="s">
        <v>70</v>
      </c>
      <c r="C6" s="74" t="s">
        <v>120</v>
      </c>
      <c r="E6" s="76"/>
      <c r="F6" s="76"/>
      <c r="G6" s="121"/>
      <c r="H6" s="121"/>
      <c r="I6" s="121"/>
      <c r="J6" s="121"/>
      <c r="K6" s="121"/>
    </row>
    <row r="7" spans="1:11" ht="30" x14ac:dyDescent="0.2">
      <c r="A7" s="73" t="s">
        <v>7</v>
      </c>
      <c r="B7" s="73" t="s">
        <v>24</v>
      </c>
      <c r="C7" s="74" t="s">
        <v>121</v>
      </c>
      <c r="E7" s="76"/>
      <c r="F7" s="76"/>
      <c r="G7" s="121"/>
      <c r="H7" s="121"/>
      <c r="I7" s="121"/>
      <c r="J7" s="121"/>
      <c r="K7" s="121"/>
    </row>
    <row r="8" spans="1:11" ht="30" x14ac:dyDescent="0.2">
      <c r="A8" s="73" t="s">
        <v>1</v>
      </c>
      <c r="B8" s="73" t="s">
        <v>66</v>
      </c>
      <c r="C8" s="74" t="s">
        <v>122</v>
      </c>
      <c r="E8" s="76"/>
      <c r="F8" s="76"/>
      <c r="G8" s="121"/>
      <c r="H8" s="121"/>
      <c r="I8" s="121"/>
      <c r="J8" s="121"/>
      <c r="K8" s="121"/>
    </row>
    <row r="9" spans="1:11" ht="30" x14ac:dyDescent="0.2">
      <c r="A9" s="73" t="s">
        <v>14</v>
      </c>
      <c r="B9" s="73" t="s">
        <v>72</v>
      </c>
      <c r="C9" s="74" t="s">
        <v>123</v>
      </c>
      <c r="E9" s="76"/>
      <c r="F9" s="76"/>
      <c r="G9" s="121"/>
      <c r="H9" s="121"/>
      <c r="I9" s="121"/>
      <c r="J9" s="121"/>
      <c r="K9" s="121"/>
    </row>
    <row r="10" spans="1:11" ht="30" x14ac:dyDescent="0.2">
      <c r="A10" s="73" t="s">
        <v>3</v>
      </c>
      <c r="B10" s="73" t="s">
        <v>117</v>
      </c>
      <c r="C10" s="74" t="s">
        <v>124</v>
      </c>
      <c r="E10" s="76"/>
      <c r="F10" s="76"/>
      <c r="G10" s="121"/>
      <c r="H10" s="121"/>
      <c r="I10" s="121"/>
      <c r="J10" s="121"/>
      <c r="K10" s="121"/>
    </row>
    <row r="11" spans="1:11" ht="30" x14ac:dyDescent="0.2">
      <c r="A11" s="73" t="s">
        <v>0</v>
      </c>
      <c r="B11" s="73" t="s">
        <v>25</v>
      </c>
      <c r="C11" s="74" t="s">
        <v>125</v>
      </c>
      <c r="E11" s="76"/>
      <c r="F11" s="76"/>
      <c r="G11" s="121"/>
      <c r="H11" s="121"/>
      <c r="I11" s="121"/>
      <c r="J11" s="121"/>
      <c r="K11" s="121"/>
    </row>
    <row r="12" spans="1:11" ht="120" x14ac:dyDescent="0.2">
      <c r="A12" s="73" t="s">
        <v>8</v>
      </c>
      <c r="B12" s="73" t="s">
        <v>118</v>
      </c>
      <c r="C12" s="74" t="s">
        <v>126</v>
      </c>
      <c r="E12" s="76"/>
      <c r="F12" s="76"/>
      <c r="G12" s="121"/>
      <c r="H12" s="121"/>
      <c r="I12" s="121"/>
      <c r="J12" s="121"/>
      <c r="K12" s="121"/>
    </row>
    <row r="13" spans="1:11" ht="120" x14ac:dyDescent="0.2">
      <c r="A13" s="73" t="s">
        <v>12</v>
      </c>
      <c r="B13" s="73" t="s">
        <v>74</v>
      </c>
      <c r="C13" s="74" t="s">
        <v>127</v>
      </c>
      <c r="E13" s="76"/>
      <c r="F13" s="76"/>
      <c r="G13" s="121"/>
      <c r="H13" s="121"/>
      <c r="I13" s="121"/>
      <c r="J13" s="121"/>
      <c r="K13" s="121"/>
    </row>
    <row r="14" spans="1:11" x14ac:dyDescent="0.2">
      <c r="E14" s="75"/>
      <c r="F14" s="75"/>
      <c r="G14" s="75"/>
      <c r="H14" s="75"/>
      <c r="I14" s="78"/>
    </row>
    <row r="15" spans="1:11" x14ac:dyDescent="0.2">
      <c r="E15" s="75"/>
      <c r="F15" s="75"/>
      <c r="G15" s="75"/>
      <c r="H15" s="75"/>
      <c r="I15" s="78"/>
    </row>
    <row r="16" spans="1:11" x14ac:dyDescent="0.2">
      <c r="E16" s="75"/>
      <c r="F16" s="75"/>
      <c r="G16" s="75"/>
      <c r="H16" s="75"/>
      <c r="I16" s="78"/>
    </row>
    <row r="17" spans="5:9" x14ac:dyDescent="0.2">
      <c r="E17" s="75"/>
      <c r="F17" s="75"/>
      <c r="G17" s="75"/>
      <c r="H17" s="75"/>
      <c r="I17" s="78"/>
    </row>
    <row r="18" spans="5:9" x14ac:dyDescent="0.2">
      <c r="E18" s="75"/>
      <c r="F18" s="75"/>
      <c r="G18" s="75"/>
      <c r="H18" s="75"/>
      <c r="I18" s="78"/>
    </row>
    <row r="19" spans="5:9" x14ac:dyDescent="0.2">
      <c r="E19" s="75"/>
      <c r="F19" s="75"/>
      <c r="G19" s="75"/>
      <c r="H19" s="75"/>
      <c r="I19" s="78"/>
    </row>
    <row r="20" spans="5:9" x14ac:dyDescent="0.2">
      <c r="I20" s="78"/>
    </row>
    <row r="21" spans="5:9" x14ac:dyDescent="0.2">
      <c r="I21" s="78"/>
    </row>
    <row r="22" spans="5:9" x14ac:dyDescent="0.2">
      <c r="I22" s="78"/>
    </row>
    <row r="23" spans="5:9" x14ac:dyDescent="0.2">
      <c r="I23" s="78"/>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67.5" x14ac:dyDescent="0.2">
      <c r="A1" s="55" t="s">
        <v>1286</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N3630"/>
  <sheetViews>
    <sheetView tabSelected="1" zoomScaleNormal="100" workbookViewId="0">
      <pane xSplit="2" ySplit="4" topLeftCell="C17" activePane="bottomRight" state="frozen"/>
      <selection activeCell="Q35" sqref="P35:Q35"/>
      <selection pane="topRight" activeCell="Q35" sqref="P35:Q35"/>
      <selection pane="bottomLeft" activeCell="Q35" sqref="P35:Q35"/>
      <selection pane="bottomRight" activeCell="D1" sqref="D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24" customWidth="1"/>
    <col min="7" max="7" width="20.83203125" style="124" customWidth="1"/>
    <col min="8" max="8" width="18.33203125" style="124" customWidth="1"/>
    <col min="9" max="9" width="18" style="124" customWidth="1"/>
    <col min="10" max="10" width="9.33203125" style="4"/>
    <col min="11" max="11" width="9.33203125" style="9"/>
    <col min="13" max="13" width="9.33203125" style="9"/>
    <col min="15" max="16384" width="9.33203125" style="9"/>
  </cols>
  <sheetData>
    <row r="1" spans="1:12" s="98" customFormat="1" ht="15" x14ac:dyDescent="0.25">
      <c r="A1" s="97" t="s">
        <v>46</v>
      </c>
      <c r="B1" s="210" t="s">
        <v>15</v>
      </c>
      <c r="C1" s="99" t="s">
        <v>47</v>
      </c>
      <c r="D1" s="266">
        <v>1</v>
      </c>
      <c r="E1" s="97" t="s">
        <v>215</v>
      </c>
      <c r="F1" s="210" t="s">
        <v>1263</v>
      </c>
      <c r="G1" s="97" t="s">
        <v>9</v>
      </c>
      <c r="I1" s="94" t="s">
        <v>282</v>
      </c>
      <c r="J1" s="208" t="b">
        <v>0</v>
      </c>
    </row>
    <row r="2" spans="1:12" s="115" customFormat="1" ht="15" x14ac:dyDescent="0.25">
      <c r="A2" s="114" t="s">
        <v>456</v>
      </c>
      <c r="B2" s="155" t="s">
        <v>455</v>
      </c>
      <c r="C2" s="155" t="s">
        <v>204</v>
      </c>
      <c r="D2" s="155" t="s">
        <v>453</v>
      </c>
      <c r="F2" s="388" t="s">
        <v>381</v>
      </c>
      <c r="G2" s="389"/>
      <c r="H2" s="389"/>
      <c r="I2" s="390"/>
      <c r="J2" s="116"/>
      <c r="K2" s="117"/>
    </row>
    <row r="3" spans="1:12" s="115" customFormat="1" ht="15" x14ac:dyDescent="0.25">
      <c r="A3" s="155" t="s">
        <v>495</v>
      </c>
      <c r="B3" s="155" t="s">
        <v>452</v>
      </c>
      <c r="C3" s="155" t="s">
        <v>382</v>
      </c>
      <c r="D3" s="155" t="s">
        <v>454</v>
      </c>
      <c r="F3" s="118" t="s">
        <v>382</v>
      </c>
      <c r="G3" s="119"/>
      <c r="H3" s="119"/>
      <c r="I3" s="119"/>
      <c r="J3" s="116"/>
      <c r="K3" s="117"/>
    </row>
    <row r="4" spans="1:12" s="113" customFormat="1" ht="17.25" customHeight="1" x14ac:dyDescent="0.2">
      <c r="A4" s="110" t="s">
        <v>6</v>
      </c>
      <c r="B4" s="110" t="s">
        <v>215</v>
      </c>
      <c r="C4" s="111" t="s">
        <v>9</v>
      </c>
      <c r="D4" s="112" t="s">
        <v>48</v>
      </c>
      <c r="E4" s="112" t="s">
        <v>383</v>
      </c>
      <c r="F4" s="120" t="s">
        <v>380</v>
      </c>
      <c r="G4" s="121"/>
      <c r="H4" s="121"/>
      <c r="I4" s="121"/>
      <c r="L4" s="66"/>
    </row>
    <row r="5" spans="1:12" customFormat="1" ht="15" x14ac:dyDescent="0.25">
      <c r="A5" s="308" t="s">
        <v>291</v>
      </c>
      <c r="B5" s="89" t="s">
        <v>292</v>
      </c>
      <c r="C5" s="9"/>
      <c r="D5" s="9"/>
      <c r="F5" s="123"/>
      <c r="G5" s="122"/>
      <c r="H5" s="122"/>
      <c r="I5" s="122"/>
    </row>
    <row r="6" spans="1:12" customFormat="1" ht="15" x14ac:dyDescent="0.25">
      <c r="A6" s="308" t="s">
        <v>293</v>
      </c>
      <c r="B6" s="89" t="s">
        <v>294</v>
      </c>
      <c r="C6" s="9"/>
      <c r="D6" s="9"/>
      <c r="F6" s="123"/>
      <c r="G6" s="122"/>
      <c r="H6" s="122"/>
      <c r="I6" s="122"/>
    </row>
    <row r="7" spans="1:12" customFormat="1" ht="15" x14ac:dyDescent="0.25">
      <c r="A7" s="308" t="s">
        <v>295</v>
      </c>
      <c r="B7" s="89" t="s">
        <v>296</v>
      </c>
      <c r="C7" s="9"/>
      <c r="D7" s="9"/>
      <c r="F7" s="123"/>
      <c r="G7" s="122"/>
      <c r="H7" s="122"/>
      <c r="I7" s="122"/>
    </row>
    <row r="8" spans="1:12" customFormat="1" ht="15" x14ac:dyDescent="0.25">
      <c r="A8" s="308" t="s">
        <v>785</v>
      </c>
      <c r="B8" s="89" t="s">
        <v>786</v>
      </c>
      <c r="C8" s="9"/>
      <c r="D8" s="9"/>
      <c r="F8" s="123"/>
      <c r="G8" s="122"/>
      <c r="H8" s="122"/>
      <c r="I8" s="122"/>
    </row>
    <row r="9" spans="1:12" customFormat="1" ht="15" x14ac:dyDescent="0.25">
      <c r="A9" s="308" t="s">
        <v>787</v>
      </c>
      <c r="B9" s="89" t="s">
        <v>788</v>
      </c>
      <c r="F9" s="123"/>
      <c r="G9" s="122"/>
      <c r="H9" s="122"/>
      <c r="I9" s="122"/>
    </row>
    <row r="10" spans="1:12" customFormat="1" ht="15" x14ac:dyDescent="0.25">
      <c r="A10" s="308" t="s">
        <v>789</v>
      </c>
      <c r="B10" s="89" t="s">
        <v>790</v>
      </c>
      <c r="F10" s="123"/>
      <c r="G10" s="123"/>
      <c r="H10" s="123"/>
      <c r="I10" s="123"/>
    </row>
    <row r="11" spans="1:12" customFormat="1" ht="15" x14ac:dyDescent="0.25">
      <c r="A11" s="308" t="s">
        <v>791</v>
      </c>
      <c r="B11" s="89" t="s">
        <v>792</v>
      </c>
      <c r="F11" s="123"/>
      <c r="G11" s="123"/>
      <c r="H11" s="123"/>
      <c r="I11" s="123"/>
    </row>
    <row r="12" spans="1:12" customFormat="1" ht="15" x14ac:dyDescent="0.25">
      <c r="A12" s="308" t="s">
        <v>793</v>
      </c>
      <c r="B12" s="89" t="s">
        <v>794</v>
      </c>
      <c r="F12" s="123"/>
      <c r="G12" s="123"/>
      <c r="H12" s="123"/>
      <c r="I12" s="123"/>
    </row>
    <row r="13" spans="1:12" customFormat="1" ht="15" x14ac:dyDescent="0.25">
      <c r="A13" s="308" t="s">
        <v>795</v>
      </c>
      <c r="B13" s="89" t="s">
        <v>796</v>
      </c>
      <c r="F13" s="123"/>
      <c r="G13" s="123"/>
      <c r="H13" s="123"/>
      <c r="I13" s="123"/>
    </row>
    <row r="14" spans="1:12" customFormat="1" ht="15" x14ac:dyDescent="0.25">
      <c r="A14" s="308" t="s">
        <v>797</v>
      </c>
      <c r="B14" s="89" t="s">
        <v>798</v>
      </c>
      <c r="F14" s="123"/>
      <c r="G14" s="123"/>
      <c r="H14" s="123"/>
      <c r="I14" s="123"/>
    </row>
    <row r="15" spans="1:12" customFormat="1" ht="15" x14ac:dyDescent="0.25">
      <c r="A15" s="308" t="s">
        <v>799</v>
      </c>
      <c r="B15" s="89" t="s">
        <v>800</v>
      </c>
      <c r="F15" s="123"/>
      <c r="G15" s="123"/>
      <c r="H15" s="123"/>
      <c r="I15" s="123"/>
    </row>
    <row r="16" spans="1:12" customFormat="1" ht="15" x14ac:dyDescent="0.25">
      <c r="A16" s="308" t="s">
        <v>801</v>
      </c>
      <c r="B16" s="89" t="s">
        <v>802</v>
      </c>
      <c r="F16" s="123"/>
      <c r="G16" s="123"/>
      <c r="H16" s="123"/>
      <c r="I16" s="123"/>
    </row>
    <row r="17" spans="1:14" customFormat="1" ht="15" x14ac:dyDescent="0.25">
      <c r="A17" s="308" t="s">
        <v>803</v>
      </c>
      <c r="B17" s="89" t="s">
        <v>804</v>
      </c>
      <c r="F17" s="123"/>
      <c r="G17" s="123"/>
      <c r="H17" s="123"/>
      <c r="I17" s="123"/>
    </row>
    <row r="18" spans="1:14" customFormat="1" ht="15" x14ac:dyDescent="0.25">
      <c r="A18" s="308" t="s">
        <v>805</v>
      </c>
      <c r="B18" s="89" t="s">
        <v>806</v>
      </c>
      <c r="F18" s="123"/>
      <c r="G18" s="123"/>
      <c r="H18" s="123"/>
      <c r="I18" s="123"/>
    </row>
    <row r="19" spans="1:14" customFormat="1" ht="15" x14ac:dyDescent="0.25">
      <c r="A19" s="308" t="s">
        <v>807</v>
      </c>
      <c r="B19" s="89" t="s">
        <v>808</v>
      </c>
      <c r="F19" s="123"/>
      <c r="G19" s="123"/>
      <c r="H19" s="123"/>
      <c r="I19" s="123"/>
    </row>
    <row r="20" spans="1:14" customFormat="1" ht="15" x14ac:dyDescent="0.25">
      <c r="A20" s="308" t="s">
        <v>809</v>
      </c>
      <c r="B20" s="89" t="s">
        <v>810</v>
      </c>
      <c r="F20" s="123"/>
      <c r="G20" s="123"/>
      <c r="H20" s="123"/>
      <c r="I20" s="123"/>
    </row>
    <row r="21" spans="1:14" customFormat="1" ht="30" x14ac:dyDescent="0.25">
      <c r="A21" s="308" t="s">
        <v>811</v>
      </c>
      <c r="B21" s="89" t="s">
        <v>812</v>
      </c>
      <c r="F21" s="123"/>
      <c r="G21" s="123"/>
      <c r="H21" s="123"/>
      <c r="I21" s="123"/>
    </row>
    <row r="22" spans="1:14" customFormat="1" ht="15" x14ac:dyDescent="0.25">
      <c r="A22" s="308" t="s">
        <v>813</v>
      </c>
      <c r="B22" s="89" t="s">
        <v>814</v>
      </c>
      <c r="F22" s="123"/>
      <c r="G22" s="123"/>
      <c r="H22" s="123"/>
      <c r="I22" s="123"/>
    </row>
    <row r="23" spans="1:14" customFormat="1" ht="15" x14ac:dyDescent="0.25">
      <c r="A23" s="308" t="s">
        <v>815</v>
      </c>
      <c r="B23" s="89" t="s">
        <v>816</v>
      </c>
      <c r="F23" s="123"/>
      <c r="G23" s="123"/>
      <c r="H23" s="123"/>
      <c r="I23" s="123"/>
    </row>
    <row r="24" spans="1:14" customFormat="1" ht="15" x14ac:dyDescent="0.25">
      <c r="A24" s="308" t="s">
        <v>817</v>
      </c>
      <c r="B24" s="89" t="s">
        <v>818</v>
      </c>
      <c r="F24" s="123"/>
      <c r="G24" s="123"/>
      <c r="H24" s="123"/>
      <c r="I24" s="123"/>
    </row>
    <row r="25" spans="1:14" customFormat="1" ht="15" x14ac:dyDescent="0.25">
      <c r="A25" s="308" t="s">
        <v>819</v>
      </c>
      <c r="B25" s="89" t="s">
        <v>820</v>
      </c>
      <c r="F25" s="123"/>
      <c r="G25" s="123"/>
      <c r="H25" s="123"/>
      <c r="I25" s="123"/>
    </row>
    <row r="26" spans="1:14" customFormat="1" ht="15" x14ac:dyDescent="0.25">
      <c r="A26" s="308" t="s">
        <v>821</v>
      </c>
      <c r="B26" s="89" t="s">
        <v>822</v>
      </c>
      <c r="F26" s="123"/>
      <c r="G26" s="123"/>
      <c r="H26" s="123"/>
      <c r="I26" s="123"/>
    </row>
    <row r="27" spans="1:14" customFormat="1" ht="15" x14ac:dyDescent="0.25">
      <c r="A27" s="308" t="s">
        <v>823</v>
      </c>
      <c r="B27" s="89" t="s">
        <v>824</v>
      </c>
      <c r="F27" s="123"/>
      <c r="G27" s="123"/>
      <c r="H27" s="123"/>
      <c r="I27" s="123"/>
    </row>
    <row r="28" spans="1:14" customFormat="1" ht="15" x14ac:dyDescent="0.25">
      <c r="A28" s="308" t="s">
        <v>825</v>
      </c>
      <c r="B28" s="89" t="s">
        <v>826</v>
      </c>
      <c r="F28" s="123"/>
      <c r="G28" s="123"/>
      <c r="H28" s="123"/>
      <c r="I28" s="123"/>
    </row>
    <row r="29" spans="1:14" customFormat="1" ht="15" x14ac:dyDescent="0.25">
      <c r="A29" s="308" t="s">
        <v>827</v>
      </c>
      <c r="B29" s="89" t="s">
        <v>828</v>
      </c>
      <c r="F29" s="123"/>
      <c r="G29" s="123"/>
      <c r="H29" s="123"/>
      <c r="I29" s="123"/>
    </row>
    <row r="30" spans="1:14" customFormat="1" ht="15" x14ac:dyDescent="0.25">
      <c r="A30" s="308" t="s">
        <v>829</v>
      </c>
      <c r="B30" s="89" t="s">
        <v>830</v>
      </c>
      <c r="F30" s="123"/>
      <c r="G30" s="123"/>
      <c r="H30" s="123"/>
      <c r="I30" s="123"/>
    </row>
    <row r="31" spans="1:14" ht="15" x14ac:dyDescent="0.25">
      <c r="A31" s="308" t="s">
        <v>831</v>
      </c>
      <c r="B31" s="89" t="s">
        <v>832</v>
      </c>
      <c r="C31" s="11"/>
      <c r="D31" s="11"/>
      <c r="E31" s="19"/>
      <c r="J31" s="5"/>
      <c r="L31" s="9"/>
      <c r="N31" s="9"/>
    </row>
    <row r="32" spans="1:14" ht="15" x14ac:dyDescent="0.25">
      <c r="A32" s="308" t="s">
        <v>833</v>
      </c>
      <c r="B32" s="89" t="s">
        <v>834</v>
      </c>
      <c r="C32" s="11"/>
      <c r="D32" s="11"/>
      <c r="E32" s="19"/>
      <c r="J32" s="5"/>
      <c r="L32" s="9"/>
      <c r="N32" s="9"/>
    </row>
    <row r="33" spans="1:14" ht="30" x14ac:dyDescent="0.25">
      <c r="A33" s="308" t="s">
        <v>835</v>
      </c>
      <c r="B33" s="89" t="s">
        <v>836</v>
      </c>
      <c r="C33" s="11"/>
      <c r="D33" s="11"/>
      <c r="E33" s="19"/>
      <c r="J33" s="5"/>
      <c r="L33" s="9"/>
      <c r="N33" s="9"/>
    </row>
    <row r="34" spans="1:14" ht="30" x14ac:dyDescent="0.25">
      <c r="A34" s="308" t="s">
        <v>837</v>
      </c>
      <c r="B34" s="89" t="s">
        <v>838</v>
      </c>
      <c r="C34" s="11"/>
      <c r="D34" s="11"/>
      <c r="E34" s="19"/>
      <c r="J34" s="5"/>
      <c r="L34" s="9"/>
      <c r="N34" s="9"/>
    </row>
    <row r="35" spans="1:14" ht="15" x14ac:dyDescent="0.25">
      <c r="A35" s="308" t="s">
        <v>839</v>
      </c>
      <c r="B35" s="89" t="s">
        <v>840</v>
      </c>
      <c r="C35" s="11"/>
      <c r="D35" s="11"/>
      <c r="E35" s="19"/>
      <c r="J35" s="5"/>
      <c r="L35" s="9"/>
      <c r="N35" s="9"/>
    </row>
    <row r="36" spans="1:14" s="12" customFormat="1" ht="15" x14ac:dyDescent="0.25">
      <c r="A36" s="308" t="s">
        <v>841</v>
      </c>
      <c r="B36" s="89" t="s">
        <v>842</v>
      </c>
      <c r="C36" s="11"/>
      <c r="D36" s="11"/>
      <c r="E36" s="19"/>
      <c r="F36" s="125"/>
      <c r="G36" s="126"/>
      <c r="H36" s="127"/>
      <c r="I36" s="126"/>
      <c r="J36" s="5"/>
      <c r="K36" s="18"/>
    </row>
    <row r="37" spans="1:14" s="12" customFormat="1" ht="15" x14ac:dyDescent="0.25">
      <c r="A37" s="308" t="s">
        <v>843</v>
      </c>
      <c r="B37" s="89" t="s">
        <v>844</v>
      </c>
      <c r="C37" s="11"/>
      <c r="D37" s="11"/>
      <c r="E37" s="19"/>
      <c r="F37" s="125"/>
      <c r="G37" s="126"/>
      <c r="H37" s="127"/>
      <c r="I37" s="126"/>
      <c r="J37" s="5"/>
      <c r="K37" s="18"/>
    </row>
    <row r="38" spans="1:14" s="12" customFormat="1" ht="15" x14ac:dyDescent="0.25">
      <c r="A38" s="308" t="s">
        <v>845</v>
      </c>
      <c r="B38" s="89" t="s">
        <v>846</v>
      </c>
      <c r="C38" s="9"/>
      <c r="D38" s="9"/>
      <c r="E38" s="19"/>
      <c r="F38" s="125"/>
      <c r="G38" s="126"/>
      <c r="H38" s="127"/>
      <c r="I38" s="126"/>
      <c r="J38" s="5"/>
      <c r="K38" s="18"/>
    </row>
    <row r="39" spans="1:14" ht="15" x14ac:dyDescent="0.25">
      <c r="A39" s="308" t="s">
        <v>847</v>
      </c>
      <c r="B39" s="89" t="s">
        <v>848</v>
      </c>
      <c r="C39" s="11"/>
      <c r="D39" s="11"/>
      <c r="E39" s="19"/>
      <c r="J39" s="5"/>
      <c r="L39" s="9"/>
      <c r="N39" s="9"/>
    </row>
    <row r="40" spans="1:14" s="12" customFormat="1" ht="15" x14ac:dyDescent="0.25">
      <c r="A40" s="308" t="s">
        <v>849</v>
      </c>
      <c r="B40" s="89" t="s">
        <v>850</v>
      </c>
      <c r="C40" s="11"/>
      <c r="D40" s="11"/>
      <c r="E40" s="19"/>
      <c r="F40" s="125"/>
      <c r="G40" s="126"/>
      <c r="H40" s="127"/>
      <c r="I40" s="126"/>
      <c r="J40" s="5"/>
      <c r="K40" s="18"/>
    </row>
    <row r="41" spans="1:14" s="12" customFormat="1" ht="15" x14ac:dyDescent="0.25">
      <c r="A41" s="308" t="s">
        <v>851</v>
      </c>
      <c r="B41" s="89" t="s">
        <v>852</v>
      </c>
      <c r="C41" s="11"/>
      <c r="D41" s="11"/>
      <c r="E41" s="19"/>
      <c r="F41" s="125"/>
      <c r="G41" s="125"/>
      <c r="H41" s="125"/>
      <c r="I41" s="125"/>
      <c r="J41" s="5"/>
    </row>
    <row r="42" spans="1:14" ht="15" x14ac:dyDescent="0.25">
      <c r="A42" s="308" t="s">
        <v>853</v>
      </c>
      <c r="B42" s="89" t="s">
        <v>854</v>
      </c>
      <c r="C42" s="11"/>
      <c r="D42" s="11"/>
      <c r="E42" s="19"/>
      <c r="J42" s="5"/>
      <c r="L42" s="9"/>
      <c r="N42" s="9"/>
    </row>
    <row r="43" spans="1:14" ht="30" x14ac:dyDescent="0.25">
      <c r="A43" s="308" t="s">
        <v>855</v>
      </c>
      <c r="B43" s="89" t="s">
        <v>856</v>
      </c>
      <c r="C43" s="11"/>
      <c r="D43" s="11"/>
      <c r="E43" s="19"/>
      <c r="J43" s="5"/>
      <c r="L43" s="9"/>
      <c r="N43" s="9"/>
    </row>
    <row r="44" spans="1:14" ht="30" x14ac:dyDescent="0.25">
      <c r="A44" s="308" t="s">
        <v>857</v>
      </c>
      <c r="B44" s="89" t="s">
        <v>858</v>
      </c>
      <c r="C44" s="11"/>
      <c r="D44" s="11"/>
      <c r="E44" s="19"/>
      <c r="J44" s="5"/>
      <c r="L44" s="9"/>
      <c r="N44" s="9"/>
    </row>
    <row r="45" spans="1:14" ht="30" x14ac:dyDescent="0.25">
      <c r="A45" s="308" t="s">
        <v>859</v>
      </c>
      <c r="B45" s="89" t="s">
        <v>860</v>
      </c>
      <c r="C45" s="11"/>
      <c r="D45" s="11"/>
      <c r="E45" s="19"/>
      <c r="J45" s="5"/>
      <c r="L45" s="9"/>
      <c r="N45" s="9"/>
    </row>
    <row r="46" spans="1:14" ht="15" x14ac:dyDescent="0.25">
      <c r="A46" s="308" t="s">
        <v>861</v>
      </c>
      <c r="B46" s="89" t="s">
        <v>862</v>
      </c>
      <c r="C46" s="11"/>
      <c r="D46" s="11"/>
      <c r="E46" s="19"/>
      <c r="J46" s="5"/>
      <c r="L46" s="9"/>
      <c r="N46" s="9"/>
    </row>
    <row r="47" spans="1:14" ht="15" x14ac:dyDescent="0.25">
      <c r="A47" s="308" t="s">
        <v>863</v>
      </c>
      <c r="B47" s="89" t="s">
        <v>864</v>
      </c>
      <c r="C47" s="11"/>
      <c r="D47" s="11"/>
      <c r="E47" s="19"/>
      <c r="J47" s="5"/>
      <c r="L47" s="9"/>
      <c r="N47" s="9"/>
    </row>
    <row r="48" spans="1:14" ht="15" x14ac:dyDescent="0.25">
      <c r="A48" s="308" t="s">
        <v>865</v>
      </c>
      <c r="B48" s="89" t="s">
        <v>866</v>
      </c>
      <c r="C48" s="11"/>
      <c r="D48" s="11"/>
      <c r="E48" s="19"/>
      <c r="J48" s="5"/>
      <c r="L48" s="9"/>
      <c r="N48" s="9"/>
    </row>
    <row r="49" spans="1:14" ht="15" x14ac:dyDescent="0.25">
      <c r="A49" s="308" t="s">
        <v>867</v>
      </c>
      <c r="B49" s="89" t="s">
        <v>868</v>
      </c>
      <c r="C49" s="11"/>
      <c r="D49" s="11"/>
      <c r="E49" s="19"/>
      <c r="J49" s="5"/>
      <c r="L49" s="9"/>
      <c r="N49" s="9"/>
    </row>
    <row r="50" spans="1:14" ht="15" x14ac:dyDescent="0.25">
      <c r="A50" s="308" t="s">
        <v>869</v>
      </c>
      <c r="B50" s="89" t="s">
        <v>870</v>
      </c>
      <c r="C50" s="11"/>
      <c r="D50" s="11"/>
      <c r="E50" s="19"/>
      <c r="J50" s="5"/>
      <c r="L50" s="9"/>
      <c r="N50" s="9"/>
    </row>
    <row r="51" spans="1:14" ht="15" x14ac:dyDescent="0.25">
      <c r="A51" s="308" t="s">
        <v>871</v>
      </c>
      <c r="B51" s="89" t="s">
        <v>872</v>
      </c>
      <c r="C51" s="11"/>
      <c r="D51" s="11"/>
      <c r="E51" s="19"/>
      <c r="J51" s="5"/>
      <c r="L51" s="9"/>
      <c r="N51" s="9"/>
    </row>
    <row r="52" spans="1:14" ht="15" x14ac:dyDescent="0.25">
      <c r="A52" s="308" t="s">
        <v>873</v>
      </c>
      <c r="B52" s="89" t="s">
        <v>874</v>
      </c>
      <c r="C52" s="11"/>
      <c r="D52" s="11"/>
      <c r="E52" s="19"/>
      <c r="J52" s="5"/>
      <c r="L52" s="9"/>
      <c r="N52" s="9"/>
    </row>
    <row r="53" spans="1:14" ht="15" x14ac:dyDescent="0.25">
      <c r="A53" s="308" t="s">
        <v>875</v>
      </c>
      <c r="B53" s="89" t="s">
        <v>876</v>
      </c>
      <c r="C53" s="11"/>
      <c r="D53" s="11"/>
      <c r="E53" s="19"/>
      <c r="J53" s="5"/>
      <c r="L53" s="9"/>
      <c r="N53" s="9"/>
    </row>
    <row r="54" spans="1:14" ht="15" x14ac:dyDescent="0.25">
      <c r="A54" s="308" t="s">
        <v>877</v>
      </c>
      <c r="B54" s="89" t="s">
        <v>878</v>
      </c>
      <c r="C54" s="11"/>
      <c r="D54" s="11"/>
      <c r="E54" s="19"/>
      <c r="J54" s="5"/>
      <c r="L54" s="9"/>
      <c r="N54" s="9"/>
    </row>
    <row r="55" spans="1:14" ht="15" x14ac:dyDescent="0.25">
      <c r="A55" s="308" t="s">
        <v>879</v>
      </c>
      <c r="B55" s="89" t="s">
        <v>880</v>
      </c>
      <c r="C55" s="7"/>
      <c r="D55" s="7"/>
      <c r="E55" s="20"/>
      <c r="J55" s="5"/>
      <c r="L55" s="9"/>
      <c r="N55" s="9"/>
    </row>
    <row r="56" spans="1:14" ht="15" x14ac:dyDescent="0.25">
      <c r="A56" s="308" t="s">
        <v>881</v>
      </c>
      <c r="B56" s="89" t="s">
        <v>882</v>
      </c>
      <c r="C56" s="11"/>
      <c r="D56" s="11"/>
      <c r="E56" s="19"/>
      <c r="J56" s="5"/>
      <c r="L56" s="9"/>
      <c r="N56" s="9"/>
    </row>
    <row r="57" spans="1:14" ht="15" x14ac:dyDescent="0.25">
      <c r="A57" s="308" t="s">
        <v>883</v>
      </c>
      <c r="B57" s="89" t="s">
        <v>884</v>
      </c>
      <c r="C57" s="11"/>
      <c r="D57" s="11"/>
      <c r="E57" s="19"/>
      <c r="J57" s="5"/>
      <c r="L57" s="9"/>
      <c r="N57" s="9"/>
    </row>
    <row r="58" spans="1:14" ht="15" x14ac:dyDescent="0.25">
      <c r="A58" s="308" t="s">
        <v>885</v>
      </c>
      <c r="B58" s="89" t="s">
        <v>886</v>
      </c>
      <c r="C58" s="11"/>
      <c r="D58" s="11"/>
      <c r="E58" s="19"/>
      <c r="J58" s="5"/>
      <c r="L58" s="9"/>
      <c r="N58" s="9"/>
    </row>
    <row r="59" spans="1:14" ht="15" x14ac:dyDescent="0.25">
      <c r="A59" s="308" t="s">
        <v>887</v>
      </c>
      <c r="B59" s="89" t="s">
        <v>888</v>
      </c>
      <c r="C59" s="11"/>
      <c r="D59" s="11"/>
      <c r="E59" s="19"/>
      <c r="J59" s="5"/>
      <c r="L59" s="9"/>
      <c r="N59" s="9"/>
    </row>
    <row r="60" spans="1:14" ht="15" x14ac:dyDescent="0.25">
      <c r="A60" s="308" t="s">
        <v>889</v>
      </c>
      <c r="B60" s="89" t="s">
        <v>890</v>
      </c>
      <c r="C60" s="11"/>
      <c r="D60" s="11"/>
      <c r="E60" s="19"/>
      <c r="J60" s="5"/>
      <c r="L60" s="9"/>
      <c r="N60" s="9"/>
    </row>
    <row r="61" spans="1:14" ht="15" x14ac:dyDescent="0.25">
      <c r="A61" s="308" t="s">
        <v>891</v>
      </c>
      <c r="B61" s="89" t="s">
        <v>892</v>
      </c>
      <c r="C61" s="11"/>
      <c r="D61" s="11"/>
      <c r="E61" s="19"/>
      <c r="J61" s="5"/>
      <c r="L61" s="9"/>
      <c r="N61" s="9"/>
    </row>
    <row r="62" spans="1:14" ht="15" x14ac:dyDescent="0.25">
      <c r="A62" s="308" t="s">
        <v>728</v>
      </c>
      <c r="B62" s="89" t="s">
        <v>893</v>
      </c>
      <c r="C62" s="11"/>
      <c r="D62" s="11"/>
      <c r="E62" s="19"/>
      <c r="J62" s="5"/>
      <c r="L62" s="9"/>
      <c r="N62" s="9"/>
    </row>
    <row r="63" spans="1:14" ht="15" x14ac:dyDescent="0.25">
      <c r="A63" s="308" t="s">
        <v>894</v>
      </c>
      <c r="B63" s="89" t="s">
        <v>895</v>
      </c>
      <c r="C63" s="11"/>
      <c r="D63" s="11"/>
      <c r="E63" s="19"/>
      <c r="J63" s="5"/>
      <c r="L63" s="9"/>
      <c r="N63" s="9"/>
    </row>
    <row r="64" spans="1:14" ht="15" x14ac:dyDescent="0.25">
      <c r="A64" s="308" t="s">
        <v>896</v>
      </c>
      <c r="B64" s="89" t="s">
        <v>897</v>
      </c>
      <c r="C64" s="11"/>
      <c r="D64" s="11"/>
      <c r="E64" s="19"/>
      <c r="J64" s="5"/>
      <c r="L64" s="9"/>
      <c r="N64" s="9"/>
    </row>
    <row r="65" spans="1:14" ht="15" x14ac:dyDescent="0.25">
      <c r="A65" s="308" t="s">
        <v>898</v>
      </c>
      <c r="B65" s="89" t="s">
        <v>899</v>
      </c>
      <c r="C65" s="11"/>
      <c r="D65" s="11"/>
      <c r="E65" s="19"/>
      <c r="J65" s="5"/>
      <c r="L65" s="9"/>
      <c r="N65" s="9"/>
    </row>
    <row r="66" spans="1:14" ht="15" x14ac:dyDescent="0.25">
      <c r="A66" s="308" t="s">
        <v>900</v>
      </c>
      <c r="B66" s="89" t="s">
        <v>901</v>
      </c>
      <c r="C66" s="11"/>
      <c r="D66" s="11"/>
      <c r="E66" s="19"/>
      <c r="J66" s="5"/>
      <c r="L66" s="9"/>
      <c r="N66" s="9"/>
    </row>
    <row r="67" spans="1:14" ht="15" x14ac:dyDescent="0.25">
      <c r="A67" s="308" t="s">
        <v>902</v>
      </c>
      <c r="B67" s="89" t="s">
        <v>903</v>
      </c>
      <c r="C67" s="11"/>
      <c r="D67" s="11"/>
      <c r="E67" s="19"/>
      <c r="J67" s="5"/>
      <c r="L67" s="9"/>
      <c r="N67" s="9"/>
    </row>
    <row r="68" spans="1:14" ht="15" x14ac:dyDescent="0.25">
      <c r="A68" s="308" t="s">
        <v>904</v>
      </c>
      <c r="B68" s="89" t="s">
        <v>905</v>
      </c>
      <c r="C68" s="11"/>
      <c r="D68" s="11"/>
      <c r="E68" s="19"/>
      <c r="J68" s="5"/>
      <c r="L68" s="9"/>
      <c r="N68" s="9"/>
    </row>
    <row r="69" spans="1:14" ht="15" x14ac:dyDescent="0.25">
      <c r="A69" s="308" t="s">
        <v>906</v>
      </c>
      <c r="B69" s="89" t="s">
        <v>907</v>
      </c>
      <c r="C69" s="11"/>
      <c r="D69" s="11"/>
      <c r="E69" s="19"/>
      <c r="J69" s="5"/>
      <c r="L69" s="9"/>
      <c r="N69" s="9"/>
    </row>
    <row r="70" spans="1:14" ht="15" x14ac:dyDescent="0.25">
      <c r="A70" s="308" t="s">
        <v>908</v>
      </c>
      <c r="B70" s="89" t="s">
        <v>909</v>
      </c>
      <c r="C70" s="11"/>
      <c r="D70" s="11"/>
      <c r="E70" s="19"/>
      <c r="J70" s="5"/>
      <c r="L70" s="9"/>
      <c r="N70" s="9"/>
    </row>
    <row r="71" spans="1:14" ht="15" x14ac:dyDescent="0.25">
      <c r="A71" s="308" t="s">
        <v>910</v>
      </c>
      <c r="B71" s="89" t="s">
        <v>911</v>
      </c>
      <c r="C71" s="11"/>
      <c r="D71" s="11"/>
      <c r="E71" s="19"/>
      <c r="J71" s="5"/>
      <c r="L71" s="9"/>
      <c r="N71" s="9"/>
    </row>
    <row r="72" spans="1:14" ht="15" x14ac:dyDescent="0.25">
      <c r="A72" s="308" t="s">
        <v>726</v>
      </c>
      <c r="B72" s="89" t="s">
        <v>912</v>
      </c>
      <c r="C72" s="11"/>
      <c r="D72" s="11"/>
      <c r="E72" s="19"/>
      <c r="J72" s="5"/>
      <c r="L72" s="9"/>
      <c r="N72" s="9"/>
    </row>
    <row r="73" spans="1:14" ht="15" x14ac:dyDescent="0.25">
      <c r="A73" s="308" t="s">
        <v>913</v>
      </c>
      <c r="B73" s="89" t="s">
        <v>914</v>
      </c>
      <c r="C73" s="11"/>
      <c r="D73" s="11"/>
      <c r="E73" s="19"/>
      <c r="J73" s="5"/>
      <c r="L73" s="9"/>
      <c r="N73" s="9"/>
    </row>
    <row r="74" spans="1:14" ht="15" x14ac:dyDescent="0.25">
      <c r="A74" s="308" t="s">
        <v>915</v>
      </c>
      <c r="B74" s="89" t="s">
        <v>916</v>
      </c>
      <c r="C74" s="11"/>
      <c r="D74" s="11"/>
      <c r="E74" s="19"/>
      <c r="J74" s="5"/>
      <c r="L74" s="9"/>
      <c r="N74" s="9"/>
    </row>
    <row r="75" spans="1:14" ht="15" x14ac:dyDescent="0.25">
      <c r="A75" s="308" t="s">
        <v>917</v>
      </c>
      <c r="B75" s="89" t="s">
        <v>918</v>
      </c>
      <c r="C75" s="11"/>
      <c r="D75" s="11"/>
      <c r="E75" s="19"/>
      <c r="J75" s="5"/>
      <c r="L75" s="9"/>
      <c r="N75" s="9"/>
    </row>
    <row r="76" spans="1:14" ht="30" x14ac:dyDescent="0.25">
      <c r="A76" s="308" t="s">
        <v>919</v>
      </c>
      <c r="B76" s="89" t="s">
        <v>920</v>
      </c>
      <c r="C76" s="11"/>
      <c r="D76" s="11"/>
      <c r="E76" s="19"/>
      <c r="J76" s="5"/>
      <c r="L76" s="9"/>
      <c r="N76" s="9"/>
    </row>
    <row r="77" spans="1:14" ht="30" x14ac:dyDescent="0.25">
      <c r="A77" s="308" t="s">
        <v>921</v>
      </c>
      <c r="B77" s="89" t="s">
        <v>922</v>
      </c>
      <c r="C77" s="11"/>
      <c r="D77" s="11"/>
      <c r="E77" s="19"/>
      <c r="J77" s="5"/>
      <c r="L77" s="9"/>
      <c r="N77" s="9"/>
    </row>
    <row r="78" spans="1:14" ht="15" x14ac:dyDescent="0.25">
      <c r="A78" s="308" t="s">
        <v>923</v>
      </c>
      <c r="B78" s="89" t="s">
        <v>924</v>
      </c>
      <c r="C78" s="11"/>
      <c r="D78" s="11"/>
      <c r="E78" s="19"/>
      <c r="J78" s="5"/>
      <c r="L78" s="9"/>
      <c r="N78" s="9"/>
    </row>
    <row r="79" spans="1:14" ht="15" x14ac:dyDescent="0.25">
      <c r="A79" s="308" t="s">
        <v>925</v>
      </c>
      <c r="B79" s="89" t="s">
        <v>926</v>
      </c>
      <c r="C79" s="11"/>
      <c r="D79" s="11"/>
      <c r="E79" s="19"/>
      <c r="J79" s="5"/>
      <c r="L79" s="9"/>
      <c r="N79" s="9"/>
    </row>
    <row r="80" spans="1:14" ht="15" x14ac:dyDescent="0.25">
      <c r="A80" s="308" t="s">
        <v>927</v>
      </c>
      <c r="B80" s="89" t="s">
        <v>928</v>
      </c>
      <c r="C80" s="11"/>
      <c r="D80" s="11"/>
      <c r="E80" s="19"/>
      <c r="J80" s="5"/>
      <c r="L80" s="9"/>
      <c r="N80" s="9"/>
    </row>
    <row r="81" spans="1:14" ht="45" x14ac:dyDescent="0.25">
      <c r="A81" s="308" t="s">
        <v>929</v>
      </c>
      <c r="B81" s="89" t="s">
        <v>930</v>
      </c>
      <c r="C81" s="11"/>
      <c r="D81" s="11"/>
      <c r="E81" s="19"/>
      <c r="J81" s="5"/>
      <c r="L81" s="9"/>
      <c r="N81" s="9"/>
    </row>
    <row r="82" spans="1:14" ht="15" x14ac:dyDescent="0.25">
      <c r="A82" s="308" t="s">
        <v>931</v>
      </c>
      <c r="B82" s="89" t="s">
        <v>932</v>
      </c>
      <c r="C82" s="11"/>
      <c r="D82" s="11"/>
      <c r="E82" s="19"/>
      <c r="J82" s="5"/>
      <c r="L82" s="9"/>
      <c r="N82" s="9"/>
    </row>
    <row r="83" spans="1:14" ht="15" x14ac:dyDescent="0.25">
      <c r="A83" s="308" t="s">
        <v>933</v>
      </c>
      <c r="B83" s="89" t="s">
        <v>934</v>
      </c>
      <c r="C83" s="11"/>
      <c r="D83" s="11"/>
      <c r="E83" s="19"/>
      <c r="J83" s="5"/>
      <c r="L83" s="9"/>
      <c r="N83" s="9"/>
    </row>
    <row r="84" spans="1:14" ht="15" x14ac:dyDescent="0.25">
      <c r="A84" s="308" t="s">
        <v>935</v>
      </c>
      <c r="B84" s="89" t="s">
        <v>936</v>
      </c>
      <c r="C84" s="11"/>
      <c r="D84" s="11"/>
      <c r="J84" s="5"/>
      <c r="L84" s="9"/>
      <c r="N84" s="9"/>
    </row>
    <row r="85" spans="1:14" ht="15" x14ac:dyDescent="0.25">
      <c r="A85" s="308" t="s">
        <v>937</v>
      </c>
      <c r="B85" s="89" t="s">
        <v>938</v>
      </c>
      <c r="C85" s="11"/>
      <c r="D85" s="11"/>
      <c r="E85" s="19"/>
      <c r="J85" s="5"/>
      <c r="L85" s="9"/>
      <c r="N85" s="9"/>
    </row>
    <row r="86" spans="1:14" ht="15" x14ac:dyDescent="0.25">
      <c r="A86" s="308" t="s">
        <v>939</v>
      </c>
      <c r="B86" s="89" t="s">
        <v>940</v>
      </c>
      <c r="C86" s="11"/>
      <c r="D86" s="11"/>
      <c r="E86" s="19"/>
      <c r="J86" s="5"/>
      <c r="L86" s="9"/>
      <c r="N86" s="9"/>
    </row>
    <row r="87" spans="1:14" ht="15" x14ac:dyDescent="0.25">
      <c r="A87" s="308" t="s">
        <v>941</v>
      </c>
      <c r="B87" s="89" t="s">
        <v>942</v>
      </c>
      <c r="C87" s="11"/>
      <c r="D87" s="11"/>
      <c r="E87" s="19"/>
      <c r="J87" s="5"/>
      <c r="L87" s="9"/>
      <c r="N87" s="9"/>
    </row>
    <row r="88" spans="1:14" ht="15" x14ac:dyDescent="0.25">
      <c r="A88" s="308" t="s">
        <v>943</v>
      </c>
      <c r="B88" s="89" t="s">
        <v>944</v>
      </c>
      <c r="C88" s="11"/>
      <c r="D88" s="11"/>
      <c r="E88" s="19"/>
      <c r="J88" s="5"/>
      <c r="L88" s="9"/>
      <c r="N88" s="9"/>
    </row>
    <row r="89" spans="1:14" ht="15" x14ac:dyDescent="0.25">
      <c r="A89" s="308" t="s">
        <v>945</v>
      </c>
      <c r="B89" s="89" t="s">
        <v>946</v>
      </c>
      <c r="C89" s="11"/>
      <c r="D89" s="11"/>
      <c r="E89" s="19"/>
      <c r="J89" s="5"/>
      <c r="L89" s="9"/>
      <c r="N89" s="9"/>
    </row>
    <row r="90" spans="1:14" ht="15" x14ac:dyDescent="0.25">
      <c r="A90" s="308" t="s">
        <v>947</v>
      </c>
      <c r="B90" s="89" t="s">
        <v>948</v>
      </c>
      <c r="C90" s="11"/>
      <c r="D90" s="11"/>
      <c r="E90" s="19"/>
      <c r="J90" s="5"/>
      <c r="L90" s="9"/>
      <c r="N90" s="9"/>
    </row>
    <row r="91" spans="1:14" ht="15" x14ac:dyDescent="0.25">
      <c r="A91" s="308" t="s">
        <v>949</v>
      </c>
      <c r="B91" s="89" t="s">
        <v>950</v>
      </c>
      <c r="C91" s="11"/>
      <c r="D91" s="11"/>
      <c r="E91" s="19"/>
      <c r="J91" s="5"/>
      <c r="L91" s="9"/>
      <c r="N91" s="9"/>
    </row>
    <row r="92" spans="1:14" ht="15" x14ac:dyDescent="0.25">
      <c r="A92" s="308" t="s">
        <v>951</v>
      </c>
      <c r="B92" s="89" t="s">
        <v>952</v>
      </c>
      <c r="C92" s="11"/>
      <c r="D92" s="11"/>
      <c r="E92" s="19"/>
      <c r="J92" s="5"/>
      <c r="L92" s="9"/>
      <c r="N92" s="9"/>
    </row>
    <row r="93" spans="1:14" ht="15" x14ac:dyDescent="0.25">
      <c r="A93" s="308" t="s">
        <v>953</v>
      </c>
      <c r="B93" s="89" t="s">
        <v>954</v>
      </c>
      <c r="C93" s="11"/>
      <c r="D93" s="11"/>
      <c r="E93" s="19"/>
      <c r="J93" s="5"/>
      <c r="L93" s="9"/>
      <c r="N93" s="9"/>
    </row>
    <row r="94" spans="1:14" ht="45" x14ac:dyDescent="0.25">
      <c r="A94" s="308" t="s">
        <v>955</v>
      </c>
      <c r="B94" s="89" t="s">
        <v>956</v>
      </c>
      <c r="C94" s="11"/>
      <c r="D94" s="11"/>
      <c r="E94" s="19"/>
      <c r="J94" s="5"/>
      <c r="L94" s="9"/>
      <c r="N94" s="9"/>
    </row>
    <row r="95" spans="1:14" ht="15" x14ac:dyDescent="0.25">
      <c r="A95" s="308" t="s">
        <v>957</v>
      </c>
      <c r="B95" s="89" t="s">
        <v>958</v>
      </c>
      <c r="C95" s="11"/>
      <c r="D95" s="11"/>
      <c r="E95" s="19"/>
      <c r="J95" s="5"/>
      <c r="L95" s="9"/>
      <c r="N95" s="9"/>
    </row>
    <row r="96" spans="1:14" ht="15" x14ac:dyDescent="0.25">
      <c r="A96" s="308" t="s">
        <v>959</v>
      </c>
      <c r="B96" s="89" t="s">
        <v>960</v>
      </c>
      <c r="C96" s="11"/>
      <c r="D96" s="11"/>
      <c r="E96" s="19"/>
      <c r="J96" s="5"/>
      <c r="L96" s="9"/>
      <c r="N96" s="9"/>
    </row>
    <row r="97" spans="1:14" ht="15" x14ac:dyDescent="0.25">
      <c r="A97" s="308" t="s">
        <v>961</v>
      </c>
      <c r="B97" s="89" t="s">
        <v>962</v>
      </c>
      <c r="C97" s="11"/>
      <c r="D97" s="11"/>
      <c r="E97" s="19"/>
      <c r="J97" s="5"/>
      <c r="L97" s="9"/>
      <c r="N97" s="9"/>
    </row>
    <row r="98" spans="1:14" ht="15" x14ac:dyDescent="0.25">
      <c r="A98" s="308" t="s">
        <v>963</v>
      </c>
      <c r="B98" s="89" t="s">
        <v>964</v>
      </c>
      <c r="C98" s="11"/>
      <c r="D98" s="11"/>
      <c r="E98" s="19"/>
      <c r="J98" s="5"/>
      <c r="L98" s="9"/>
      <c r="N98" s="9"/>
    </row>
    <row r="99" spans="1:14" ht="15" x14ac:dyDescent="0.25">
      <c r="A99" s="308" t="s">
        <v>965</v>
      </c>
      <c r="B99" s="89" t="s">
        <v>966</v>
      </c>
      <c r="C99" s="11"/>
      <c r="D99" s="11"/>
      <c r="E99" s="19"/>
      <c r="J99" s="5"/>
      <c r="L99" s="9"/>
      <c r="N99" s="9"/>
    </row>
    <row r="100" spans="1:14" ht="30" x14ac:dyDescent="0.25">
      <c r="A100" s="308" t="s">
        <v>967</v>
      </c>
      <c r="B100" s="89" t="s">
        <v>968</v>
      </c>
      <c r="C100" s="11"/>
      <c r="D100" s="11"/>
      <c r="E100" s="19"/>
      <c r="J100" s="5"/>
      <c r="L100" s="9"/>
      <c r="N100" s="9"/>
    </row>
    <row r="101" spans="1:14" ht="15" x14ac:dyDescent="0.25">
      <c r="A101" s="308" t="s">
        <v>969</v>
      </c>
      <c r="B101" s="89" t="s">
        <v>970</v>
      </c>
      <c r="C101" s="11"/>
      <c r="D101" s="11"/>
      <c r="E101" s="19"/>
      <c r="J101" s="5"/>
      <c r="L101" s="9"/>
      <c r="N101" s="9"/>
    </row>
    <row r="102" spans="1:14" ht="12" customHeight="1" x14ac:dyDescent="0.25">
      <c r="A102" s="308" t="s">
        <v>971</v>
      </c>
      <c r="B102" s="89" t="s">
        <v>972</v>
      </c>
      <c r="C102" s="11"/>
      <c r="D102" s="11"/>
      <c r="E102" s="19"/>
      <c r="J102" s="5"/>
      <c r="L102" s="9"/>
      <c r="N102" s="9"/>
    </row>
    <row r="103" spans="1:14" ht="12" customHeight="1" x14ac:dyDescent="0.25">
      <c r="A103" s="308" t="s">
        <v>973</v>
      </c>
      <c r="B103" s="89" t="s">
        <v>974</v>
      </c>
      <c r="C103" s="11"/>
      <c r="D103" s="11"/>
      <c r="E103" s="19"/>
      <c r="J103" s="5"/>
      <c r="L103" s="9"/>
      <c r="N103" s="9"/>
    </row>
    <row r="104" spans="1:14" ht="15" x14ac:dyDescent="0.25">
      <c r="A104" s="308" t="s">
        <v>975</v>
      </c>
      <c r="B104" s="89" t="s">
        <v>976</v>
      </c>
      <c r="C104" s="11"/>
      <c r="D104" s="11"/>
      <c r="E104" s="19"/>
      <c r="J104" s="5"/>
      <c r="L104" s="9"/>
      <c r="N104" s="9"/>
    </row>
    <row r="105" spans="1:14" ht="15" x14ac:dyDescent="0.25">
      <c r="A105" s="308" t="s">
        <v>247</v>
      </c>
      <c r="B105" s="89" t="s">
        <v>977</v>
      </c>
      <c r="C105" s="11"/>
      <c r="D105" s="11"/>
      <c r="E105" s="19"/>
      <c r="J105" s="5"/>
      <c r="L105" s="9"/>
      <c r="N105" s="9"/>
    </row>
    <row r="106" spans="1:14" ht="15" x14ac:dyDescent="0.25">
      <c r="A106" s="308" t="s">
        <v>978</v>
      </c>
      <c r="B106" s="89" t="s">
        <v>979</v>
      </c>
      <c r="C106" s="11"/>
      <c r="D106" s="11"/>
      <c r="E106" s="19"/>
      <c r="J106" s="5"/>
      <c r="L106" s="9"/>
      <c r="N106" s="9"/>
    </row>
    <row r="107" spans="1:14" ht="15" x14ac:dyDescent="0.25">
      <c r="A107" s="308" t="s">
        <v>980</v>
      </c>
      <c r="B107" s="89" t="s">
        <v>981</v>
      </c>
      <c r="C107" s="11"/>
      <c r="D107" s="11"/>
      <c r="E107" s="19"/>
      <c r="J107" s="5"/>
      <c r="L107" s="9"/>
      <c r="N107" s="9"/>
    </row>
    <row r="108" spans="1:14" ht="15" x14ac:dyDescent="0.25">
      <c r="A108" s="308" t="s">
        <v>982</v>
      </c>
      <c r="B108" s="89" t="s">
        <v>983</v>
      </c>
      <c r="C108" s="11"/>
      <c r="D108" s="11"/>
      <c r="E108" s="19"/>
      <c r="J108" s="5"/>
      <c r="L108" s="9"/>
      <c r="N108" s="9"/>
    </row>
    <row r="109" spans="1:14" ht="15" x14ac:dyDescent="0.25">
      <c r="A109" s="308" t="s">
        <v>984</v>
      </c>
      <c r="B109" s="89" t="s">
        <v>985</v>
      </c>
      <c r="C109" s="11"/>
      <c r="D109" s="11"/>
      <c r="E109" s="19"/>
      <c r="J109" s="5"/>
      <c r="L109" s="9"/>
      <c r="N109" s="9"/>
    </row>
    <row r="110" spans="1:14" ht="30" x14ac:dyDescent="0.25">
      <c r="A110" s="308" t="s">
        <v>986</v>
      </c>
      <c r="B110" s="89" t="s">
        <v>987</v>
      </c>
      <c r="C110" s="11"/>
      <c r="D110" s="11"/>
      <c r="E110" s="19"/>
      <c r="J110" s="5"/>
      <c r="L110" s="9"/>
      <c r="N110" s="9"/>
    </row>
    <row r="111" spans="1:14" ht="15" x14ac:dyDescent="0.25">
      <c r="A111" s="308" t="s">
        <v>988</v>
      </c>
      <c r="B111" s="89" t="s">
        <v>989</v>
      </c>
      <c r="C111" s="11"/>
      <c r="D111" s="11"/>
      <c r="E111" s="19"/>
      <c r="J111" s="5"/>
      <c r="L111" s="9"/>
      <c r="N111" s="9"/>
    </row>
    <row r="112" spans="1:14" ht="30" x14ac:dyDescent="0.25">
      <c r="A112" s="308" t="s">
        <v>737</v>
      </c>
      <c r="B112" s="89" t="s">
        <v>990</v>
      </c>
      <c r="C112" s="11"/>
      <c r="D112" s="11"/>
      <c r="E112" s="19"/>
      <c r="J112" s="5"/>
      <c r="L112" s="9"/>
      <c r="N112" s="9"/>
    </row>
    <row r="113" spans="1:14" ht="15" x14ac:dyDescent="0.25">
      <c r="A113" s="308" t="s">
        <v>991</v>
      </c>
      <c r="B113" s="89" t="s">
        <v>992</v>
      </c>
      <c r="C113" s="11"/>
      <c r="D113" s="11"/>
      <c r="E113" s="19"/>
      <c r="J113" s="5"/>
      <c r="L113" s="9"/>
      <c r="N113" s="9"/>
    </row>
    <row r="114" spans="1:14" ht="15" x14ac:dyDescent="0.25">
      <c r="A114" s="308" t="s">
        <v>993</v>
      </c>
      <c r="B114" s="89" t="s">
        <v>994</v>
      </c>
      <c r="C114" s="11"/>
      <c r="D114" s="11"/>
      <c r="E114" s="19"/>
      <c r="J114" s="5"/>
      <c r="L114" s="9"/>
      <c r="N114" s="9"/>
    </row>
    <row r="115" spans="1:14" ht="15" x14ac:dyDescent="0.25">
      <c r="A115" s="308" t="s">
        <v>995</v>
      </c>
      <c r="B115" s="89" t="s">
        <v>996</v>
      </c>
      <c r="C115" s="11"/>
      <c r="D115" s="11"/>
      <c r="E115" s="19"/>
      <c r="J115" s="5"/>
      <c r="L115" s="9"/>
      <c r="N115" s="9"/>
    </row>
    <row r="116" spans="1:14" ht="15" x14ac:dyDescent="0.25">
      <c r="A116" s="308" t="s">
        <v>997</v>
      </c>
      <c r="B116" s="89" t="s">
        <v>998</v>
      </c>
      <c r="C116" s="11"/>
      <c r="D116" s="11"/>
      <c r="E116" s="19"/>
      <c r="J116" s="5"/>
      <c r="L116" s="9"/>
      <c r="N116" s="9"/>
    </row>
    <row r="117" spans="1:14" ht="15" x14ac:dyDescent="0.25">
      <c r="A117" s="308" t="s">
        <v>999</v>
      </c>
      <c r="B117" s="89" t="s">
        <v>1000</v>
      </c>
      <c r="C117" s="11"/>
      <c r="D117" s="11"/>
      <c r="E117" s="19"/>
      <c r="J117" s="5"/>
      <c r="L117" s="9"/>
      <c r="N117" s="9"/>
    </row>
    <row r="118" spans="1:14" ht="15" x14ac:dyDescent="0.25">
      <c r="A118" s="308" t="s">
        <v>1001</v>
      </c>
      <c r="B118" s="89" t="s">
        <v>1002</v>
      </c>
      <c r="C118" s="11"/>
      <c r="D118" s="11"/>
      <c r="E118" s="19"/>
      <c r="J118" s="5"/>
      <c r="L118" s="9"/>
      <c r="N118" s="9"/>
    </row>
    <row r="119" spans="1:14" ht="15" x14ac:dyDescent="0.25">
      <c r="A119" s="308" t="s">
        <v>1003</v>
      </c>
      <c r="B119" s="89" t="s">
        <v>1004</v>
      </c>
      <c r="C119" s="11"/>
      <c r="D119" s="11"/>
      <c r="E119" s="19"/>
      <c r="J119" s="5"/>
      <c r="L119" s="9"/>
      <c r="N119" s="9"/>
    </row>
    <row r="120" spans="1:14" ht="15" x14ac:dyDescent="0.25">
      <c r="A120" s="308" t="s">
        <v>1005</v>
      </c>
      <c r="B120" s="89" t="s">
        <v>1006</v>
      </c>
      <c r="C120" s="11"/>
      <c r="D120" s="11"/>
      <c r="E120" s="19"/>
      <c r="J120" s="5"/>
      <c r="L120" s="9"/>
      <c r="N120" s="9"/>
    </row>
    <row r="121" spans="1:14" ht="15" x14ac:dyDescent="0.25">
      <c r="A121" s="308" t="s">
        <v>1007</v>
      </c>
      <c r="B121" s="89" t="s">
        <v>1008</v>
      </c>
      <c r="C121" s="11"/>
      <c r="D121" s="11"/>
      <c r="E121" s="19"/>
      <c r="J121" s="5"/>
      <c r="L121" s="9"/>
      <c r="N121" s="9"/>
    </row>
    <row r="122" spans="1:14" ht="15" x14ac:dyDescent="0.25">
      <c r="A122" s="308" t="s">
        <v>1009</v>
      </c>
      <c r="B122" s="89" t="s">
        <v>1010</v>
      </c>
      <c r="C122" s="11"/>
      <c r="D122" s="11"/>
      <c r="E122" s="19"/>
      <c r="J122" s="5"/>
      <c r="L122" s="9"/>
      <c r="N122" s="9"/>
    </row>
    <row r="123" spans="1:14" ht="15" x14ac:dyDescent="0.25">
      <c r="A123" s="308" t="s">
        <v>1011</v>
      </c>
      <c r="B123" s="89" t="s">
        <v>1012</v>
      </c>
      <c r="C123" s="11"/>
      <c r="D123" s="11"/>
      <c r="E123" s="19"/>
      <c r="J123" s="5"/>
      <c r="L123" s="9"/>
      <c r="N123" s="9"/>
    </row>
    <row r="124" spans="1:14" ht="15" x14ac:dyDescent="0.25">
      <c r="A124" s="308" t="s">
        <v>1013</v>
      </c>
      <c r="B124" s="89" t="s">
        <v>1014</v>
      </c>
      <c r="C124" s="11"/>
      <c r="D124" s="11"/>
      <c r="E124" s="19"/>
      <c r="J124" s="5"/>
      <c r="L124" s="9"/>
      <c r="N124" s="9"/>
    </row>
    <row r="125" spans="1:14" ht="30" x14ac:dyDescent="0.25">
      <c r="A125" s="308" t="s">
        <v>1015</v>
      </c>
      <c r="B125" s="89" t="s">
        <v>1016</v>
      </c>
      <c r="C125" s="11"/>
      <c r="D125" s="11"/>
      <c r="E125" s="19"/>
      <c r="J125" s="5"/>
      <c r="L125" s="9"/>
      <c r="N125" s="9"/>
    </row>
    <row r="126" spans="1:14" ht="15" x14ac:dyDescent="0.25">
      <c r="A126" s="308" t="s">
        <v>1017</v>
      </c>
      <c r="B126" s="89" t="s">
        <v>1018</v>
      </c>
      <c r="C126" s="11"/>
      <c r="D126" s="11"/>
      <c r="E126" s="19"/>
      <c r="J126" s="5"/>
      <c r="L126" s="9"/>
      <c r="N126" s="9"/>
    </row>
    <row r="127" spans="1:14" ht="15" x14ac:dyDescent="0.25">
      <c r="A127" s="308" t="s">
        <v>1019</v>
      </c>
      <c r="B127" s="89" t="s">
        <v>1020</v>
      </c>
      <c r="C127" s="11"/>
      <c r="D127" s="11"/>
      <c r="E127" s="19"/>
      <c r="J127" s="5"/>
      <c r="L127" s="9"/>
      <c r="N127" s="9"/>
    </row>
    <row r="128" spans="1:14" ht="15" x14ac:dyDescent="0.25">
      <c r="A128" s="308" t="s">
        <v>1021</v>
      </c>
      <c r="B128" s="89" t="s">
        <v>1022</v>
      </c>
      <c r="C128" s="11"/>
      <c r="D128" s="11"/>
      <c r="E128" s="19"/>
      <c r="J128" s="5"/>
      <c r="L128" s="9"/>
      <c r="N128" s="9"/>
    </row>
    <row r="129" spans="1:14" ht="15" x14ac:dyDescent="0.25">
      <c r="A129" s="308" t="s">
        <v>1023</v>
      </c>
      <c r="B129" s="89" t="s">
        <v>1024</v>
      </c>
      <c r="C129" s="11"/>
      <c r="D129" s="11"/>
      <c r="E129" s="19"/>
      <c r="J129" s="5"/>
      <c r="L129" s="9"/>
      <c r="N129" s="9"/>
    </row>
    <row r="130" spans="1:14" ht="30" x14ac:dyDescent="0.25">
      <c r="A130" s="308" t="s">
        <v>1025</v>
      </c>
      <c r="B130" s="89" t="s">
        <v>1026</v>
      </c>
      <c r="C130" s="11"/>
      <c r="D130" s="11"/>
      <c r="E130" s="19"/>
      <c r="J130" s="5"/>
      <c r="L130" s="9"/>
      <c r="N130" s="9"/>
    </row>
    <row r="131" spans="1:14" ht="15" x14ac:dyDescent="0.25">
      <c r="A131" s="308" t="s">
        <v>1027</v>
      </c>
      <c r="B131" s="89" t="s">
        <v>1028</v>
      </c>
      <c r="C131" s="11"/>
      <c r="D131" s="11"/>
      <c r="E131" s="19"/>
      <c r="J131" s="5"/>
      <c r="L131" s="9"/>
      <c r="N131" s="9"/>
    </row>
    <row r="132" spans="1:14" ht="15" x14ac:dyDescent="0.25">
      <c r="A132" s="308" t="s">
        <v>337</v>
      </c>
      <c r="B132" s="89" t="s">
        <v>1029</v>
      </c>
      <c r="C132" s="11"/>
      <c r="D132" s="11"/>
      <c r="E132" s="19"/>
      <c r="J132" s="5"/>
      <c r="L132" s="9"/>
      <c r="N132" s="9"/>
    </row>
    <row r="133" spans="1:14" ht="15" x14ac:dyDescent="0.25">
      <c r="A133" s="308" t="s">
        <v>1030</v>
      </c>
      <c r="B133" s="89" t="s">
        <v>1031</v>
      </c>
      <c r="C133" s="11"/>
      <c r="D133" s="11"/>
      <c r="E133" s="19"/>
      <c r="J133" s="5"/>
      <c r="L133" s="9"/>
      <c r="N133" s="9"/>
    </row>
    <row r="134" spans="1:14" ht="15" x14ac:dyDescent="0.25">
      <c r="A134" s="308" t="s">
        <v>1032</v>
      </c>
      <c r="B134" s="89" t="s">
        <v>1033</v>
      </c>
      <c r="C134" s="11"/>
      <c r="D134" s="11"/>
      <c r="E134" s="19"/>
      <c r="J134" s="5"/>
      <c r="L134" s="9"/>
      <c r="N134" s="9"/>
    </row>
    <row r="135" spans="1:14" ht="15" x14ac:dyDescent="0.25">
      <c r="A135" s="308" t="s">
        <v>1034</v>
      </c>
      <c r="B135" s="89" t="s">
        <v>1035</v>
      </c>
      <c r="C135" s="11"/>
      <c r="D135" s="11"/>
      <c r="E135" s="19"/>
      <c r="J135" s="5"/>
      <c r="L135" s="9"/>
      <c r="N135" s="9"/>
    </row>
    <row r="136" spans="1:14" ht="15" x14ac:dyDescent="0.25">
      <c r="A136" s="308" t="s">
        <v>1036</v>
      </c>
      <c r="B136" s="89" t="s">
        <v>1037</v>
      </c>
      <c r="C136" s="11"/>
      <c r="D136" s="11"/>
      <c r="E136" s="19"/>
      <c r="J136" s="5"/>
      <c r="L136" s="9"/>
      <c r="N136" s="9"/>
    </row>
    <row r="137" spans="1:14" ht="15" x14ac:dyDescent="0.25">
      <c r="A137" s="308" t="s">
        <v>1038</v>
      </c>
      <c r="B137" s="89" t="s">
        <v>1039</v>
      </c>
      <c r="C137" s="11"/>
      <c r="D137" s="11"/>
      <c r="E137" s="19"/>
      <c r="J137" s="5"/>
      <c r="L137" s="9"/>
      <c r="N137" s="9"/>
    </row>
    <row r="138" spans="1:14" ht="15" x14ac:dyDescent="0.25">
      <c r="A138" s="308" t="s">
        <v>1040</v>
      </c>
      <c r="B138" s="89" t="s">
        <v>1041</v>
      </c>
      <c r="C138" s="11"/>
      <c r="D138" s="11"/>
      <c r="E138" s="19"/>
      <c r="J138" s="5"/>
      <c r="L138" s="9"/>
      <c r="N138" s="9"/>
    </row>
    <row r="139" spans="1:14" ht="15" x14ac:dyDescent="0.25">
      <c r="A139" s="308" t="s">
        <v>1042</v>
      </c>
      <c r="B139" s="89" t="s">
        <v>1043</v>
      </c>
      <c r="C139" s="11"/>
      <c r="D139" s="11"/>
      <c r="E139" s="19"/>
      <c r="J139" s="5"/>
      <c r="L139" s="9"/>
      <c r="N139" s="9"/>
    </row>
    <row r="140" spans="1:14" ht="15" x14ac:dyDescent="0.25">
      <c r="A140" s="308" t="s">
        <v>1044</v>
      </c>
      <c r="B140" s="89" t="s">
        <v>1045</v>
      </c>
      <c r="C140" s="11"/>
      <c r="D140" s="11"/>
      <c r="E140" s="19"/>
      <c r="J140" s="5"/>
      <c r="L140" s="9"/>
      <c r="N140" s="9"/>
    </row>
    <row r="141" spans="1:14" ht="15" x14ac:dyDescent="0.25">
      <c r="A141" s="308" t="s">
        <v>1046</v>
      </c>
      <c r="B141" s="89" t="s">
        <v>1047</v>
      </c>
      <c r="C141" s="11"/>
      <c r="D141" s="11"/>
      <c r="E141" s="19"/>
      <c r="J141" s="5"/>
      <c r="L141" s="9"/>
      <c r="N141" s="9"/>
    </row>
    <row r="142" spans="1:14" ht="15" x14ac:dyDescent="0.25">
      <c r="A142" s="308" t="s">
        <v>1048</v>
      </c>
      <c r="B142" s="89" t="s">
        <v>1049</v>
      </c>
      <c r="C142" s="11"/>
      <c r="D142" s="11"/>
      <c r="E142" s="19"/>
      <c r="J142" s="5"/>
      <c r="L142" s="9"/>
      <c r="N142" s="9"/>
    </row>
    <row r="143" spans="1:14" ht="15" x14ac:dyDescent="0.25">
      <c r="A143" s="308" t="s">
        <v>1050</v>
      </c>
      <c r="B143" s="89" t="s">
        <v>1051</v>
      </c>
      <c r="C143" s="11"/>
      <c r="D143" s="11"/>
      <c r="E143" s="19"/>
      <c r="J143" s="5"/>
      <c r="L143" s="9"/>
      <c r="N143" s="9"/>
    </row>
    <row r="144" spans="1:14" ht="15" x14ac:dyDescent="0.25">
      <c r="A144" s="308" t="s">
        <v>780</v>
      </c>
      <c r="B144" s="89" t="s">
        <v>1052</v>
      </c>
      <c r="C144" s="11"/>
      <c r="D144" s="11"/>
      <c r="E144" s="19"/>
      <c r="J144" s="5"/>
      <c r="L144" s="9"/>
      <c r="N144" s="9"/>
    </row>
    <row r="145" spans="1:14" ht="30" x14ac:dyDescent="0.25">
      <c r="A145" s="308" t="s">
        <v>1053</v>
      </c>
      <c r="B145" s="89" t="s">
        <v>1054</v>
      </c>
      <c r="C145" s="11"/>
      <c r="D145" s="11"/>
      <c r="E145" s="19"/>
      <c r="J145" s="5"/>
      <c r="L145" s="9"/>
      <c r="N145" s="9"/>
    </row>
    <row r="146" spans="1:14" ht="15" x14ac:dyDescent="0.25">
      <c r="A146" s="308" t="s">
        <v>1055</v>
      </c>
      <c r="B146" s="89" t="s">
        <v>1056</v>
      </c>
      <c r="C146" s="11"/>
      <c r="D146" s="11"/>
      <c r="E146" s="19"/>
      <c r="J146" s="5"/>
      <c r="L146" s="9"/>
      <c r="N146" s="9"/>
    </row>
    <row r="147" spans="1:14" ht="15" x14ac:dyDescent="0.25">
      <c r="A147" s="308" t="s">
        <v>1057</v>
      </c>
      <c r="B147" s="89" t="s">
        <v>1058</v>
      </c>
      <c r="C147" s="11"/>
      <c r="D147" s="11"/>
      <c r="E147" s="19"/>
      <c r="J147" s="5"/>
      <c r="L147" s="9"/>
      <c r="N147" s="9"/>
    </row>
    <row r="148" spans="1:14" ht="45" x14ac:dyDescent="0.25">
      <c r="A148" s="308" t="s">
        <v>1059</v>
      </c>
      <c r="B148" s="89" t="s">
        <v>1060</v>
      </c>
      <c r="C148" s="14"/>
      <c r="D148" s="14"/>
      <c r="E148" s="19"/>
      <c r="J148" s="5"/>
      <c r="L148" s="9"/>
      <c r="N148" s="9"/>
    </row>
    <row r="149" spans="1:14" ht="15" x14ac:dyDescent="0.25">
      <c r="A149" s="308" t="s">
        <v>1061</v>
      </c>
      <c r="B149" s="89" t="s">
        <v>1062</v>
      </c>
      <c r="C149" s="11"/>
      <c r="D149" s="11"/>
      <c r="E149" s="19"/>
      <c r="J149" s="5"/>
      <c r="L149" s="9"/>
      <c r="N149" s="9"/>
    </row>
    <row r="150" spans="1:14" ht="15" x14ac:dyDescent="0.25">
      <c r="A150" s="308" t="s">
        <v>1063</v>
      </c>
      <c r="B150" s="89" t="s">
        <v>1064</v>
      </c>
      <c r="C150" s="11"/>
      <c r="D150" s="11"/>
      <c r="E150" s="19"/>
      <c r="J150" s="5"/>
      <c r="L150" s="9"/>
      <c r="N150" s="9"/>
    </row>
    <row r="151" spans="1:14" ht="15" x14ac:dyDescent="0.25">
      <c r="A151" s="308" t="s">
        <v>1065</v>
      </c>
      <c r="B151" s="89" t="s">
        <v>1066</v>
      </c>
      <c r="C151" s="14"/>
      <c r="D151" s="14"/>
      <c r="E151" s="19"/>
      <c r="J151" s="5"/>
      <c r="L151" s="9"/>
      <c r="N151" s="9"/>
    </row>
    <row r="152" spans="1:14" ht="15" x14ac:dyDescent="0.25">
      <c r="A152" s="308" t="s">
        <v>1067</v>
      </c>
      <c r="B152" s="89" t="s">
        <v>1068</v>
      </c>
      <c r="C152" s="11"/>
      <c r="D152" s="11"/>
      <c r="E152" s="19"/>
      <c r="J152" s="5"/>
      <c r="L152" s="9"/>
      <c r="N152" s="9"/>
    </row>
    <row r="153" spans="1:14" ht="30" x14ac:dyDescent="0.25">
      <c r="A153" s="308" t="s">
        <v>1069</v>
      </c>
      <c r="B153" s="89" t="s">
        <v>1070</v>
      </c>
      <c r="C153" s="11"/>
      <c r="D153" s="11"/>
      <c r="E153" s="19"/>
      <c r="J153" s="5"/>
      <c r="L153" s="9"/>
      <c r="N153" s="9"/>
    </row>
    <row r="154" spans="1:14" ht="15" x14ac:dyDescent="0.25">
      <c r="A154" s="308" t="s">
        <v>1071</v>
      </c>
      <c r="B154" s="89" t="s">
        <v>1072</v>
      </c>
      <c r="C154" s="11"/>
      <c r="D154" s="11"/>
      <c r="E154" s="15"/>
      <c r="J154" s="5"/>
      <c r="L154" s="9"/>
      <c r="N154" s="9"/>
    </row>
    <row r="155" spans="1:14" ht="15" x14ac:dyDescent="0.25">
      <c r="A155" s="308" t="s">
        <v>1073</v>
      </c>
      <c r="B155" s="89" t="s">
        <v>1074</v>
      </c>
      <c r="C155" s="11"/>
      <c r="D155" s="11"/>
      <c r="E155" s="15"/>
      <c r="J155" s="5"/>
      <c r="L155" s="9"/>
      <c r="N155" s="9"/>
    </row>
    <row r="156" spans="1:14" ht="15" x14ac:dyDescent="0.25">
      <c r="A156" s="308" t="s">
        <v>1075</v>
      </c>
      <c r="B156" s="89" t="s">
        <v>1076</v>
      </c>
      <c r="C156" s="14"/>
      <c r="D156" s="14"/>
      <c r="E156" s="19"/>
      <c r="J156" s="5"/>
      <c r="L156" s="9"/>
      <c r="N156" s="9"/>
    </row>
    <row r="157" spans="1:14" ht="15" x14ac:dyDescent="0.25">
      <c r="A157" s="308" t="s">
        <v>1077</v>
      </c>
      <c r="B157" s="89" t="s">
        <v>1078</v>
      </c>
      <c r="C157" s="11"/>
      <c r="D157" s="11"/>
      <c r="E157" s="19"/>
      <c r="J157" s="5"/>
      <c r="L157" s="9"/>
      <c r="N157" s="9"/>
    </row>
    <row r="158" spans="1:14" ht="15" x14ac:dyDescent="0.25">
      <c r="A158" s="308" t="s">
        <v>740</v>
      </c>
      <c r="B158" s="89" t="s">
        <v>1079</v>
      </c>
      <c r="C158" s="11"/>
      <c r="D158" s="11"/>
      <c r="E158" s="19"/>
      <c r="J158" s="5"/>
      <c r="L158" s="9"/>
      <c r="N158" s="9"/>
    </row>
    <row r="159" spans="1:14" ht="15" x14ac:dyDescent="0.25">
      <c r="A159" s="308" t="s">
        <v>1080</v>
      </c>
      <c r="B159" s="89" t="s">
        <v>1081</v>
      </c>
      <c r="E159" s="19"/>
      <c r="J159" s="5"/>
      <c r="L159" s="9"/>
      <c r="N159" s="9"/>
    </row>
    <row r="160" spans="1:14" ht="15" x14ac:dyDescent="0.25">
      <c r="A160" s="308" t="s">
        <v>718</v>
      </c>
      <c r="B160" s="89" t="s">
        <v>1082</v>
      </c>
      <c r="C160" s="11"/>
      <c r="D160" s="11"/>
      <c r="E160" s="19"/>
      <c r="J160" s="5"/>
      <c r="L160" s="9"/>
      <c r="N160" s="9"/>
    </row>
    <row r="161" spans="1:14" ht="15" x14ac:dyDescent="0.25">
      <c r="A161" s="308" t="s">
        <v>1083</v>
      </c>
      <c r="B161" s="89" t="s">
        <v>1084</v>
      </c>
      <c r="C161" s="14"/>
      <c r="D161" s="14"/>
      <c r="E161" s="19"/>
      <c r="J161" s="5"/>
      <c r="L161" s="9"/>
      <c r="N161" s="9"/>
    </row>
    <row r="162" spans="1:14" ht="15" x14ac:dyDescent="0.25">
      <c r="A162" s="308" t="s">
        <v>1085</v>
      </c>
      <c r="B162" s="89" t="s">
        <v>1086</v>
      </c>
      <c r="C162" s="11"/>
      <c r="D162" s="11"/>
      <c r="E162" s="19"/>
      <c r="J162" s="5"/>
      <c r="L162" s="9"/>
      <c r="N162" s="9"/>
    </row>
    <row r="163" spans="1:14" ht="15" x14ac:dyDescent="0.25">
      <c r="A163" s="308" t="s">
        <v>1087</v>
      </c>
      <c r="B163" s="89" t="s">
        <v>1088</v>
      </c>
      <c r="C163" s="11"/>
      <c r="D163" s="11"/>
      <c r="E163" s="19"/>
      <c r="J163" s="5"/>
      <c r="L163" s="9"/>
      <c r="N163" s="9"/>
    </row>
    <row r="164" spans="1:14" ht="15" x14ac:dyDescent="0.25">
      <c r="A164" s="308" t="s">
        <v>1089</v>
      </c>
      <c r="B164" s="89" t="s">
        <v>1090</v>
      </c>
      <c r="C164" s="11"/>
      <c r="D164" s="11"/>
      <c r="E164" s="19"/>
      <c r="J164" s="5"/>
      <c r="L164" s="9"/>
      <c r="N164" s="9"/>
    </row>
    <row r="165" spans="1:14" ht="15" x14ac:dyDescent="0.25">
      <c r="A165" s="308" t="s">
        <v>1091</v>
      </c>
      <c r="B165" s="89" t="s">
        <v>1092</v>
      </c>
      <c r="C165" s="11"/>
      <c r="D165" s="11"/>
      <c r="E165" s="19"/>
      <c r="J165" s="5"/>
      <c r="L165" s="9"/>
      <c r="N165" s="9"/>
    </row>
    <row r="166" spans="1:14" ht="15" x14ac:dyDescent="0.25">
      <c r="A166" s="308" t="s">
        <v>713</v>
      </c>
      <c r="B166" s="89" t="s">
        <v>1093</v>
      </c>
      <c r="C166" s="11"/>
      <c r="D166" s="11"/>
      <c r="E166" s="19"/>
      <c r="J166" s="5"/>
      <c r="L166" s="9"/>
      <c r="N166" s="9"/>
    </row>
    <row r="167" spans="1:14" ht="15" x14ac:dyDescent="0.25">
      <c r="A167" s="308" t="s">
        <v>1094</v>
      </c>
      <c r="B167" s="89" t="s">
        <v>1095</v>
      </c>
      <c r="C167" s="11"/>
      <c r="D167" s="11"/>
      <c r="E167" s="19"/>
      <c r="J167" s="5"/>
      <c r="L167" s="9"/>
      <c r="N167" s="9"/>
    </row>
    <row r="168" spans="1:14" ht="15" x14ac:dyDescent="0.25">
      <c r="A168" s="308" t="s">
        <v>1096</v>
      </c>
      <c r="B168" s="89" t="s">
        <v>1097</v>
      </c>
      <c r="C168" s="11"/>
      <c r="D168" s="11"/>
      <c r="E168" s="19"/>
      <c r="J168" s="5"/>
      <c r="L168" s="9"/>
      <c r="N168" s="9"/>
    </row>
    <row r="169" spans="1:14" ht="15" x14ac:dyDescent="0.25">
      <c r="A169" s="308" t="s">
        <v>1098</v>
      </c>
      <c r="B169" s="89" t="s">
        <v>1099</v>
      </c>
      <c r="C169" s="11"/>
      <c r="D169" s="11"/>
      <c r="E169" s="19"/>
      <c r="J169" s="5"/>
      <c r="L169" s="9"/>
      <c r="N169" s="9"/>
    </row>
    <row r="170" spans="1:14" ht="15" x14ac:dyDescent="0.25">
      <c r="A170" s="308" t="s">
        <v>732</v>
      </c>
      <c r="B170" s="89" t="s">
        <v>1100</v>
      </c>
      <c r="C170" s="11"/>
      <c r="D170" s="11"/>
      <c r="E170" s="19"/>
      <c r="J170" s="5"/>
      <c r="L170" s="9"/>
      <c r="N170" s="9"/>
    </row>
    <row r="171" spans="1:14" ht="15" x14ac:dyDescent="0.25">
      <c r="A171" s="308" t="s">
        <v>1101</v>
      </c>
      <c r="B171" s="89" t="s">
        <v>1102</v>
      </c>
      <c r="C171" s="11"/>
      <c r="D171" s="11"/>
      <c r="E171" s="19"/>
      <c r="J171" s="5"/>
      <c r="L171" s="9"/>
      <c r="N171" s="9"/>
    </row>
    <row r="172" spans="1:14" ht="15" x14ac:dyDescent="0.25">
      <c r="A172" s="308" t="s">
        <v>1103</v>
      </c>
      <c r="B172" s="89" t="s">
        <v>1104</v>
      </c>
      <c r="C172" s="11"/>
      <c r="D172" s="11"/>
      <c r="E172" s="19"/>
      <c r="J172" s="5"/>
      <c r="L172" s="9"/>
      <c r="N172" s="9"/>
    </row>
    <row r="173" spans="1:14" ht="15" x14ac:dyDescent="0.25">
      <c r="A173" s="308" t="s">
        <v>1105</v>
      </c>
      <c r="B173" s="89" t="s">
        <v>1106</v>
      </c>
      <c r="C173" s="11"/>
      <c r="D173" s="11"/>
      <c r="E173" s="19"/>
      <c r="J173" s="5"/>
      <c r="L173" s="9"/>
      <c r="N173" s="9"/>
    </row>
    <row r="174" spans="1:14" ht="15" x14ac:dyDescent="0.25">
      <c r="A174" s="308" t="s">
        <v>1107</v>
      </c>
      <c r="B174" s="89" t="s">
        <v>1108</v>
      </c>
      <c r="C174" s="11"/>
      <c r="D174" s="11"/>
      <c r="E174" s="19"/>
      <c r="J174" s="5"/>
      <c r="L174" s="9"/>
      <c r="N174" s="9"/>
    </row>
    <row r="175" spans="1:14" ht="15" x14ac:dyDescent="0.25">
      <c r="A175" s="308" t="s">
        <v>1109</v>
      </c>
      <c r="B175" s="89" t="s">
        <v>1110</v>
      </c>
      <c r="C175" s="11"/>
      <c r="D175" s="11"/>
      <c r="E175" s="19"/>
      <c r="J175" s="5"/>
      <c r="L175" s="9"/>
      <c r="N175" s="9"/>
    </row>
    <row r="176" spans="1:14" ht="15" x14ac:dyDescent="0.25">
      <c r="A176" s="308" t="s">
        <v>1111</v>
      </c>
      <c r="B176" s="89" t="s">
        <v>1112</v>
      </c>
      <c r="C176" s="11"/>
      <c r="D176" s="11"/>
      <c r="E176" s="19"/>
      <c r="J176" s="5"/>
      <c r="L176" s="9"/>
      <c r="N176" s="9"/>
    </row>
    <row r="177" spans="1:14" ht="15" x14ac:dyDescent="0.25">
      <c r="A177" s="308" t="s">
        <v>1113</v>
      </c>
      <c r="B177" s="89" t="s">
        <v>1114</v>
      </c>
      <c r="C177" s="11"/>
      <c r="D177" s="11"/>
      <c r="E177" s="19"/>
      <c r="J177" s="5"/>
      <c r="L177" s="9"/>
      <c r="N177" s="9"/>
    </row>
    <row r="178" spans="1:14" ht="15" x14ac:dyDescent="0.25">
      <c r="A178" s="308" t="s">
        <v>1115</v>
      </c>
      <c r="B178" s="89" t="s">
        <v>1116</v>
      </c>
      <c r="C178" s="11"/>
      <c r="D178" s="11"/>
      <c r="E178" s="19"/>
      <c r="J178" s="5"/>
      <c r="L178" s="9"/>
      <c r="N178" s="9"/>
    </row>
    <row r="179" spans="1:14" ht="15" x14ac:dyDescent="0.25">
      <c r="A179" s="308" t="s">
        <v>359</v>
      </c>
      <c r="B179" s="89" t="s">
        <v>1117</v>
      </c>
      <c r="C179" s="11"/>
      <c r="D179" s="11"/>
      <c r="E179" s="19"/>
      <c r="J179" s="5"/>
      <c r="L179" s="9"/>
      <c r="N179" s="9"/>
    </row>
    <row r="180" spans="1:14" ht="15" x14ac:dyDescent="0.25">
      <c r="A180" s="308" t="s">
        <v>1118</v>
      </c>
      <c r="B180" s="89" t="s">
        <v>1119</v>
      </c>
      <c r="C180" s="11"/>
      <c r="D180" s="11"/>
      <c r="E180" s="19"/>
      <c r="J180" s="5"/>
      <c r="L180" s="9"/>
      <c r="N180" s="9"/>
    </row>
    <row r="181" spans="1:14" ht="15" x14ac:dyDescent="0.25">
      <c r="A181" s="308" t="s">
        <v>1120</v>
      </c>
      <c r="B181" s="89" t="s">
        <v>1121</v>
      </c>
      <c r="C181" s="11"/>
      <c r="D181" s="11"/>
      <c r="E181" s="19"/>
      <c r="J181" s="5"/>
      <c r="L181" s="9"/>
      <c r="N181" s="9"/>
    </row>
    <row r="182" spans="1:14" ht="15" x14ac:dyDescent="0.25">
      <c r="A182" s="308" t="s">
        <v>1122</v>
      </c>
      <c r="B182" s="89" t="s">
        <v>1123</v>
      </c>
      <c r="C182" s="11"/>
      <c r="D182" s="11"/>
      <c r="E182" s="19"/>
      <c r="J182" s="5"/>
      <c r="L182" s="9"/>
      <c r="N182" s="9"/>
    </row>
    <row r="183" spans="1:14" ht="15" x14ac:dyDescent="0.25">
      <c r="A183" s="308" t="s">
        <v>1124</v>
      </c>
      <c r="B183" s="89" t="s">
        <v>1125</v>
      </c>
      <c r="C183" s="11"/>
      <c r="D183" s="11"/>
      <c r="E183" s="19"/>
      <c r="J183" s="5"/>
      <c r="L183" s="9"/>
      <c r="N183" s="9"/>
    </row>
    <row r="184" spans="1:14" ht="30" x14ac:dyDescent="0.25">
      <c r="A184" s="308" t="s">
        <v>1126</v>
      </c>
      <c r="B184" s="89" t="s">
        <v>1127</v>
      </c>
      <c r="C184" s="11"/>
      <c r="D184" s="11"/>
      <c r="E184" s="19"/>
      <c r="J184" s="5"/>
      <c r="L184" s="9"/>
      <c r="N184" s="9"/>
    </row>
    <row r="185" spans="1:14" ht="15" x14ac:dyDescent="0.25">
      <c r="A185" s="308" t="s">
        <v>1128</v>
      </c>
      <c r="B185" s="89" t="s">
        <v>1129</v>
      </c>
      <c r="C185" s="11"/>
      <c r="D185" s="11"/>
      <c r="E185" s="19"/>
      <c r="J185" s="5"/>
      <c r="L185" s="9"/>
      <c r="N185" s="9"/>
    </row>
    <row r="186" spans="1:14" ht="15" x14ac:dyDescent="0.25">
      <c r="A186" s="308" t="s">
        <v>1130</v>
      </c>
      <c r="B186" s="89" t="s">
        <v>1131</v>
      </c>
      <c r="C186" s="11"/>
      <c r="D186" s="11"/>
      <c r="E186" s="19"/>
      <c r="J186" s="5"/>
      <c r="L186" s="9"/>
      <c r="N186" s="9"/>
    </row>
    <row r="187" spans="1:14" ht="15" x14ac:dyDescent="0.25">
      <c r="A187" s="308" t="s">
        <v>358</v>
      </c>
      <c r="B187" s="89" t="s">
        <v>1132</v>
      </c>
      <c r="C187" s="11"/>
      <c r="D187" s="11"/>
      <c r="E187" s="19"/>
      <c r="J187" s="5"/>
      <c r="L187" s="9"/>
      <c r="N187" s="9"/>
    </row>
    <row r="188" spans="1:14" ht="15" x14ac:dyDescent="0.25">
      <c r="A188" s="308" t="s">
        <v>1133</v>
      </c>
      <c r="B188" s="89" t="s">
        <v>1134</v>
      </c>
      <c r="C188" s="11"/>
      <c r="D188" s="11"/>
      <c r="E188" s="19"/>
      <c r="J188" s="5"/>
      <c r="L188" s="9"/>
      <c r="N188" s="9"/>
    </row>
    <row r="189" spans="1:14" ht="15" x14ac:dyDescent="0.25">
      <c r="A189" s="308" t="s">
        <v>1135</v>
      </c>
      <c r="B189" s="89" t="s">
        <v>1136</v>
      </c>
      <c r="C189" s="11"/>
      <c r="D189" s="11"/>
      <c r="E189" s="19"/>
      <c r="J189" s="5"/>
      <c r="L189" s="9"/>
      <c r="N189" s="9"/>
    </row>
    <row r="190" spans="1:14" ht="15" x14ac:dyDescent="0.25">
      <c r="A190" s="308" t="s">
        <v>1137</v>
      </c>
      <c r="B190" s="89" t="s">
        <v>1138</v>
      </c>
      <c r="C190" s="11"/>
      <c r="D190" s="11"/>
      <c r="E190" s="19"/>
      <c r="J190" s="5"/>
      <c r="L190" s="9"/>
      <c r="N190" s="9"/>
    </row>
    <row r="191" spans="1:14" ht="15" x14ac:dyDescent="0.25">
      <c r="A191" s="308" t="s">
        <v>1139</v>
      </c>
      <c r="B191" s="89" t="s">
        <v>1140</v>
      </c>
      <c r="C191" s="11"/>
      <c r="D191" s="11"/>
      <c r="E191" s="19"/>
      <c r="J191" s="5"/>
      <c r="L191" s="9"/>
      <c r="N191" s="9"/>
    </row>
    <row r="192" spans="1:14" ht="15" x14ac:dyDescent="0.25">
      <c r="A192" s="308" t="s">
        <v>1141</v>
      </c>
      <c r="B192" s="89" t="s">
        <v>1142</v>
      </c>
      <c r="C192" s="11"/>
      <c r="D192" s="11"/>
      <c r="E192" s="19"/>
      <c r="J192" s="5"/>
      <c r="L192" s="9"/>
      <c r="N192" s="9"/>
    </row>
    <row r="193" spans="1:14" ht="15" x14ac:dyDescent="0.25">
      <c r="A193" s="308" t="s">
        <v>1143</v>
      </c>
      <c r="B193" s="89" t="s">
        <v>1144</v>
      </c>
      <c r="C193" s="11"/>
      <c r="D193" s="11"/>
      <c r="E193" s="19"/>
      <c r="J193" s="5"/>
      <c r="L193" s="9"/>
      <c r="N193" s="9"/>
    </row>
    <row r="194" spans="1:14" ht="15" x14ac:dyDescent="0.25">
      <c r="A194" s="308" t="s">
        <v>1145</v>
      </c>
      <c r="B194" s="89" t="s">
        <v>1146</v>
      </c>
      <c r="C194" s="11"/>
      <c r="D194" s="11"/>
      <c r="E194" s="19"/>
      <c r="J194" s="5"/>
      <c r="L194" s="9"/>
      <c r="N194" s="9"/>
    </row>
    <row r="195" spans="1:14" ht="15" x14ac:dyDescent="0.25">
      <c r="A195" s="308" t="s">
        <v>736</v>
      </c>
      <c r="B195" s="89" t="s">
        <v>1147</v>
      </c>
      <c r="C195" s="11"/>
      <c r="D195" s="11"/>
      <c r="E195" s="19"/>
      <c r="J195" s="5"/>
      <c r="L195" s="9"/>
      <c r="N195" s="9"/>
    </row>
    <row r="196" spans="1:14" ht="15" x14ac:dyDescent="0.25">
      <c r="A196" s="308" t="s">
        <v>1148</v>
      </c>
      <c r="B196" s="89" t="s">
        <v>1149</v>
      </c>
      <c r="C196" s="11"/>
      <c r="D196" s="11"/>
      <c r="E196" s="19"/>
      <c r="J196" s="5"/>
      <c r="L196" s="9"/>
      <c r="N196" s="9"/>
    </row>
    <row r="197" spans="1:14" ht="15" x14ac:dyDescent="0.25">
      <c r="A197" s="308" t="s">
        <v>1150</v>
      </c>
      <c r="B197" s="89" t="s">
        <v>1151</v>
      </c>
      <c r="C197" s="11"/>
      <c r="D197" s="11"/>
      <c r="E197" s="19"/>
      <c r="J197" s="5"/>
      <c r="L197" s="9"/>
      <c r="N197" s="9"/>
    </row>
    <row r="198" spans="1:14" ht="15" x14ac:dyDescent="0.25">
      <c r="A198" s="308" t="s">
        <v>1152</v>
      </c>
      <c r="B198" s="89" t="s">
        <v>1153</v>
      </c>
      <c r="C198" s="11"/>
      <c r="D198" s="11"/>
      <c r="E198" s="19"/>
      <c r="J198" s="5"/>
      <c r="L198" s="9"/>
      <c r="N198" s="9"/>
    </row>
    <row r="199" spans="1:14" ht="15" x14ac:dyDescent="0.25">
      <c r="A199" s="308" t="s">
        <v>1154</v>
      </c>
      <c r="B199" s="89" t="s">
        <v>1155</v>
      </c>
      <c r="C199" s="11"/>
      <c r="D199" s="11"/>
      <c r="E199" s="19"/>
      <c r="J199" s="5"/>
      <c r="L199" s="9"/>
      <c r="N199" s="9"/>
    </row>
    <row r="200" spans="1:14" ht="15" x14ac:dyDescent="0.25">
      <c r="A200" s="308" t="s">
        <v>1156</v>
      </c>
      <c r="B200" s="89" t="s">
        <v>1157</v>
      </c>
      <c r="C200" s="11"/>
      <c r="D200" s="11"/>
      <c r="E200" s="19"/>
      <c r="J200" s="5"/>
      <c r="L200" s="9"/>
      <c r="N200" s="9"/>
    </row>
    <row r="201" spans="1:14" ht="15" x14ac:dyDescent="0.25">
      <c r="A201" s="308" t="s">
        <v>1158</v>
      </c>
      <c r="B201" s="89" t="s">
        <v>1159</v>
      </c>
      <c r="C201" s="11"/>
      <c r="D201" s="11"/>
      <c r="E201" s="19"/>
      <c r="J201" s="5"/>
      <c r="L201" s="9"/>
      <c r="N201" s="9"/>
    </row>
    <row r="202" spans="1:14" ht="15" x14ac:dyDescent="0.25">
      <c r="A202" s="308" t="s">
        <v>1160</v>
      </c>
      <c r="B202" s="89" t="s">
        <v>1161</v>
      </c>
      <c r="C202" s="11"/>
      <c r="D202" s="11"/>
      <c r="E202" s="19"/>
      <c r="J202" s="5"/>
      <c r="L202" s="9"/>
      <c r="N202" s="9"/>
    </row>
    <row r="203" spans="1:14" ht="45" x14ac:dyDescent="0.25">
      <c r="A203" s="308" t="s">
        <v>1162</v>
      </c>
      <c r="B203" s="89" t="s">
        <v>1163</v>
      </c>
      <c r="C203" s="11"/>
      <c r="D203" s="11"/>
      <c r="E203" s="19"/>
      <c r="J203" s="5"/>
      <c r="L203" s="9"/>
      <c r="N203" s="9"/>
    </row>
    <row r="204" spans="1:14" ht="15" x14ac:dyDescent="0.25">
      <c r="A204" s="308" t="s">
        <v>1164</v>
      </c>
      <c r="B204" s="89" t="s">
        <v>1165</v>
      </c>
      <c r="C204" s="11"/>
      <c r="D204" s="11"/>
      <c r="E204" s="19"/>
      <c r="J204" s="5"/>
      <c r="L204" s="9"/>
      <c r="N204" s="9"/>
    </row>
    <row r="205" spans="1:14" ht="30" x14ac:dyDescent="0.25">
      <c r="A205" s="308" t="s">
        <v>1166</v>
      </c>
      <c r="B205" s="89" t="s">
        <v>1167</v>
      </c>
      <c r="C205" s="11"/>
      <c r="D205" s="11"/>
      <c r="E205" s="19"/>
      <c r="J205" s="5"/>
      <c r="L205" s="9"/>
      <c r="N205" s="9"/>
    </row>
    <row r="206" spans="1:14" ht="15" x14ac:dyDescent="0.25">
      <c r="A206" s="308" t="s">
        <v>1168</v>
      </c>
      <c r="B206" s="89" t="s">
        <v>1169</v>
      </c>
      <c r="C206" s="11"/>
      <c r="D206" s="11"/>
      <c r="E206" s="19"/>
      <c r="J206" s="5"/>
      <c r="L206" s="9"/>
      <c r="N206" s="9"/>
    </row>
    <row r="207" spans="1:14" ht="15" x14ac:dyDescent="0.25">
      <c r="A207" s="308" t="s">
        <v>1170</v>
      </c>
      <c r="B207" s="89" t="s">
        <v>1171</v>
      </c>
      <c r="C207" s="11"/>
      <c r="D207" s="11"/>
      <c r="E207" s="19"/>
      <c r="J207" s="5"/>
      <c r="L207" s="9"/>
      <c r="N207" s="9"/>
    </row>
    <row r="208" spans="1:14" ht="15" x14ac:dyDescent="0.25">
      <c r="A208" s="308" t="s">
        <v>1172</v>
      </c>
      <c r="B208" s="89" t="s">
        <v>1173</v>
      </c>
      <c r="C208" s="11"/>
      <c r="D208" s="11"/>
      <c r="E208" s="19"/>
      <c r="J208" s="5"/>
      <c r="L208" s="9"/>
      <c r="N208" s="9"/>
    </row>
    <row r="209" spans="1:14" ht="15" x14ac:dyDescent="0.25">
      <c r="A209" s="308" t="s">
        <v>1174</v>
      </c>
      <c r="B209" s="89" t="s">
        <v>1175</v>
      </c>
      <c r="C209" s="11"/>
      <c r="D209" s="11"/>
      <c r="E209" s="19"/>
      <c r="J209" s="5"/>
      <c r="L209" s="9"/>
      <c r="N209" s="9"/>
    </row>
    <row r="210" spans="1:14" ht="15" x14ac:dyDescent="0.25">
      <c r="A210" s="308" t="s">
        <v>1176</v>
      </c>
      <c r="B210" s="89" t="s">
        <v>1177</v>
      </c>
      <c r="C210" s="11"/>
      <c r="D210" s="11"/>
      <c r="E210" s="19"/>
      <c r="J210" s="5"/>
      <c r="L210" s="9"/>
      <c r="N210" s="9"/>
    </row>
    <row r="211" spans="1:14" ht="15" x14ac:dyDescent="0.25">
      <c r="A211" s="308" t="s">
        <v>1178</v>
      </c>
      <c r="B211" s="89" t="s">
        <v>1179</v>
      </c>
      <c r="C211" s="11"/>
      <c r="D211" s="11"/>
      <c r="E211" s="19"/>
      <c r="J211" s="5"/>
      <c r="L211" s="9"/>
      <c r="N211" s="9"/>
    </row>
    <row r="212" spans="1:14" ht="15" x14ac:dyDescent="0.25">
      <c r="A212" s="308" t="s">
        <v>1180</v>
      </c>
      <c r="B212" s="89" t="s">
        <v>1181</v>
      </c>
      <c r="C212" s="11"/>
      <c r="D212" s="11"/>
      <c r="E212" s="19"/>
      <c r="J212" s="5"/>
      <c r="L212" s="9"/>
      <c r="N212" s="9"/>
    </row>
    <row r="213" spans="1:14" ht="30" x14ac:dyDescent="0.25">
      <c r="A213" s="308" t="s">
        <v>1182</v>
      </c>
      <c r="B213" s="89" t="s">
        <v>1183</v>
      </c>
      <c r="C213" s="11"/>
      <c r="D213" s="11"/>
      <c r="E213" s="19"/>
      <c r="J213" s="5"/>
      <c r="L213" s="9"/>
      <c r="N213" s="9"/>
    </row>
    <row r="214" spans="1:14" ht="15" x14ac:dyDescent="0.25">
      <c r="A214" s="308" t="s">
        <v>1184</v>
      </c>
      <c r="B214" s="89" t="s">
        <v>1185</v>
      </c>
      <c r="C214" s="11"/>
      <c r="D214" s="11"/>
      <c r="E214" s="19"/>
      <c r="J214" s="5"/>
      <c r="L214" s="9"/>
      <c r="N214" s="9"/>
    </row>
    <row r="215" spans="1:14" ht="30" x14ac:dyDescent="0.25">
      <c r="A215" s="308" t="s">
        <v>1186</v>
      </c>
      <c r="B215" s="89" t="s">
        <v>1187</v>
      </c>
      <c r="C215" s="11"/>
      <c r="D215" s="11"/>
      <c r="E215" s="19"/>
      <c r="J215" s="5"/>
      <c r="L215" s="9"/>
      <c r="N215" s="9"/>
    </row>
    <row r="216" spans="1:14" ht="15" x14ac:dyDescent="0.25">
      <c r="A216" s="308" t="s">
        <v>1188</v>
      </c>
      <c r="B216" s="89" t="s">
        <v>1189</v>
      </c>
      <c r="C216" s="11"/>
      <c r="D216" s="11"/>
      <c r="E216" s="19"/>
      <c r="J216" s="5"/>
      <c r="L216" s="9"/>
      <c r="N216" s="9"/>
    </row>
    <row r="217" spans="1:14" ht="15" x14ac:dyDescent="0.25">
      <c r="A217" s="308" t="s">
        <v>1190</v>
      </c>
      <c r="B217" s="89" t="s">
        <v>1191</v>
      </c>
      <c r="C217" s="11"/>
      <c r="D217" s="11"/>
      <c r="E217" s="19"/>
      <c r="J217" s="5"/>
      <c r="L217" s="9"/>
      <c r="N217" s="9"/>
    </row>
    <row r="218" spans="1:14" ht="30" x14ac:dyDescent="0.25">
      <c r="A218" s="308" t="s">
        <v>1192</v>
      </c>
      <c r="B218" s="89" t="s">
        <v>1193</v>
      </c>
      <c r="C218" s="11"/>
      <c r="D218" s="11"/>
      <c r="E218" s="19"/>
      <c r="J218" s="5"/>
      <c r="L218" s="9"/>
      <c r="N218" s="9"/>
    </row>
    <row r="219" spans="1:14" ht="15" x14ac:dyDescent="0.25">
      <c r="A219" s="308" t="s">
        <v>1194</v>
      </c>
      <c r="B219" s="89" t="s">
        <v>1195</v>
      </c>
      <c r="C219" s="11"/>
      <c r="D219" s="11"/>
      <c r="E219" s="19"/>
      <c r="J219" s="5"/>
      <c r="L219" s="9"/>
      <c r="N219" s="9"/>
    </row>
    <row r="220" spans="1:14" ht="30" x14ac:dyDescent="0.25">
      <c r="A220" s="308" t="s">
        <v>1196</v>
      </c>
      <c r="B220" s="89" t="s">
        <v>1197</v>
      </c>
      <c r="C220" s="11"/>
      <c r="D220" s="11"/>
      <c r="E220" s="19"/>
      <c r="J220" s="5"/>
      <c r="L220" s="9"/>
      <c r="N220" s="9"/>
    </row>
    <row r="221" spans="1:14" ht="15" x14ac:dyDescent="0.25">
      <c r="A221" s="308" t="s">
        <v>1198</v>
      </c>
      <c r="B221" s="89" t="s">
        <v>1199</v>
      </c>
      <c r="C221" s="11"/>
      <c r="D221" s="11"/>
      <c r="E221" s="19"/>
      <c r="J221" s="5"/>
      <c r="L221" s="9"/>
      <c r="N221" s="9"/>
    </row>
    <row r="222" spans="1:14" ht="15" x14ac:dyDescent="0.25">
      <c r="A222" s="308" t="s">
        <v>1200</v>
      </c>
      <c r="B222" s="89" t="s">
        <v>1201</v>
      </c>
      <c r="C222" s="11"/>
      <c r="D222" s="11"/>
      <c r="E222" s="19"/>
      <c r="J222" s="5"/>
      <c r="L222" s="9"/>
      <c r="N222" s="9"/>
    </row>
    <row r="223" spans="1:14" ht="15" x14ac:dyDescent="0.25">
      <c r="A223" s="308" t="s">
        <v>1202</v>
      </c>
      <c r="B223" s="89" t="s">
        <v>1203</v>
      </c>
      <c r="C223" s="11"/>
      <c r="D223" s="11"/>
      <c r="E223" s="19"/>
      <c r="J223" s="5"/>
      <c r="L223" s="9"/>
      <c r="N223" s="9"/>
    </row>
    <row r="224" spans="1:14" ht="15" x14ac:dyDescent="0.25">
      <c r="A224" s="308" t="s">
        <v>1204</v>
      </c>
      <c r="B224" s="89" t="s">
        <v>1205</v>
      </c>
      <c r="C224" s="11"/>
      <c r="D224" s="11"/>
      <c r="E224" s="19"/>
      <c r="J224" s="5"/>
      <c r="L224" s="9"/>
      <c r="N224" s="9"/>
    </row>
    <row r="225" spans="1:14" ht="15" x14ac:dyDescent="0.25">
      <c r="A225" s="308" t="s">
        <v>1206</v>
      </c>
      <c r="B225" s="89" t="s">
        <v>1207</v>
      </c>
      <c r="C225" s="11"/>
      <c r="D225" s="11"/>
      <c r="E225" s="19"/>
      <c r="J225" s="5"/>
      <c r="L225" s="9"/>
      <c r="N225" s="9"/>
    </row>
    <row r="226" spans="1:14" ht="15" x14ac:dyDescent="0.25">
      <c r="A226" s="308" t="s">
        <v>1208</v>
      </c>
      <c r="B226" s="89" t="s">
        <v>1209</v>
      </c>
      <c r="C226" s="11"/>
      <c r="D226" s="11"/>
      <c r="E226" s="19"/>
      <c r="J226" s="5"/>
      <c r="L226" s="9"/>
      <c r="N226" s="9"/>
    </row>
    <row r="227" spans="1:14" ht="15" x14ac:dyDescent="0.25">
      <c r="A227" s="308" t="s">
        <v>1210</v>
      </c>
      <c r="B227" s="89" t="s">
        <v>1211</v>
      </c>
      <c r="C227" s="11"/>
      <c r="D227" s="11"/>
      <c r="E227" s="19"/>
      <c r="J227" s="5"/>
      <c r="L227" s="9"/>
      <c r="N227" s="9"/>
    </row>
    <row r="228" spans="1:14" ht="15" x14ac:dyDescent="0.25">
      <c r="A228" s="308" t="s">
        <v>1212</v>
      </c>
      <c r="B228" s="89" t="s">
        <v>1213</v>
      </c>
      <c r="C228" s="11"/>
      <c r="D228" s="11"/>
      <c r="E228" s="19"/>
      <c r="J228" s="5"/>
      <c r="L228" s="9"/>
      <c r="N228" s="9"/>
    </row>
    <row r="229" spans="1:14" ht="15" x14ac:dyDescent="0.25">
      <c r="A229" s="308" t="s">
        <v>1214</v>
      </c>
      <c r="B229" s="89" t="s">
        <v>1215</v>
      </c>
      <c r="C229" s="11"/>
      <c r="D229" s="11"/>
      <c r="E229" s="19"/>
      <c r="J229" s="5"/>
      <c r="L229" s="9"/>
      <c r="N229" s="9"/>
    </row>
    <row r="230" spans="1:14" ht="15" x14ac:dyDescent="0.25">
      <c r="A230" s="308" t="s">
        <v>1216</v>
      </c>
      <c r="B230" s="89" t="s">
        <v>1217</v>
      </c>
      <c r="C230" s="11"/>
      <c r="D230" s="11"/>
      <c r="E230" s="19"/>
      <c r="J230" s="5"/>
      <c r="L230" s="9"/>
      <c r="N230" s="9"/>
    </row>
    <row r="231" spans="1:14" ht="15" x14ac:dyDescent="0.25">
      <c r="A231" s="308" t="s">
        <v>1218</v>
      </c>
      <c r="B231" s="89" t="s">
        <v>1219</v>
      </c>
      <c r="C231" s="11"/>
      <c r="D231" s="11"/>
      <c r="E231" s="19"/>
      <c r="J231" s="5"/>
      <c r="L231" s="9"/>
      <c r="N231" s="9"/>
    </row>
    <row r="232" spans="1:14" ht="30" x14ac:dyDescent="0.25">
      <c r="A232" s="308" t="s">
        <v>1220</v>
      </c>
      <c r="B232" s="89" t="s">
        <v>1221</v>
      </c>
      <c r="C232" s="11"/>
      <c r="D232" s="11"/>
      <c r="E232" s="19"/>
      <c r="J232" s="5"/>
      <c r="L232" s="9"/>
      <c r="N232" s="9"/>
    </row>
    <row r="233" spans="1:14" ht="30" x14ac:dyDescent="0.25">
      <c r="A233" s="308" t="s">
        <v>1222</v>
      </c>
      <c r="B233" s="89" t="s">
        <v>1223</v>
      </c>
      <c r="C233" s="11"/>
      <c r="D233" s="11"/>
      <c r="E233" s="19"/>
      <c r="J233" s="5"/>
      <c r="L233" s="9"/>
      <c r="N233" s="9"/>
    </row>
    <row r="234" spans="1:14" ht="15" x14ac:dyDescent="0.25">
      <c r="A234" s="308" t="s">
        <v>1224</v>
      </c>
      <c r="B234" s="89" t="s">
        <v>1225</v>
      </c>
      <c r="C234" s="11"/>
      <c r="D234" s="11"/>
      <c r="E234" s="19"/>
      <c r="J234" s="5"/>
      <c r="L234" s="9"/>
      <c r="N234" s="9"/>
    </row>
    <row r="235" spans="1:14" ht="15" x14ac:dyDescent="0.25">
      <c r="A235" s="308" t="s">
        <v>1226</v>
      </c>
      <c r="B235" s="89" t="s">
        <v>1227</v>
      </c>
      <c r="C235" s="11"/>
      <c r="D235" s="11"/>
      <c r="E235" s="19"/>
      <c r="J235" s="5"/>
      <c r="L235" s="9"/>
      <c r="N235" s="9"/>
    </row>
    <row r="236" spans="1:14" ht="30" x14ac:dyDescent="0.25">
      <c r="A236" s="308" t="s">
        <v>1228</v>
      </c>
      <c r="B236" s="89" t="s">
        <v>1229</v>
      </c>
      <c r="C236" s="11"/>
      <c r="D236" s="11"/>
      <c r="E236" s="19"/>
      <c r="J236" s="5"/>
      <c r="L236" s="9"/>
      <c r="N236" s="9"/>
    </row>
    <row r="237" spans="1:14" ht="30" x14ac:dyDescent="0.25">
      <c r="A237" s="308" t="s">
        <v>372</v>
      </c>
      <c r="B237" s="89" t="s">
        <v>1230</v>
      </c>
      <c r="C237" s="11"/>
      <c r="D237" s="11"/>
      <c r="E237" s="19"/>
      <c r="J237" s="5"/>
      <c r="L237" s="9"/>
      <c r="N237" s="9"/>
    </row>
    <row r="238" spans="1:14" ht="15" x14ac:dyDescent="0.25">
      <c r="A238" s="308" t="s">
        <v>1231</v>
      </c>
      <c r="B238" s="89" t="s">
        <v>1232</v>
      </c>
      <c r="C238" s="11"/>
      <c r="D238" s="11"/>
      <c r="E238" s="19"/>
      <c r="J238" s="5"/>
      <c r="L238" s="9"/>
      <c r="N238" s="9"/>
    </row>
    <row r="239" spans="1:14" ht="15" x14ac:dyDescent="0.25">
      <c r="A239" s="308" t="s">
        <v>1233</v>
      </c>
      <c r="B239" s="89" t="s">
        <v>1234</v>
      </c>
      <c r="C239" s="11"/>
      <c r="D239" s="11"/>
      <c r="E239" s="19"/>
      <c r="J239" s="5"/>
      <c r="L239" s="9"/>
      <c r="N239" s="9"/>
    </row>
    <row r="240" spans="1:14" ht="15" x14ac:dyDescent="0.25">
      <c r="A240" s="308" t="s">
        <v>1235</v>
      </c>
      <c r="B240" s="89" t="s">
        <v>1236</v>
      </c>
      <c r="C240" s="11"/>
      <c r="D240" s="11"/>
      <c r="E240" s="19"/>
      <c r="J240" s="5"/>
      <c r="L240" s="9"/>
      <c r="N240" s="9"/>
    </row>
    <row r="241" spans="1:14" ht="30" x14ac:dyDescent="0.25">
      <c r="A241" s="308" t="s">
        <v>1237</v>
      </c>
      <c r="B241" s="89" t="s">
        <v>1238</v>
      </c>
      <c r="C241" s="11"/>
      <c r="D241" s="11"/>
      <c r="E241" s="19"/>
      <c r="J241" s="5"/>
      <c r="L241" s="9"/>
      <c r="N241" s="9"/>
    </row>
    <row r="242" spans="1:14" ht="45" x14ac:dyDescent="0.25">
      <c r="A242" s="308" t="s">
        <v>1239</v>
      </c>
      <c r="B242" s="89" t="s">
        <v>1240</v>
      </c>
      <c r="C242" s="11"/>
      <c r="D242" s="11"/>
      <c r="E242" s="19"/>
      <c r="J242" s="5"/>
      <c r="L242" s="9"/>
      <c r="N242" s="9"/>
    </row>
    <row r="243" spans="1:14" ht="30" x14ac:dyDescent="0.25">
      <c r="A243" s="308" t="s">
        <v>1241</v>
      </c>
      <c r="B243" s="89" t="s">
        <v>1242</v>
      </c>
      <c r="C243" s="11"/>
      <c r="D243" s="11"/>
      <c r="E243" s="19"/>
      <c r="J243" s="5"/>
      <c r="L243" s="9"/>
      <c r="N243" s="9"/>
    </row>
    <row r="244" spans="1:14" ht="15" x14ac:dyDescent="0.25">
      <c r="A244" s="308" t="s">
        <v>1243</v>
      </c>
      <c r="B244" s="89" t="s">
        <v>1244</v>
      </c>
      <c r="C244" s="14"/>
      <c r="D244" s="14"/>
      <c r="E244" s="19"/>
      <c r="J244" s="5"/>
      <c r="L244" s="9"/>
      <c r="N244" s="9"/>
    </row>
    <row r="245" spans="1:14" ht="15" x14ac:dyDescent="0.25">
      <c r="A245" s="308" t="s">
        <v>1245</v>
      </c>
      <c r="B245" s="89" t="s">
        <v>1246</v>
      </c>
      <c r="C245" s="11"/>
      <c r="D245" s="11"/>
      <c r="E245" s="19"/>
      <c r="J245" s="5"/>
      <c r="L245" s="9"/>
      <c r="N245" s="9"/>
    </row>
    <row r="246" spans="1:14" ht="15" x14ac:dyDescent="0.25">
      <c r="A246" s="308" t="s">
        <v>1247</v>
      </c>
      <c r="B246" s="89" t="s">
        <v>1248</v>
      </c>
      <c r="C246" s="11"/>
      <c r="D246" s="11"/>
      <c r="E246" s="19"/>
      <c r="J246" s="5"/>
      <c r="L246" s="9"/>
      <c r="N246" s="9"/>
    </row>
    <row r="247" spans="1:14" ht="15" x14ac:dyDescent="0.25">
      <c r="A247" s="308" t="s">
        <v>1249</v>
      </c>
      <c r="B247" s="89" t="s">
        <v>1250</v>
      </c>
      <c r="C247" s="11"/>
      <c r="D247" s="11"/>
      <c r="E247" s="19"/>
      <c r="J247" s="5"/>
      <c r="L247" s="9"/>
      <c r="N247" s="9"/>
    </row>
    <row r="248" spans="1:14" ht="15" x14ac:dyDescent="0.25">
      <c r="A248" s="308" t="s">
        <v>1251</v>
      </c>
      <c r="B248" s="89" t="s">
        <v>1252</v>
      </c>
      <c r="C248" s="11"/>
      <c r="D248" s="11"/>
      <c r="E248" s="19"/>
      <c r="J248" s="5"/>
      <c r="L248" s="9"/>
      <c r="N248" s="9"/>
    </row>
    <row r="249" spans="1:14" ht="15" x14ac:dyDescent="0.25">
      <c r="A249" s="308" t="s">
        <v>1253</v>
      </c>
      <c r="B249" s="89" t="s">
        <v>1254</v>
      </c>
      <c r="C249" s="11"/>
      <c r="D249" s="11"/>
      <c r="E249" s="19"/>
      <c r="J249" s="5"/>
      <c r="L249" s="9"/>
      <c r="N249" s="9"/>
    </row>
    <row r="250" spans="1:14" ht="15" x14ac:dyDescent="0.25">
      <c r="A250" s="308" t="s">
        <v>1255</v>
      </c>
      <c r="B250" s="89" t="s">
        <v>1256</v>
      </c>
      <c r="C250" s="11"/>
      <c r="D250" s="11"/>
      <c r="E250" s="19"/>
      <c r="J250" s="5"/>
      <c r="L250" s="9"/>
      <c r="N250" s="9"/>
    </row>
    <row r="251" spans="1:14" ht="15" x14ac:dyDescent="0.25">
      <c r="A251" s="308" t="s">
        <v>1257</v>
      </c>
      <c r="B251" s="89" t="s">
        <v>1258</v>
      </c>
      <c r="C251" s="11"/>
      <c r="D251" s="11"/>
      <c r="E251" s="19"/>
      <c r="J251" s="5"/>
      <c r="L251" s="9"/>
      <c r="N251" s="9"/>
    </row>
    <row r="252" spans="1:14" ht="15" x14ac:dyDescent="0.25">
      <c r="A252" s="308" t="s">
        <v>1259</v>
      </c>
      <c r="B252" s="89" t="s">
        <v>1260</v>
      </c>
      <c r="C252" s="11"/>
      <c r="D252" s="11"/>
      <c r="E252" s="19"/>
      <c r="J252" s="5"/>
      <c r="L252" s="9"/>
      <c r="N252" s="9"/>
    </row>
    <row r="253" spans="1:14" ht="15" x14ac:dyDescent="0.25">
      <c r="A253" s="308" t="s">
        <v>1261</v>
      </c>
      <c r="B253" s="89" t="s">
        <v>1262</v>
      </c>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38" activePane="bottomLeft" state="frozen"/>
      <selection activeCell="Q35" sqref="P35:Q35"/>
      <selection pane="bottomLeft" activeCell="B1" sqref="B1"/>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98" customFormat="1" ht="15" x14ac:dyDescent="0.25">
      <c r="A1" s="97" t="s">
        <v>46</v>
      </c>
      <c r="B1" s="210" t="s">
        <v>15</v>
      </c>
      <c r="C1" s="99" t="s">
        <v>47</v>
      </c>
      <c r="D1" s="211" t="s">
        <v>137</v>
      </c>
      <c r="E1" s="97" t="s">
        <v>215</v>
      </c>
      <c r="F1" s="210" t="s">
        <v>1265</v>
      </c>
      <c r="G1" s="97" t="s">
        <v>9</v>
      </c>
      <c r="H1" s="210"/>
      <c r="I1" s="94" t="s">
        <v>282</v>
      </c>
      <c r="J1" s="208" t="b">
        <v>0</v>
      </c>
    </row>
    <row r="2" spans="1:11" s="115" customFormat="1" ht="15" x14ac:dyDescent="0.25">
      <c r="A2" s="114" t="s">
        <v>456</v>
      </c>
      <c r="B2" s="155" t="s">
        <v>455</v>
      </c>
      <c r="C2" s="155" t="s">
        <v>204</v>
      </c>
      <c r="D2" s="155" t="s">
        <v>494</v>
      </c>
      <c r="F2" s="388" t="s">
        <v>381</v>
      </c>
      <c r="G2" s="389"/>
      <c r="H2" s="389"/>
      <c r="I2" s="390"/>
      <c r="J2" s="116"/>
      <c r="K2" s="117"/>
    </row>
    <row r="3" spans="1:11" s="115" customFormat="1" ht="15" x14ac:dyDescent="0.25">
      <c r="A3" s="155" t="s">
        <v>495</v>
      </c>
      <c r="B3" s="155" t="s">
        <v>452</v>
      </c>
      <c r="C3" s="155" t="s">
        <v>382</v>
      </c>
      <c r="D3" s="155" t="s">
        <v>454</v>
      </c>
      <c r="F3" s="118" t="s">
        <v>382</v>
      </c>
      <c r="G3" s="119"/>
      <c r="H3" s="119"/>
      <c r="I3" s="119"/>
      <c r="J3" s="116"/>
      <c r="K3" s="117"/>
    </row>
    <row r="4" spans="1:11" s="53" customFormat="1" ht="15" x14ac:dyDescent="0.25">
      <c r="A4" s="110" t="s">
        <v>6</v>
      </c>
      <c r="B4" s="110" t="s">
        <v>215</v>
      </c>
      <c r="C4" s="111" t="s">
        <v>9</v>
      </c>
      <c r="D4" s="112" t="s">
        <v>48</v>
      </c>
      <c r="E4" s="112" t="s">
        <v>383</v>
      </c>
      <c r="F4" s="120" t="s">
        <v>380</v>
      </c>
      <c r="G4" s="119"/>
      <c r="H4" s="119"/>
      <c r="I4" s="119"/>
      <c r="J4" s="54"/>
    </row>
    <row r="5" spans="1:11" customFormat="1" ht="15" x14ac:dyDescent="0.25">
      <c r="A5" s="90" t="s">
        <v>297</v>
      </c>
      <c r="B5" s="90" t="s">
        <v>298</v>
      </c>
      <c r="G5" s="119"/>
      <c r="H5" s="119"/>
      <c r="I5" s="119"/>
    </row>
    <row r="6" spans="1:11" customFormat="1" ht="15" x14ac:dyDescent="0.25">
      <c r="A6" s="90" t="s">
        <v>299</v>
      </c>
      <c r="B6" s="90" t="s">
        <v>300</v>
      </c>
      <c r="G6" s="119"/>
      <c r="H6" s="119"/>
      <c r="I6" s="119"/>
    </row>
    <row r="7" spans="1:11" customFormat="1" ht="15" x14ac:dyDescent="0.25">
      <c r="A7" s="90" t="s">
        <v>301</v>
      </c>
      <c r="B7" s="90" t="s">
        <v>302</v>
      </c>
      <c r="G7" s="119"/>
      <c r="H7" s="119"/>
      <c r="I7" s="119"/>
    </row>
    <row r="8" spans="1:11" customFormat="1" ht="15" x14ac:dyDescent="0.25">
      <c r="A8" s="90" t="s">
        <v>303</v>
      </c>
      <c r="B8" s="90" t="s">
        <v>304</v>
      </c>
      <c r="G8" s="119"/>
      <c r="H8" s="119"/>
      <c r="I8" s="119"/>
    </row>
    <row r="9" spans="1:11" customFormat="1" ht="15" x14ac:dyDescent="0.25">
      <c r="A9" s="90" t="s">
        <v>305</v>
      </c>
      <c r="B9" s="90" t="s">
        <v>306</v>
      </c>
      <c r="G9" s="119"/>
      <c r="H9" s="119"/>
      <c r="I9" s="119"/>
    </row>
    <row r="10" spans="1:11" customFormat="1" ht="15" x14ac:dyDescent="0.25">
      <c r="A10" s="90" t="s">
        <v>307</v>
      </c>
      <c r="B10" s="90" t="s">
        <v>308</v>
      </c>
      <c r="G10" s="119"/>
      <c r="H10" s="119"/>
      <c r="I10" s="119"/>
    </row>
    <row r="11" spans="1:11" customFormat="1" ht="15" x14ac:dyDescent="0.25">
      <c r="A11" s="90" t="s">
        <v>309</v>
      </c>
      <c r="B11" s="90" t="s">
        <v>310</v>
      </c>
      <c r="G11" s="119"/>
      <c r="H11" s="119"/>
      <c r="I11" s="119"/>
    </row>
    <row r="12" spans="1:11" customFormat="1" ht="15" x14ac:dyDescent="0.25">
      <c r="A12" s="90" t="s">
        <v>311</v>
      </c>
      <c r="B12" s="90" t="s">
        <v>312</v>
      </c>
      <c r="G12" s="119"/>
      <c r="H12" s="119"/>
      <c r="I12" s="119"/>
    </row>
    <row r="13" spans="1:11" customFormat="1" ht="15" x14ac:dyDescent="0.25">
      <c r="A13" s="90" t="s">
        <v>253</v>
      </c>
      <c r="B13" s="90" t="s">
        <v>254</v>
      </c>
      <c r="G13" s="119"/>
      <c r="H13" s="119"/>
      <c r="I13" s="119"/>
    </row>
    <row r="14" spans="1:11" customFormat="1" ht="15" x14ac:dyDescent="0.25">
      <c r="A14" s="90" t="s">
        <v>313</v>
      </c>
      <c r="B14" s="90" t="s">
        <v>314</v>
      </c>
      <c r="G14" s="119"/>
      <c r="H14" s="119"/>
      <c r="I14" s="119"/>
    </row>
    <row r="15" spans="1:11" customFormat="1" ht="15" x14ac:dyDescent="0.25">
      <c r="A15" s="90" t="s">
        <v>248</v>
      </c>
      <c r="B15" s="90" t="s">
        <v>249</v>
      </c>
      <c r="G15" s="119"/>
      <c r="H15" s="119"/>
      <c r="I15" s="119"/>
    </row>
    <row r="16" spans="1:11" customFormat="1" ht="15" x14ac:dyDescent="0.25">
      <c r="A16" s="90" t="s">
        <v>315</v>
      </c>
      <c r="B16" s="90" t="s">
        <v>316</v>
      </c>
      <c r="G16" s="119"/>
      <c r="H16" s="119"/>
      <c r="I16" s="119"/>
    </row>
    <row r="17" spans="1:9" customFormat="1" ht="15" x14ac:dyDescent="0.25">
      <c r="A17" s="90" t="s">
        <v>317</v>
      </c>
      <c r="B17" s="90" t="s">
        <v>318</v>
      </c>
      <c r="G17" s="119"/>
      <c r="H17" s="119"/>
      <c r="I17" s="119"/>
    </row>
    <row r="18" spans="1:9" customFormat="1" ht="15" x14ac:dyDescent="0.25">
      <c r="A18" s="90" t="s">
        <v>319</v>
      </c>
      <c r="B18" s="90" t="s">
        <v>320</v>
      </c>
      <c r="G18" s="119"/>
      <c r="H18" s="119"/>
      <c r="I18" s="119"/>
    </row>
    <row r="19" spans="1:9" customFormat="1" ht="15" x14ac:dyDescent="0.25">
      <c r="A19" s="90" t="s">
        <v>321</v>
      </c>
      <c r="B19" s="90" t="s">
        <v>322</v>
      </c>
      <c r="G19" s="119"/>
      <c r="H19" s="119"/>
      <c r="I19" s="119"/>
    </row>
    <row r="20" spans="1:9" customFormat="1" ht="15" x14ac:dyDescent="0.25">
      <c r="A20" s="90" t="s">
        <v>323</v>
      </c>
      <c r="B20" s="90" t="s">
        <v>324</v>
      </c>
      <c r="G20" s="119"/>
      <c r="H20" s="119"/>
      <c r="I20" s="119"/>
    </row>
    <row r="21" spans="1:9" customFormat="1" ht="15" x14ac:dyDescent="0.25">
      <c r="A21" s="90" t="s">
        <v>325</v>
      </c>
      <c r="B21" s="90" t="s">
        <v>326</v>
      </c>
      <c r="G21" s="119"/>
      <c r="H21" s="119"/>
      <c r="I21" s="119"/>
    </row>
    <row r="22" spans="1:9" customFormat="1" ht="15" x14ac:dyDescent="0.25">
      <c r="A22" s="90" t="s">
        <v>327</v>
      </c>
      <c r="B22" s="90" t="s">
        <v>328</v>
      </c>
      <c r="G22" s="119"/>
      <c r="H22" s="119"/>
      <c r="I22" s="119"/>
    </row>
    <row r="23" spans="1:9" customFormat="1" ht="15" x14ac:dyDescent="0.25">
      <c r="A23" s="90" t="s">
        <v>329</v>
      </c>
      <c r="B23" s="90" t="s">
        <v>330</v>
      </c>
      <c r="G23" s="119"/>
      <c r="H23" s="119"/>
      <c r="I23" s="119"/>
    </row>
    <row r="24" spans="1:9" customFormat="1" ht="15" x14ac:dyDescent="0.25">
      <c r="A24" s="90" t="s">
        <v>331</v>
      </c>
      <c r="B24" s="90" t="s">
        <v>332</v>
      </c>
      <c r="G24" s="119"/>
      <c r="H24" s="119"/>
      <c r="I24" s="119"/>
    </row>
    <row r="25" spans="1:9" customFormat="1" ht="15" x14ac:dyDescent="0.25">
      <c r="A25" s="90" t="s">
        <v>333</v>
      </c>
      <c r="B25" s="90" t="s">
        <v>334</v>
      </c>
      <c r="G25" s="119"/>
      <c r="H25" s="119"/>
      <c r="I25" s="119"/>
    </row>
    <row r="26" spans="1:9" customFormat="1" ht="15" x14ac:dyDescent="0.25">
      <c r="A26" s="90" t="s">
        <v>335</v>
      </c>
      <c r="B26" s="90" t="s">
        <v>336</v>
      </c>
      <c r="G26" s="119"/>
      <c r="H26" s="119"/>
      <c r="I26" s="119"/>
    </row>
    <row r="27" spans="1:9" customFormat="1" ht="15" x14ac:dyDescent="0.25">
      <c r="A27" s="90" t="s">
        <v>337</v>
      </c>
      <c r="B27" s="90" t="s">
        <v>338</v>
      </c>
      <c r="G27" s="119"/>
      <c r="H27" s="119"/>
      <c r="I27" s="119"/>
    </row>
    <row r="28" spans="1:9" customFormat="1" ht="15" x14ac:dyDescent="0.25">
      <c r="A28" s="90" t="s">
        <v>339</v>
      </c>
      <c r="B28" s="90" t="s">
        <v>340</v>
      </c>
      <c r="G28" s="119"/>
      <c r="H28" s="119"/>
      <c r="I28" s="119"/>
    </row>
    <row r="29" spans="1:9" customFormat="1" ht="15" x14ac:dyDescent="0.25">
      <c r="A29" s="90" t="s">
        <v>341</v>
      </c>
      <c r="B29" s="90" t="s">
        <v>342</v>
      </c>
      <c r="G29" s="119"/>
      <c r="H29" s="119"/>
      <c r="I29" s="119"/>
    </row>
    <row r="30" spans="1:9" ht="15" x14ac:dyDescent="0.25">
      <c r="A30" s="90" t="s">
        <v>251</v>
      </c>
      <c r="B30" s="90" t="s">
        <v>252</v>
      </c>
      <c r="C30" s="11"/>
      <c r="D30" s="19"/>
      <c r="G30" s="119"/>
      <c r="H30" s="119"/>
      <c r="I30" s="119"/>
    </row>
    <row r="31" spans="1:9" ht="15" x14ac:dyDescent="0.25">
      <c r="A31" s="90" t="s">
        <v>343</v>
      </c>
      <c r="B31" s="90" t="s">
        <v>344</v>
      </c>
      <c r="C31" s="11"/>
      <c r="D31" s="19"/>
      <c r="G31" s="119"/>
      <c r="H31" s="119"/>
      <c r="I31" s="119"/>
    </row>
    <row r="32" spans="1:9" ht="15" x14ac:dyDescent="0.25">
      <c r="A32" s="90" t="s">
        <v>345</v>
      </c>
      <c r="B32" s="90" t="s">
        <v>346</v>
      </c>
      <c r="C32" s="11"/>
      <c r="D32" s="19"/>
      <c r="G32" s="119"/>
      <c r="H32" s="119"/>
      <c r="I32" s="119"/>
    </row>
    <row r="33" spans="1:10" ht="15" x14ac:dyDescent="0.25">
      <c r="A33" s="90" t="s">
        <v>347</v>
      </c>
      <c r="B33" s="90" t="s">
        <v>348</v>
      </c>
      <c r="C33" s="11"/>
      <c r="D33" s="19"/>
      <c r="G33" s="119"/>
      <c r="H33" s="119"/>
      <c r="I33" s="119"/>
    </row>
    <row r="34" spans="1:10" ht="15" x14ac:dyDescent="0.25">
      <c r="A34" s="90" t="s">
        <v>349</v>
      </c>
      <c r="B34" s="90" t="s">
        <v>350</v>
      </c>
      <c r="C34" s="11"/>
      <c r="D34" s="19"/>
      <c r="G34" s="119"/>
      <c r="H34" s="119"/>
      <c r="I34" s="119"/>
    </row>
    <row r="35" spans="1:10" s="12" customFormat="1" ht="15" x14ac:dyDescent="0.25">
      <c r="A35" s="90" t="s">
        <v>351</v>
      </c>
      <c r="B35" s="90" t="s">
        <v>352</v>
      </c>
      <c r="C35" s="11"/>
      <c r="D35" s="19"/>
      <c r="F35" s="10"/>
      <c r="G35" s="119"/>
      <c r="H35" s="119"/>
      <c r="I35" s="119"/>
      <c r="J35" s="18"/>
    </row>
    <row r="36" spans="1:10" s="12" customFormat="1" ht="15" x14ac:dyDescent="0.25">
      <c r="A36" s="90" t="s">
        <v>353</v>
      </c>
      <c r="B36" s="90" t="s">
        <v>354</v>
      </c>
      <c r="C36" s="11"/>
      <c r="D36" s="19"/>
      <c r="F36" s="10"/>
      <c r="G36" s="119"/>
      <c r="H36" s="119"/>
      <c r="I36" s="119"/>
      <c r="J36" s="18"/>
    </row>
    <row r="37" spans="1:10" s="12" customFormat="1" ht="15" x14ac:dyDescent="0.25">
      <c r="A37" s="90" t="s">
        <v>355</v>
      </c>
      <c r="B37" s="90" t="s">
        <v>356</v>
      </c>
      <c r="C37" s="9"/>
      <c r="D37" s="19"/>
      <c r="F37" s="10"/>
      <c r="G37" s="119"/>
      <c r="H37" s="119"/>
      <c r="I37" s="119"/>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98" customFormat="1" ht="15" x14ac:dyDescent="0.25">
      <c r="A1" s="97" t="s">
        <v>46</v>
      </c>
      <c r="B1" s="210" t="s">
        <v>15</v>
      </c>
      <c r="C1" s="99" t="s">
        <v>47</v>
      </c>
      <c r="D1" s="211" t="s">
        <v>137</v>
      </c>
      <c r="E1" s="97" t="s">
        <v>215</v>
      </c>
      <c r="F1" s="210" t="s">
        <v>1266</v>
      </c>
      <c r="G1" s="97" t="s">
        <v>9</v>
      </c>
      <c r="H1" s="210" t="s">
        <v>217</v>
      </c>
      <c r="I1" s="94" t="s">
        <v>282</v>
      </c>
      <c r="J1" s="208" t="b">
        <v>0</v>
      </c>
    </row>
    <row r="2" spans="1:10" s="49" customFormat="1" ht="15" x14ac:dyDescent="0.25">
      <c r="A2" s="114" t="s">
        <v>456</v>
      </c>
      <c r="B2" s="155" t="s">
        <v>455</v>
      </c>
      <c r="C2" s="155" t="s">
        <v>204</v>
      </c>
      <c r="D2" s="155" t="s">
        <v>453</v>
      </c>
      <c r="E2" s="48"/>
      <c r="F2" s="388" t="s">
        <v>381</v>
      </c>
      <c r="G2" s="389"/>
      <c r="H2" s="389"/>
      <c r="I2" s="390"/>
      <c r="J2" s="72"/>
    </row>
    <row r="3" spans="1:10" s="49" customFormat="1" ht="30" x14ac:dyDescent="0.25">
      <c r="A3" s="155" t="s">
        <v>495</v>
      </c>
      <c r="B3" s="155" t="s">
        <v>452</v>
      </c>
      <c r="C3" s="155" t="s">
        <v>382</v>
      </c>
      <c r="D3" s="155" t="s">
        <v>454</v>
      </c>
      <c r="E3" s="48"/>
      <c r="F3" s="118" t="s">
        <v>382</v>
      </c>
      <c r="G3" s="119"/>
      <c r="H3" s="119"/>
      <c r="I3" s="119"/>
      <c r="J3" s="72"/>
    </row>
    <row r="4" spans="1:10" s="53" customFormat="1" ht="15" x14ac:dyDescent="0.25">
      <c r="A4" s="38" t="s">
        <v>6</v>
      </c>
      <c r="B4" s="38" t="s">
        <v>215</v>
      </c>
      <c r="C4" s="50" t="s">
        <v>9</v>
      </c>
      <c r="D4" s="51" t="s">
        <v>48</v>
      </c>
      <c r="E4" s="52" t="s">
        <v>383</v>
      </c>
      <c r="F4" s="120" t="s">
        <v>380</v>
      </c>
      <c r="G4" s="119"/>
      <c r="H4" s="119"/>
      <c r="I4" s="119"/>
      <c r="J4" s="54"/>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F31" sqref="F31"/>
    </sheetView>
  </sheetViews>
  <sheetFormatPr defaultRowHeight="17.25" customHeight="1" x14ac:dyDescent="0.25"/>
  <cols>
    <col min="1" max="1" width="14.83203125" style="39" bestFit="1" customWidth="1"/>
    <col min="2" max="2" width="66" style="39" bestFit="1" customWidth="1"/>
    <col min="3" max="3" width="56.1640625" style="75" customWidth="1"/>
    <col min="4" max="4" width="12.83203125" style="39" bestFit="1" customWidth="1"/>
    <col min="5" max="5" width="13.5" style="39" bestFit="1" customWidth="1"/>
    <col min="6" max="6" width="23.83203125" style="39" bestFit="1" customWidth="1"/>
    <col min="7" max="7" width="13" style="39" bestFit="1" customWidth="1"/>
    <col min="8" max="8" width="17.6640625" style="39" bestFit="1" customWidth="1"/>
    <col min="9" max="16384" width="9.33203125" style="39"/>
  </cols>
  <sheetData>
    <row r="1" spans="1:10" s="98" customFormat="1" ht="17.25" customHeight="1" x14ac:dyDescent="0.25">
      <c r="A1" s="97" t="s">
        <v>46</v>
      </c>
      <c r="B1" s="210" t="s">
        <v>15</v>
      </c>
      <c r="C1" s="134" t="s">
        <v>47</v>
      </c>
      <c r="D1" s="211" t="s">
        <v>1268</v>
      </c>
      <c r="E1" s="97" t="s">
        <v>215</v>
      </c>
      <c r="F1" s="210" t="s">
        <v>1267</v>
      </c>
      <c r="G1" s="97" t="s">
        <v>9</v>
      </c>
      <c r="H1" s="210"/>
      <c r="I1" s="94" t="s">
        <v>282</v>
      </c>
      <c r="J1" s="208" t="b">
        <v>0</v>
      </c>
    </row>
    <row r="2" spans="1:10" s="49" customFormat="1" ht="17.25" customHeight="1" x14ac:dyDescent="0.25">
      <c r="A2" s="114" t="s">
        <v>456</v>
      </c>
      <c r="B2" s="155" t="s">
        <v>455</v>
      </c>
      <c r="C2" s="155" t="s">
        <v>204</v>
      </c>
      <c r="D2" s="155" t="s">
        <v>453</v>
      </c>
      <c r="E2" s="48"/>
      <c r="F2" s="388" t="s">
        <v>381</v>
      </c>
      <c r="G2" s="389"/>
      <c r="H2" s="389"/>
      <c r="I2" s="390"/>
      <c r="J2" s="72"/>
    </row>
    <row r="3" spans="1:10" s="49" customFormat="1" ht="17.25" customHeight="1" x14ac:dyDescent="0.25">
      <c r="A3" s="155" t="s">
        <v>495</v>
      </c>
      <c r="B3" s="155" t="s">
        <v>452</v>
      </c>
      <c r="C3" s="155" t="s">
        <v>382</v>
      </c>
      <c r="D3" s="155" t="s">
        <v>454</v>
      </c>
      <c r="E3" s="48"/>
      <c r="F3" s="118" t="s">
        <v>382</v>
      </c>
      <c r="G3" s="119"/>
      <c r="H3" s="119"/>
      <c r="I3" s="119"/>
      <c r="J3" s="72"/>
    </row>
    <row r="4" spans="1:10" s="53" customFormat="1" ht="17.25" customHeight="1" x14ac:dyDescent="0.25">
      <c r="A4" s="38" t="s">
        <v>6</v>
      </c>
      <c r="B4" s="38" t="s">
        <v>215</v>
      </c>
      <c r="C4" s="135" t="s">
        <v>9</v>
      </c>
      <c r="D4" s="51" t="s">
        <v>48</v>
      </c>
      <c r="E4" s="52" t="s">
        <v>383</v>
      </c>
      <c r="F4" s="120" t="s">
        <v>380</v>
      </c>
      <c r="G4" s="119"/>
      <c r="H4" s="119"/>
      <c r="I4" s="119"/>
      <c r="J4" s="54"/>
    </row>
    <row r="5" spans="1:10" ht="17.25" customHeight="1" x14ac:dyDescent="0.25">
      <c r="A5" s="309" t="s">
        <v>10</v>
      </c>
      <c r="B5" s="309" t="s">
        <v>57</v>
      </c>
      <c r="C5" s="75" t="s">
        <v>97</v>
      </c>
      <c r="F5"/>
      <c r="G5" s="119"/>
      <c r="H5" s="119"/>
      <c r="I5" s="119"/>
    </row>
    <row r="6" spans="1:10" ht="17.25" customHeight="1" x14ac:dyDescent="0.25">
      <c r="A6" s="309" t="s">
        <v>3</v>
      </c>
      <c r="B6" s="309" t="s">
        <v>58</v>
      </c>
      <c r="C6" s="75" t="s">
        <v>98</v>
      </c>
      <c r="F6"/>
      <c r="G6" s="119"/>
      <c r="H6" s="119"/>
      <c r="I6" s="119"/>
    </row>
    <row r="7" spans="1:10" ht="17.25" customHeight="1" x14ac:dyDescent="0.25">
      <c r="A7" s="309" t="s">
        <v>13</v>
      </c>
      <c r="B7" s="309" t="s">
        <v>94</v>
      </c>
      <c r="C7" s="75" t="s">
        <v>95</v>
      </c>
      <c r="F7"/>
      <c r="G7" s="119"/>
      <c r="H7" s="119"/>
      <c r="I7" s="119"/>
    </row>
    <row r="8" spans="1:10" ht="17.25" customHeight="1" x14ac:dyDescent="0.25">
      <c r="A8" s="309" t="s">
        <v>12</v>
      </c>
      <c r="B8" s="309" t="s">
        <v>59</v>
      </c>
      <c r="C8" s="75" t="s">
        <v>96</v>
      </c>
      <c r="F8"/>
      <c r="G8" s="119"/>
      <c r="H8" s="119"/>
      <c r="I8" s="119"/>
    </row>
    <row r="9" spans="1:10" ht="17.25" customHeight="1" x14ac:dyDescent="0.25">
      <c r="A9" s="309" t="s">
        <v>2</v>
      </c>
      <c r="B9" s="309" t="s">
        <v>60</v>
      </c>
      <c r="C9" s="75" t="s">
        <v>99</v>
      </c>
      <c r="G9" s="119"/>
      <c r="H9" s="119"/>
      <c r="I9" s="119"/>
    </row>
    <row r="10" spans="1:10" ht="17.25" customHeight="1" x14ac:dyDescent="0.25">
      <c r="A10" s="309" t="s">
        <v>11</v>
      </c>
      <c r="B10" s="309" t="s">
        <v>100</v>
      </c>
      <c r="C10" s="75" t="s">
        <v>101</v>
      </c>
      <c r="G10" s="119"/>
      <c r="H10" s="119"/>
      <c r="I10" s="119"/>
    </row>
    <row r="11" spans="1:10" ht="17.25" customHeight="1" x14ac:dyDescent="0.25">
      <c r="A11" s="309" t="s">
        <v>102</v>
      </c>
      <c r="B11" s="309" t="s">
        <v>103</v>
      </c>
      <c r="C11" s="75" t="s">
        <v>104</v>
      </c>
      <c r="G11" s="119"/>
      <c r="H11" s="119"/>
      <c r="I11" s="119"/>
    </row>
    <row r="12" spans="1:10" ht="17.25" customHeight="1" x14ac:dyDescent="0.25">
      <c r="A12" s="309" t="s">
        <v>105</v>
      </c>
      <c r="B12" s="309" t="s">
        <v>106</v>
      </c>
      <c r="C12" s="75" t="s">
        <v>107</v>
      </c>
      <c r="G12" s="119"/>
      <c r="H12" s="119"/>
      <c r="I12" s="119"/>
    </row>
    <row r="13" spans="1:10" ht="17.25" customHeight="1" x14ac:dyDescent="0.25">
      <c r="A13" s="309" t="s">
        <v>108</v>
      </c>
      <c r="B13" s="309" t="s">
        <v>109</v>
      </c>
      <c r="C13" s="75" t="s">
        <v>110</v>
      </c>
      <c r="G13" s="119"/>
      <c r="H13" s="119"/>
      <c r="I13" s="119"/>
    </row>
    <row r="14" spans="1:10" ht="17.25" customHeight="1" x14ac:dyDescent="0.25">
      <c r="A14" s="309" t="s">
        <v>1</v>
      </c>
      <c r="B14" s="309" t="s">
        <v>111</v>
      </c>
      <c r="C14" s="75" t="s">
        <v>112</v>
      </c>
      <c r="G14" s="119"/>
      <c r="H14" s="119"/>
      <c r="I14" s="119"/>
    </row>
    <row r="15" spans="1:10" ht="17.25" customHeight="1" x14ac:dyDescent="0.25">
      <c r="H15" s="100"/>
    </row>
    <row r="16" spans="1:10" ht="17.25" customHeight="1" x14ac:dyDescent="0.25">
      <c r="H16" s="100"/>
    </row>
    <row r="17" spans="8:8" ht="17.25" customHeight="1" x14ac:dyDescent="0.25">
      <c r="H17" s="100"/>
    </row>
    <row r="18" spans="8:8" ht="17.25" customHeight="1" x14ac:dyDescent="0.25">
      <c r="H18" s="100"/>
    </row>
    <row r="19" spans="8:8" ht="17.25" customHeight="1" x14ac:dyDescent="0.25">
      <c r="H19" s="100"/>
    </row>
    <row r="20" spans="8:8" ht="17.25" customHeight="1" x14ac:dyDescent="0.25">
      <c r="H20" s="100"/>
    </row>
    <row r="21" spans="8:8" ht="17.25" customHeight="1" x14ac:dyDescent="0.25">
      <c r="H21" s="100"/>
    </row>
    <row r="22" spans="8:8" ht="17.25" customHeight="1" x14ac:dyDescent="0.25">
      <c r="H22" s="100"/>
    </row>
    <row r="23" spans="8:8" ht="17.25" customHeight="1" x14ac:dyDescent="0.25">
      <c r="H23" s="10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V41" sqref="V41"/>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344" t="s">
        <v>46</v>
      </c>
      <c r="B1" s="354" t="s">
        <v>15</v>
      </c>
      <c r="C1" s="346" t="s">
        <v>47</v>
      </c>
      <c r="D1" s="355" t="s">
        <v>116</v>
      </c>
      <c r="E1" s="344" t="s">
        <v>215</v>
      </c>
      <c r="F1" s="354" t="s">
        <v>1270</v>
      </c>
      <c r="G1" s="344" t="s">
        <v>9</v>
      </c>
      <c r="H1" s="354"/>
      <c r="I1" s="343" t="s">
        <v>282</v>
      </c>
      <c r="J1" s="353" t="b">
        <v>0</v>
      </c>
      <c r="K1" s="345"/>
      <c r="L1" s="345"/>
    </row>
    <row r="2" spans="1:12" ht="15" x14ac:dyDescent="0.25">
      <c r="A2" s="348" t="s">
        <v>456</v>
      </c>
      <c r="B2" s="352" t="s">
        <v>455</v>
      </c>
      <c r="C2" s="352" t="s">
        <v>204</v>
      </c>
      <c r="D2" s="352" t="s">
        <v>453</v>
      </c>
      <c r="E2" s="335"/>
      <c r="F2" s="388" t="s">
        <v>381</v>
      </c>
      <c r="G2" s="389"/>
      <c r="H2" s="389"/>
      <c r="I2" s="390"/>
      <c r="J2" s="342"/>
      <c r="K2" s="336"/>
      <c r="L2" s="336"/>
    </row>
    <row r="3" spans="1:12" ht="30" x14ac:dyDescent="0.25">
      <c r="A3" s="352" t="s">
        <v>495</v>
      </c>
      <c r="B3" s="352" t="s">
        <v>452</v>
      </c>
      <c r="C3" s="352" t="s">
        <v>382</v>
      </c>
      <c r="D3" s="352" t="s">
        <v>454</v>
      </c>
      <c r="E3" s="335"/>
      <c r="F3" s="349" t="s">
        <v>382</v>
      </c>
      <c r="G3" s="350"/>
      <c r="H3" s="350"/>
      <c r="I3" s="350"/>
      <c r="J3" s="342"/>
      <c r="K3" s="336"/>
      <c r="L3" s="336"/>
    </row>
    <row r="4" spans="1:12" ht="30" x14ac:dyDescent="0.25">
      <c r="A4" s="334" t="s">
        <v>6</v>
      </c>
      <c r="B4" s="334" t="s">
        <v>215</v>
      </c>
      <c r="C4" s="337" t="s">
        <v>9</v>
      </c>
      <c r="D4" s="338" t="s">
        <v>48</v>
      </c>
      <c r="E4" s="339" t="s">
        <v>383</v>
      </c>
      <c r="F4" s="351" t="s">
        <v>380</v>
      </c>
      <c r="G4" s="350"/>
      <c r="H4" s="350"/>
      <c r="I4" s="350"/>
      <c r="J4" s="341"/>
      <c r="K4" s="340"/>
      <c r="L4" s="340"/>
    </row>
    <row r="5" spans="1:12" ht="15" x14ac:dyDescent="0.25">
      <c r="A5" s="347">
        <v>0</v>
      </c>
      <c r="B5" s="347" t="s">
        <v>138</v>
      </c>
      <c r="C5" s="347"/>
      <c r="D5" s="347"/>
      <c r="E5" s="347"/>
      <c r="F5" s="333"/>
      <c r="G5" s="350"/>
      <c r="H5" s="350"/>
      <c r="I5" s="350"/>
      <c r="J5" s="347"/>
      <c r="K5" s="347"/>
      <c r="L5" s="347"/>
    </row>
    <row r="6" spans="1:12" ht="15" x14ac:dyDescent="0.25">
      <c r="A6" s="347">
        <v>1</v>
      </c>
      <c r="B6" s="347" t="s">
        <v>139</v>
      </c>
      <c r="C6" s="347"/>
      <c r="D6" s="347"/>
      <c r="E6" s="347"/>
      <c r="F6" s="333"/>
      <c r="G6" s="350"/>
      <c r="H6" s="350"/>
      <c r="I6" s="350"/>
      <c r="J6" s="347"/>
      <c r="K6" s="347"/>
      <c r="L6" s="347"/>
    </row>
    <row r="7" spans="1:12" ht="15" x14ac:dyDescent="0.25">
      <c r="A7" s="347">
        <v>2</v>
      </c>
      <c r="B7" s="347" t="s">
        <v>140</v>
      </c>
      <c r="C7" s="347"/>
      <c r="D7" s="347"/>
      <c r="E7" s="347"/>
      <c r="F7" s="333"/>
      <c r="G7" s="350"/>
      <c r="H7" s="350"/>
      <c r="I7" s="350"/>
      <c r="J7" s="347"/>
      <c r="K7" s="347"/>
      <c r="L7" s="347"/>
    </row>
    <row r="8" spans="1:12" ht="15" x14ac:dyDescent="0.25">
      <c r="A8" s="347">
        <v>3</v>
      </c>
      <c r="B8" s="347" t="s">
        <v>141</v>
      </c>
      <c r="C8" s="347"/>
      <c r="D8" s="347"/>
      <c r="E8" s="347"/>
      <c r="F8" s="333"/>
      <c r="G8" s="350"/>
      <c r="H8" s="350"/>
      <c r="I8" s="350"/>
      <c r="J8" s="347"/>
      <c r="K8" s="347"/>
      <c r="L8" s="347"/>
    </row>
    <row r="9" spans="1:12" ht="15" x14ac:dyDescent="0.25">
      <c r="A9" s="347">
        <v>4</v>
      </c>
      <c r="B9" s="347" t="s">
        <v>142</v>
      </c>
      <c r="C9" s="347"/>
      <c r="D9" s="347"/>
      <c r="E9" s="347"/>
      <c r="F9" s="347"/>
      <c r="G9" s="350"/>
      <c r="H9" s="350"/>
      <c r="I9" s="350"/>
      <c r="J9" s="347"/>
      <c r="K9" s="347"/>
      <c r="L9" s="347"/>
    </row>
    <row r="10" spans="1:12" ht="15" x14ac:dyDescent="0.25">
      <c r="A10" s="347">
        <v>5</v>
      </c>
      <c r="B10" s="347" t="s">
        <v>143</v>
      </c>
      <c r="C10" s="347"/>
      <c r="D10" s="347"/>
      <c r="E10" s="347"/>
      <c r="F10" s="347"/>
      <c r="G10" s="350"/>
      <c r="H10" s="350"/>
      <c r="I10" s="350"/>
      <c r="J10" s="347"/>
      <c r="K10" s="347"/>
      <c r="L10" s="347"/>
    </row>
    <row r="11" spans="1:12" ht="15" x14ac:dyDescent="0.25">
      <c r="A11" s="347">
        <v>6</v>
      </c>
      <c r="B11" s="347" t="s">
        <v>144</v>
      </c>
      <c r="C11" s="347"/>
      <c r="D11" s="347"/>
      <c r="E11" s="347"/>
      <c r="F11" s="347"/>
      <c r="G11" s="350"/>
      <c r="H11" s="350"/>
      <c r="I11" s="350"/>
      <c r="J11" s="347"/>
      <c r="K11" s="347"/>
      <c r="L11" s="347"/>
    </row>
    <row r="12" spans="1:12" ht="15" x14ac:dyDescent="0.25">
      <c r="A12" s="347">
        <v>7</v>
      </c>
      <c r="B12" s="347" t="s">
        <v>145</v>
      </c>
      <c r="C12" s="347"/>
      <c r="D12" s="347"/>
      <c r="E12" s="347"/>
      <c r="F12" s="347"/>
      <c r="G12" s="350"/>
      <c r="H12" s="350"/>
      <c r="I12" s="350"/>
      <c r="J12" s="347"/>
      <c r="K12" s="347"/>
      <c r="L12" s="347"/>
    </row>
    <row r="13" spans="1:12" ht="15" x14ac:dyDescent="0.25">
      <c r="A13" s="347">
        <v>8</v>
      </c>
      <c r="B13" s="347" t="s">
        <v>146</v>
      </c>
      <c r="C13" s="347"/>
      <c r="D13" s="347"/>
      <c r="E13" s="347"/>
      <c r="F13" s="347"/>
      <c r="G13" s="350"/>
      <c r="H13" s="350"/>
      <c r="I13" s="350"/>
      <c r="J13" s="347"/>
      <c r="K13" s="347"/>
      <c r="L13" s="347"/>
    </row>
    <row r="14" spans="1:12" ht="15" x14ac:dyDescent="0.25">
      <c r="A14" s="347">
        <v>9</v>
      </c>
      <c r="B14" s="347" t="s">
        <v>147</v>
      </c>
      <c r="C14" s="347"/>
      <c r="D14" s="347"/>
      <c r="E14" s="347"/>
      <c r="F14" s="347"/>
      <c r="G14" s="350"/>
      <c r="H14" s="350"/>
      <c r="I14" s="350"/>
      <c r="J14" s="347"/>
      <c r="K14" s="347"/>
      <c r="L14" s="347"/>
    </row>
    <row r="15" spans="1:12" ht="15" x14ac:dyDescent="0.25">
      <c r="A15" s="347">
        <v>10</v>
      </c>
      <c r="B15" s="347" t="s">
        <v>148</v>
      </c>
      <c r="C15" s="347"/>
      <c r="D15" s="347"/>
      <c r="E15" s="347"/>
      <c r="F15" s="347"/>
      <c r="G15" s="350"/>
      <c r="H15" s="350"/>
      <c r="I15" s="350"/>
      <c r="J15" s="347"/>
      <c r="K15" s="347"/>
      <c r="L15" s="347"/>
    </row>
    <row r="16" spans="1:12" ht="15" x14ac:dyDescent="0.25">
      <c r="A16" s="347">
        <v>11</v>
      </c>
      <c r="B16" s="347" t="s">
        <v>149</v>
      </c>
      <c r="C16" s="347"/>
      <c r="D16" s="347"/>
      <c r="E16" s="347"/>
      <c r="F16" s="347"/>
      <c r="G16" s="350"/>
      <c r="H16" s="350"/>
      <c r="I16" s="350"/>
      <c r="J16" s="347"/>
      <c r="K16" s="347"/>
      <c r="L16" s="347"/>
    </row>
    <row r="17" spans="1:12" ht="15" x14ac:dyDescent="0.25">
      <c r="A17" s="347">
        <v>12</v>
      </c>
      <c r="B17" s="347" t="s">
        <v>150</v>
      </c>
      <c r="C17" s="347"/>
      <c r="D17" s="347"/>
      <c r="E17" s="347"/>
      <c r="F17" s="347"/>
      <c r="G17" s="350"/>
      <c r="H17" s="350"/>
      <c r="I17" s="350"/>
      <c r="J17" s="347"/>
      <c r="K17" s="347"/>
      <c r="L17" s="347"/>
    </row>
    <row r="18" spans="1:12" ht="15" x14ac:dyDescent="0.25">
      <c r="A18" s="347">
        <v>13</v>
      </c>
      <c r="B18" s="347" t="s">
        <v>151</v>
      </c>
      <c r="C18" s="347"/>
      <c r="D18" s="347"/>
      <c r="E18" s="347"/>
      <c r="F18" s="347"/>
      <c r="G18" s="350"/>
      <c r="H18" s="350"/>
      <c r="I18" s="350"/>
      <c r="J18" s="347"/>
      <c r="K18" s="347"/>
      <c r="L18" s="347"/>
    </row>
    <row r="19" spans="1:12" ht="15" x14ac:dyDescent="0.25">
      <c r="A19" s="347">
        <v>14</v>
      </c>
      <c r="B19" s="347" t="s">
        <v>152</v>
      </c>
      <c r="C19" s="347"/>
      <c r="D19" s="347"/>
      <c r="E19" s="347"/>
      <c r="F19" s="347"/>
      <c r="G19" s="350"/>
      <c r="H19" s="350"/>
      <c r="I19" s="350"/>
      <c r="J19" s="347"/>
      <c r="K19" s="347"/>
      <c r="L19" s="347"/>
    </row>
    <row r="20" spans="1:12" ht="15" x14ac:dyDescent="0.25">
      <c r="A20" s="347">
        <v>15</v>
      </c>
      <c r="B20" s="347" t="s">
        <v>153</v>
      </c>
      <c r="C20" s="347"/>
      <c r="D20" s="347"/>
      <c r="E20" s="347"/>
      <c r="F20" s="347"/>
      <c r="G20" s="350"/>
      <c r="H20" s="350"/>
      <c r="I20" s="350"/>
      <c r="J20" s="347"/>
      <c r="K20" s="347"/>
      <c r="L20" s="347"/>
    </row>
    <row r="23" spans="1:12" x14ac:dyDescent="0.2">
      <c r="A23" s="333"/>
      <c r="B23" s="333"/>
      <c r="C23" s="333"/>
      <c r="D23" s="333"/>
      <c r="E23" s="333"/>
      <c r="F23" s="333"/>
      <c r="G23" s="333"/>
      <c r="H23" s="333"/>
      <c r="I23" s="333"/>
      <c r="J23" s="333"/>
      <c r="K23" s="333"/>
      <c r="L23" s="333"/>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B3" sqref="B3"/>
    </sheetView>
  </sheetViews>
  <sheetFormatPr defaultRowHeight="14.25" customHeight="1" x14ac:dyDescent="0.25"/>
  <cols>
    <col min="1" max="1" width="15" style="39" bestFit="1" customWidth="1"/>
    <col min="2" max="2" width="51.83203125" style="39" bestFit="1" customWidth="1"/>
    <col min="3" max="3" width="36.33203125" style="83" customWidth="1"/>
    <col min="4" max="4" width="12.83203125" style="39" bestFit="1" customWidth="1"/>
    <col min="5" max="5" width="13.5" style="39" bestFit="1" customWidth="1"/>
    <col min="6" max="6" width="20.83203125" style="39" bestFit="1" customWidth="1"/>
    <col min="7" max="7" width="14.33203125" style="39" bestFit="1" customWidth="1"/>
    <col min="8" max="8" width="17.6640625" style="39" bestFit="1" customWidth="1"/>
    <col min="9" max="9" width="14.6640625" style="39" customWidth="1"/>
    <col min="10" max="12" width="14.33203125" style="39" bestFit="1" customWidth="1"/>
    <col min="13" max="16384" width="9.33203125" style="39"/>
  </cols>
  <sheetData>
    <row r="1" spans="1:12" s="98" customFormat="1" ht="14.25" customHeight="1" x14ac:dyDescent="0.25">
      <c r="A1" s="97" t="s">
        <v>46</v>
      </c>
      <c r="B1" s="210" t="s">
        <v>15</v>
      </c>
      <c r="C1" s="130" t="s">
        <v>47</v>
      </c>
      <c r="D1" s="272">
        <v>2.1</v>
      </c>
      <c r="E1" s="97" t="s">
        <v>215</v>
      </c>
      <c r="F1" s="210" t="s">
        <v>1269</v>
      </c>
      <c r="G1" s="97" t="s">
        <v>9</v>
      </c>
      <c r="H1" s="210"/>
      <c r="I1" s="94" t="s">
        <v>282</v>
      </c>
      <c r="J1" s="208" t="b">
        <v>0</v>
      </c>
    </row>
    <row r="2" spans="1:12" s="49" customFormat="1" ht="14.25" customHeight="1" x14ac:dyDescent="0.25">
      <c r="A2" s="114" t="s">
        <v>456</v>
      </c>
      <c r="B2" s="155" t="s">
        <v>455</v>
      </c>
      <c r="C2" s="155" t="s">
        <v>204</v>
      </c>
      <c r="D2" s="155" t="s">
        <v>453</v>
      </c>
      <c r="E2" s="48"/>
      <c r="F2" s="391" t="s">
        <v>381</v>
      </c>
      <c r="G2" s="392"/>
      <c r="H2" s="392"/>
      <c r="I2" s="392"/>
      <c r="J2" s="392"/>
      <c r="K2" s="392"/>
      <c r="L2" s="392"/>
    </row>
    <row r="3" spans="1:12" s="49" customFormat="1" ht="14.25" customHeight="1" x14ac:dyDescent="0.25">
      <c r="A3" s="155" t="s">
        <v>495</v>
      </c>
      <c r="B3" s="155" t="s">
        <v>452</v>
      </c>
      <c r="C3" s="155" t="s">
        <v>382</v>
      </c>
      <c r="D3" s="155" t="s">
        <v>454</v>
      </c>
      <c r="E3" s="48"/>
      <c r="F3" s="118" t="s">
        <v>382</v>
      </c>
      <c r="G3" s="128" t="s">
        <v>365</v>
      </c>
      <c r="H3" s="128"/>
      <c r="I3" s="128"/>
      <c r="J3" s="128"/>
      <c r="K3" s="128"/>
      <c r="L3" s="128"/>
    </row>
    <row r="4" spans="1:12" s="53" customFormat="1" ht="14.25" customHeight="1" x14ac:dyDescent="0.25">
      <c r="A4" s="38" t="s">
        <v>6</v>
      </c>
      <c r="B4" s="38" t="s">
        <v>215</v>
      </c>
      <c r="C4" s="50" t="s">
        <v>9</v>
      </c>
      <c r="D4" s="51" t="s">
        <v>48</v>
      </c>
      <c r="E4" s="52" t="s">
        <v>383</v>
      </c>
      <c r="F4" s="120" t="s">
        <v>380</v>
      </c>
      <c r="G4" s="128" t="s">
        <v>29</v>
      </c>
      <c r="H4" s="128"/>
      <c r="I4" s="128"/>
      <c r="J4" s="128"/>
      <c r="K4" s="128"/>
      <c r="L4" s="128"/>
    </row>
    <row r="5" spans="1:12" ht="14.25" customHeight="1" x14ac:dyDescent="0.25">
      <c r="A5" s="129" t="s">
        <v>11</v>
      </c>
      <c r="B5" s="129" t="s">
        <v>384</v>
      </c>
      <c r="C5" s="131" t="s">
        <v>385</v>
      </c>
      <c r="G5" s="128">
        <v>1</v>
      </c>
      <c r="H5" s="128"/>
      <c r="I5" s="128"/>
      <c r="J5" s="128"/>
      <c r="K5" s="128"/>
      <c r="L5" s="128"/>
    </row>
    <row r="6" spans="1:12" ht="14.25" customHeight="1" x14ac:dyDescent="0.25">
      <c r="A6" s="129" t="s">
        <v>8</v>
      </c>
      <c r="B6" s="129" t="s">
        <v>386</v>
      </c>
      <c r="C6" s="131" t="s">
        <v>387</v>
      </c>
      <c r="G6" s="128">
        <v>1</v>
      </c>
      <c r="H6" s="128"/>
      <c r="I6" s="128"/>
      <c r="J6" s="128"/>
      <c r="K6" s="128"/>
      <c r="L6" s="128"/>
    </row>
    <row r="7" spans="1:12" ht="14.25" customHeight="1" x14ac:dyDescent="0.25">
      <c r="A7" s="129" t="s">
        <v>3</v>
      </c>
      <c r="B7" s="129" t="s">
        <v>388</v>
      </c>
      <c r="C7" s="131" t="s">
        <v>389</v>
      </c>
      <c r="G7" s="128">
        <v>1</v>
      </c>
      <c r="H7" s="128"/>
      <c r="I7" s="128"/>
      <c r="J7" s="128"/>
      <c r="K7" s="128"/>
      <c r="L7" s="128"/>
    </row>
    <row r="8" spans="1:12" ht="14.25" customHeight="1" x14ac:dyDescent="0.25">
      <c r="A8" s="129" t="s">
        <v>390</v>
      </c>
      <c r="B8" s="129" t="s">
        <v>391</v>
      </c>
      <c r="C8" s="132" t="s">
        <v>392</v>
      </c>
      <c r="G8" s="128">
        <v>1</v>
      </c>
      <c r="H8" s="128"/>
      <c r="I8" s="128"/>
      <c r="J8" s="128"/>
      <c r="K8" s="128"/>
      <c r="L8" s="128"/>
    </row>
    <row r="9" spans="1:12" ht="14.25" customHeight="1" x14ac:dyDescent="0.25">
      <c r="A9" s="129" t="s">
        <v>13</v>
      </c>
      <c r="B9" s="129" t="s">
        <v>393</v>
      </c>
      <c r="C9" s="131" t="s">
        <v>394</v>
      </c>
      <c r="G9" s="120"/>
      <c r="H9" s="120"/>
      <c r="I9" s="120"/>
      <c r="J9" s="120"/>
      <c r="K9" s="120"/>
      <c r="L9" s="120"/>
    </row>
    <row r="10" spans="1:12" ht="14.25" customHeight="1" x14ac:dyDescent="0.25">
      <c r="A10" s="129" t="s">
        <v>108</v>
      </c>
      <c r="B10" s="129" t="s">
        <v>395</v>
      </c>
      <c r="C10" s="131" t="s">
        <v>396</v>
      </c>
      <c r="G10" s="120"/>
      <c r="H10" s="120"/>
      <c r="I10" s="120"/>
      <c r="J10" s="120"/>
      <c r="K10" s="120"/>
      <c r="L10" s="120"/>
    </row>
    <row r="11" spans="1:12" ht="14.25" customHeight="1" x14ac:dyDescent="0.25">
      <c r="A11" s="129" t="s">
        <v>397</v>
      </c>
      <c r="B11" s="129" t="s">
        <v>398</v>
      </c>
      <c r="C11" s="131" t="s">
        <v>399</v>
      </c>
      <c r="G11" s="120"/>
      <c r="H11" s="120"/>
      <c r="I11" s="120"/>
      <c r="J11" s="120"/>
      <c r="K11" s="120"/>
      <c r="L11" s="120"/>
    </row>
    <row r="12" spans="1:12" ht="14.25" customHeight="1" x14ac:dyDescent="0.25">
      <c r="A12" s="129" t="s">
        <v>400</v>
      </c>
      <c r="B12" s="129" t="s">
        <v>401</v>
      </c>
      <c r="C12" s="131" t="s">
        <v>402</v>
      </c>
      <c r="G12" s="120"/>
      <c r="H12" s="120"/>
      <c r="I12" s="120"/>
      <c r="J12" s="120"/>
      <c r="K12" s="120"/>
      <c r="L12" s="120"/>
    </row>
    <row r="13" spans="1:12" ht="14.25" customHeight="1" x14ac:dyDescent="0.25">
      <c r="A13" s="129" t="s">
        <v>14</v>
      </c>
      <c r="B13" s="129" t="s">
        <v>403</v>
      </c>
      <c r="C13" s="131" t="s">
        <v>404</v>
      </c>
      <c r="G13" s="120"/>
      <c r="H13" s="120"/>
      <c r="I13" s="120"/>
      <c r="J13" s="120"/>
      <c r="K13" s="120"/>
      <c r="L13" s="120"/>
    </row>
    <row r="14" spans="1:12" ht="14.25" customHeight="1" x14ac:dyDescent="0.25">
      <c r="A14" s="129" t="s">
        <v>102</v>
      </c>
      <c r="B14" s="129" t="s">
        <v>405</v>
      </c>
      <c r="C14" s="131" t="s">
        <v>406</v>
      </c>
      <c r="G14" s="128"/>
      <c r="H14" s="128"/>
      <c r="I14" s="128"/>
      <c r="J14" s="128"/>
      <c r="K14" s="128"/>
      <c r="L14" s="128"/>
    </row>
    <row r="15" spans="1:12" ht="14.25" customHeight="1" x14ac:dyDescent="0.25">
      <c r="A15" s="129" t="s">
        <v>1</v>
      </c>
      <c r="B15" s="129" t="s">
        <v>407</v>
      </c>
      <c r="C15" s="132" t="s">
        <v>408</v>
      </c>
      <c r="G15" s="120"/>
      <c r="H15" s="120"/>
      <c r="I15" s="120"/>
      <c r="J15" s="120"/>
      <c r="K15" s="120"/>
      <c r="L15" s="120"/>
    </row>
    <row r="16" spans="1:12" ht="14.25" customHeight="1" x14ac:dyDescent="0.25">
      <c r="A16" s="129" t="s">
        <v>409</v>
      </c>
      <c r="B16" s="129" t="s">
        <v>410</v>
      </c>
      <c r="C16" s="131" t="s">
        <v>411</v>
      </c>
      <c r="G16" s="120"/>
      <c r="H16" s="120"/>
      <c r="I16" s="120"/>
      <c r="J16" s="120"/>
      <c r="K16" s="120"/>
      <c r="L16" s="120"/>
    </row>
    <row r="17" spans="1:12" ht="14.25" customHeight="1" x14ac:dyDescent="0.25">
      <c r="A17" s="129" t="s">
        <v>2</v>
      </c>
      <c r="B17" s="129" t="s">
        <v>412</v>
      </c>
      <c r="C17" s="131" t="s">
        <v>413</v>
      </c>
      <c r="G17" s="120"/>
      <c r="H17" s="120"/>
      <c r="I17" s="120"/>
      <c r="J17" s="120"/>
      <c r="K17" s="120"/>
      <c r="L17" s="120"/>
    </row>
    <row r="18" spans="1:12" ht="14.25" customHeight="1" x14ac:dyDescent="0.25">
      <c r="A18" s="129" t="s">
        <v>414</v>
      </c>
      <c r="B18" s="129" t="s">
        <v>415</v>
      </c>
      <c r="C18" s="131" t="s">
        <v>416</v>
      </c>
      <c r="G18" s="128"/>
      <c r="H18" s="128"/>
      <c r="I18" s="128"/>
      <c r="J18" s="128"/>
      <c r="K18" s="128"/>
      <c r="L18" s="128"/>
    </row>
    <row r="19" spans="1:12" ht="14.25" customHeight="1" x14ac:dyDescent="0.25">
      <c r="A19" s="129" t="s">
        <v>0</v>
      </c>
      <c r="B19" s="129" t="s">
        <v>417</v>
      </c>
      <c r="C19" s="131" t="s">
        <v>418</v>
      </c>
      <c r="G19" s="128"/>
      <c r="H19" s="128"/>
      <c r="I19" s="128"/>
      <c r="J19" s="128"/>
      <c r="K19" s="128"/>
      <c r="L19" s="128"/>
    </row>
    <row r="20" spans="1:12" ht="14.25" customHeight="1" x14ac:dyDescent="0.25">
      <c r="A20" s="129" t="s">
        <v>7</v>
      </c>
      <c r="B20" s="129" t="s">
        <v>419</v>
      </c>
      <c r="C20" s="131" t="s">
        <v>420</v>
      </c>
      <c r="G20" s="128"/>
      <c r="H20" s="128"/>
      <c r="I20" s="128"/>
      <c r="J20" s="128"/>
      <c r="K20" s="128"/>
      <c r="L20" s="128"/>
    </row>
    <row r="21" spans="1:12" ht="14.25" customHeight="1" x14ac:dyDescent="0.25">
      <c r="A21" s="129" t="s">
        <v>421</v>
      </c>
      <c r="B21" s="129" t="s">
        <v>422</v>
      </c>
      <c r="C21" s="131" t="s">
        <v>423</v>
      </c>
      <c r="G21" s="120"/>
      <c r="H21" s="120"/>
      <c r="I21" s="120"/>
      <c r="J21" s="120"/>
      <c r="K21" s="120"/>
      <c r="L21" s="120"/>
    </row>
    <row r="22" spans="1:12" ht="14.25" customHeight="1" x14ac:dyDescent="0.25">
      <c r="A22" s="129" t="s">
        <v>12</v>
      </c>
      <c r="B22" s="129" t="s">
        <v>424</v>
      </c>
      <c r="C22" s="131" t="s">
        <v>425</v>
      </c>
      <c r="G22" s="120"/>
      <c r="H22" s="120"/>
      <c r="I22" s="120"/>
      <c r="J22" s="120"/>
      <c r="K22" s="120"/>
      <c r="L22" s="120"/>
    </row>
    <row r="23" spans="1:12" ht="14.25" customHeight="1" x14ac:dyDescent="0.25">
      <c r="A23" s="129" t="s">
        <v>426</v>
      </c>
      <c r="B23" s="129" t="s">
        <v>427</v>
      </c>
      <c r="C23" s="131" t="s">
        <v>428</v>
      </c>
      <c r="G23" s="120"/>
      <c r="H23" s="120"/>
      <c r="I23" s="120"/>
      <c r="J23" s="120"/>
      <c r="K23" s="120"/>
      <c r="L23" s="120"/>
    </row>
    <row r="24" spans="1:12" ht="14.25" customHeight="1" x14ac:dyDescent="0.25">
      <c r="A24" s="129" t="s">
        <v>429</v>
      </c>
      <c r="B24" s="129" t="s">
        <v>430</v>
      </c>
      <c r="C24" s="131" t="s">
        <v>431</v>
      </c>
      <c r="G24" s="120"/>
      <c r="H24" s="120"/>
      <c r="I24" s="120"/>
      <c r="J24" s="120"/>
      <c r="K24" s="120"/>
      <c r="L24" s="120"/>
    </row>
  </sheetData>
  <mergeCells count="1">
    <mergeCell ref="F2:L2"/>
  </mergeCells>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C9" sqref="C9"/>
    </sheetView>
  </sheetViews>
  <sheetFormatPr defaultColWidth="40" defaultRowHeight="15.75" customHeight="1" x14ac:dyDescent="0.25"/>
  <cols>
    <col min="1" max="1" width="14.83203125" style="39" bestFit="1" customWidth="1"/>
    <col min="2" max="2" width="40" style="39"/>
    <col min="3" max="3" width="44" style="138" customWidth="1"/>
    <col min="4" max="4" width="12.83203125" style="39" bestFit="1" customWidth="1"/>
    <col min="5" max="5" width="13.5" style="39" bestFit="1" customWidth="1"/>
    <col min="6" max="6" width="14" style="39" bestFit="1" customWidth="1"/>
    <col min="7" max="7" width="40" style="39"/>
    <col min="8" max="8" width="40" style="103"/>
    <col min="9" max="16384" width="40" style="39"/>
  </cols>
  <sheetData>
    <row r="1" spans="1:12" s="98" customFormat="1" ht="15.75" customHeight="1" x14ac:dyDescent="0.25">
      <c r="A1" s="97" t="s">
        <v>46</v>
      </c>
      <c r="B1" s="210" t="s">
        <v>15</v>
      </c>
      <c r="C1" s="136" t="s">
        <v>47</v>
      </c>
      <c r="D1" s="211" t="s">
        <v>137</v>
      </c>
      <c r="E1" s="97" t="s">
        <v>215</v>
      </c>
      <c r="F1" s="210" t="s">
        <v>1271</v>
      </c>
      <c r="G1" s="97" t="s">
        <v>9</v>
      </c>
      <c r="H1" s="210"/>
      <c r="I1" s="94" t="s">
        <v>282</v>
      </c>
      <c r="J1" s="208" t="b">
        <v>0</v>
      </c>
    </row>
    <row r="2" spans="1:12" s="49" customFormat="1" ht="15.75" customHeight="1" x14ac:dyDescent="0.25">
      <c r="A2" s="114" t="s">
        <v>456</v>
      </c>
      <c r="B2" s="155" t="s">
        <v>455</v>
      </c>
      <c r="C2" s="155" t="s">
        <v>204</v>
      </c>
      <c r="D2" s="155" t="s">
        <v>453</v>
      </c>
      <c r="E2" s="48"/>
      <c r="F2" s="388" t="s">
        <v>381</v>
      </c>
      <c r="G2" s="389"/>
      <c r="H2" s="389"/>
      <c r="I2" s="390"/>
      <c r="J2" s="72"/>
    </row>
    <row r="3" spans="1:12" s="49" customFormat="1" ht="15.75" customHeight="1" x14ac:dyDescent="0.25">
      <c r="A3" s="155" t="s">
        <v>495</v>
      </c>
      <c r="B3" s="155" t="s">
        <v>452</v>
      </c>
      <c r="C3" s="155" t="s">
        <v>382</v>
      </c>
      <c r="D3" s="155" t="s">
        <v>454</v>
      </c>
      <c r="E3" s="48"/>
      <c r="F3" s="118" t="s">
        <v>382</v>
      </c>
      <c r="G3" s="119"/>
      <c r="H3" s="119"/>
      <c r="I3" s="119"/>
      <c r="J3" s="72"/>
    </row>
    <row r="4" spans="1:12" s="53" customFormat="1" ht="15.75" customHeight="1" x14ac:dyDescent="0.25">
      <c r="A4" s="38" t="s">
        <v>6</v>
      </c>
      <c r="B4" s="38" t="s">
        <v>215</v>
      </c>
      <c r="C4" s="68" t="s">
        <v>9</v>
      </c>
      <c r="D4" s="51" t="s">
        <v>48</v>
      </c>
      <c r="E4" s="52" t="s">
        <v>383</v>
      </c>
      <c r="F4" s="120" t="s">
        <v>380</v>
      </c>
      <c r="G4" s="119"/>
      <c r="H4" s="119"/>
      <c r="I4" s="119"/>
      <c r="J4" s="54"/>
    </row>
    <row r="5" spans="1:12" ht="15.75" customHeight="1" x14ac:dyDescent="0.25">
      <c r="A5" s="102" t="s">
        <v>162</v>
      </c>
      <c r="B5" s="102" t="s">
        <v>61</v>
      </c>
      <c r="C5" s="137" t="s">
        <v>77</v>
      </c>
      <c r="D5" s="102"/>
      <c r="E5" s="102"/>
      <c r="F5"/>
      <c r="G5" s="119"/>
      <c r="H5" s="119"/>
      <c r="I5" s="119"/>
      <c r="J5" s="102"/>
      <c r="K5" s="102"/>
      <c r="L5" s="100"/>
    </row>
    <row r="6" spans="1:12" ht="15.75" customHeight="1" x14ac:dyDescent="0.25">
      <c r="A6" s="102" t="s">
        <v>163</v>
      </c>
      <c r="B6" s="102" t="s">
        <v>62</v>
      </c>
      <c r="C6" s="137" t="s">
        <v>78</v>
      </c>
      <c r="D6" s="102"/>
      <c r="E6" s="102"/>
      <c r="F6"/>
      <c r="G6" s="119"/>
      <c r="H6" s="119"/>
      <c r="I6" s="119"/>
      <c r="J6" s="102"/>
      <c r="K6" s="102"/>
      <c r="L6" s="100"/>
    </row>
    <row r="7" spans="1:12" ht="15.75" customHeight="1" x14ac:dyDescent="0.25">
      <c r="A7" s="102" t="s">
        <v>164</v>
      </c>
      <c r="B7" s="102" t="s">
        <v>165</v>
      </c>
      <c r="C7" s="137" t="s">
        <v>79</v>
      </c>
      <c r="D7" s="102"/>
      <c r="E7" s="102"/>
      <c r="F7"/>
      <c r="G7" s="119"/>
      <c r="H7" s="119"/>
      <c r="I7" s="119"/>
      <c r="J7" s="102"/>
      <c r="K7" s="102"/>
      <c r="L7" s="100"/>
    </row>
    <row r="8" spans="1:12" ht="15.75" customHeight="1" x14ac:dyDescent="0.25">
      <c r="A8" s="102" t="s">
        <v>166</v>
      </c>
      <c r="B8" s="102" t="s">
        <v>167</v>
      </c>
      <c r="C8" s="137" t="s">
        <v>80</v>
      </c>
      <c r="D8" s="102"/>
      <c r="E8" s="102"/>
      <c r="F8"/>
      <c r="G8" s="119"/>
      <c r="H8" s="119"/>
      <c r="I8" s="119"/>
      <c r="J8" s="102"/>
      <c r="K8" s="102"/>
      <c r="L8" s="100"/>
    </row>
    <row r="9" spans="1:12" ht="15.75" customHeight="1" x14ac:dyDescent="0.25">
      <c r="A9" s="102" t="s">
        <v>168</v>
      </c>
      <c r="B9" s="102" t="s">
        <v>169</v>
      </c>
      <c r="C9" s="137" t="s">
        <v>81</v>
      </c>
      <c r="D9" s="102"/>
      <c r="E9" s="102"/>
      <c r="F9" s="102"/>
      <c r="G9" s="119"/>
      <c r="H9" s="119"/>
      <c r="I9" s="119"/>
      <c r="J9" s="102"/>
      <c r="K9" s="102"/>
      <c r="L9" s="100"/>
    </row>
    <row r="10" spans="1:12" ht="15.75" customHeight="1" x14ac:dyDescent="0.25">
      <c r="A10" s="102" t="s">
        <v>170</v>
      </c>
      <c r="B10" s="102" t="s">
        <v>171</v>
      </c>
      <c r="C10" s="137" t="s">
        <v>82</v>
      </c>
      <c r="D10" s="102"/>
      <c r="E10" s="102"/>
      <c r="F10" s="102"/>
      <c r="G10" s="119"/>
      <c r="H10" s="119"/>
      <c r="I10" s="119"/>
      <c r="J10" s="102"/>
      <c r="K10" s="102"/>
      <c r="L10" s="100"/>
    </row>
    <row r="11" spans="1:12" ht="15.75" customHeight="1" x14ac:dyDescent="0.25">
      <c r="A11" s="102" t="s">
        <v>172</v>
      </c>
      <c r="B11" s="102" t="s">
        <v>173</v>
      </c>
      <c r="C11" s="137" t="s">
        <v>83</v>
      </c>
      <c r="D11" s="102"/>
      <c r="E11" s="102"/>
      <c r="F11" s="102"/>
      <c r="G11" s="119"/>
      <c r="H11" s="119"/>
      <c r="I11" s="119"/>
      <c r="J11" s="102"/>
      <c r="K11" s="102"/>
      <c r="L11" s="100"/>
    </row>
    <row r="12" spans="1:12" ht="15.75" customHeight="1" x14ac:dyDescent="0.25">
      <c r="A12" s="102" t="s">
        <v>174</v>
      </c>
      <c r="B12" s="102" t="s">
        <v>175</v>
      </c>
      <c r="C12" s="137" t="s">
        <v>84</v>
      </c>
      <c r="D12" s="102"/>
      <c r="E12" s="102"/>
      <c r="F12" s="102"/>
      <c r="G12" s="119"/>
      <c r="H12" s="119"/>
      <c r="I12" s="119"/>
      <c r="J12" s="102"/>
      <c r="K12" s="102"/>
      <c r="L12" s="100"/>
    </row>
    <row r="13" spans="1:12" ht="15.75" customHeight="1" x14ac:dyDescent="0.25">
      <c r="A13" s="102" t="s">
        <v>176</v>
      </c>
      <c r="B13" s="102" t="s">
        <v>177</v>
      </c>
      <c r="C13" s="137" t="s">
        <v>85</v>
      </c>
      <c r="D13" s="102"/>
      <c r="E13" s="102"/>
      <c r="F13" s="102"/>
      <c r="G13" s="119"/>
      <c r="H13" s="119"/>
      <c r="I13" s="119"/>
      <c r="J13" s="102"/>
      <c r="K13" s="102"/>
      <c r="L13" s="100"/>
    </row>
    <row r="14" spans="1:12" ht="15.75" customHeight="1" x14ac:dyDescent="0.25">
      <c r="A14" s="102" t="s">
        <v>178</v>
      </c>
      <c r="B14" s="102" t="s">
        <v>75</v>
      </c>
      <c r="C14" s="137" t="s">
        <v>86</v>
      </c>
      <c r="D14" s="102"/>
      <c r="E14" s="102"/>
      <c r="F14" s="102"/>
      <c r="G14" s="119"/>
      <c r="H14" s="119"/>
      <c r="I14" s="119"/>
      <c r="J14" s="102"/>
      <c r="K14" s="102"/>
      <c r="L14" s="100"/>
    </row>
    <row r="15" spans="1:12" ht="15.75" customHeight="1" x14ac:dyDescent="0.25">
      <c r="A15" s="102" t="s">
        <v>179</v>
      </c>
      <c r="B15" s="102" t="s">
        <v>76</v>
      </c>
      <c r="C15" s="137" t="s">
        <v>87</v>
      </c>
      <c r="D15" s="102"/>
      <c r="E15" s="102"/>
      <c r="F15" s="102"/>
      <c r="G15" s="119"/>
      <c r="H15" s="119"/>
      <c r="I15" s="119"/>
      <c r="J15" s="102"/>
      <c r="K15" s="102"/>
      <c r="L15" s="100"/>
    </row>
    <row r="16" spans="1:12" ht="15.75" customHeight="1" x14ac:dyDescent="0.25">
      <c r="A16" s="102" t="s">
        <v>180</v>
      </c>
      <c r="B16" s="102" t="s">
        <v>88</v>
      </c>
      <c r="C16" s="137" t="s">
        <v>91</v>
      </c>
      <c r="D16" s="102"/>
      <c r="E16" s="102"/>
      <c r="F16" s="102"/>
      <c r="G16" s="119"/>
      <c r="H16" s="119"/>
      <c r="I16" s="119"/>
      <c r="J16" s="102"/>
      <c r="K16" s="102"/>
      <c r="L16" s="100"/>
    </row>
    <row r="17" spans="1:12" ht="15.75" customHeight="1" x14ac:dyDescent="0.25">
      <c r="A17" s="102" t="s">
        <v>181</v>
      </c>
      <c r="B17" s="102" t="s">
        <v>89</v>
      </c>
      <c r="C17" s="137" t="s">
        <v>92</v>
      </c>
      <c r="D17" s="102"/>
      <c r="E17" s="102"/>
      <c r="F17" s="102"/>
      <c r="G17" s="119"/>
      <c r="H17" s="119"/>
      <c r="I17" s="119"/>
      <c r="J17" s="102"/>
      <c r="K17" s="102"/>
      <c r="L17" s="100"/>
    </row>
    <row r="18" spans="1:12" ht="15.75" customHeight="1" x14ac:dyDescent="0.25">
      <c r="A18" s="102" t="s">
        <v>182</v>
      </c>
      <c r="B18" s="102" t="s">
        <v>90</v>
      </c>
      <c r="C18" s="137" t="s">
        <v>93</v>
      </c>
      <c r="D18" s="102"/>
      <c r="E18" s="102"/>
      <c r="F18" s="102"/>
      <c r="G18" s="119"/>
      <c r="H18" s="119"/>
      <c r="I18" s="119"/>
      <c r="J18" s="102"/>
      <c r="K18" s="102"/>
      <c r="L18" s="100"/>
    </row>
    <row r="19" spans="1:12" ht="15.75" customHeight="1" x14ac:dyDescent="0.25">
      <c r="A19" s="102" t="s">
        <v>63</v>
      </c>
      <c r="B19" s="102" t="s">
        <v>183</v>
      </c>
      <c r="C19" s="137" t="s">
        <v>64</v>
      </c>
      <c r="D19" s="102"/>
      <c r="E19" s="102"/>
      <c r="F19" s="102"/>
      <c r="G19" s="119"/>
      <c r="H19" s="119"/>
      <c r="I19" s="119"/>
      <c r="J19" s="102"/>
      <c r="K19" s="102"/>
      <c r="L19" s="100"/>
    </row>
    <row r="20" spans="1:12" ht="15.75" customHeight="1" x14ac:dyDescent="0.25">
      <c r="A20" s="102" t="s">
        <v>65</v>
      </c>
      <c r="B20" s="102" t="s">
        <v>66</v>
      </c>
      <c r="C20" s="137" t="s">
        <v>64</v>
      </c>
      <c r="D20" s="102"/>
      <c r="E20" s="102"/>
      <c r="F20" s="102"/>
      <c r="G20" s="119"/>
      <c r="H20" s="119"/>
      <c r="I20" s="119"/>
      <c r="J20" s="102"/>
      <c r="K20" s="102"/>
      <c r="L20" s="100"/>
    </row>
    <row r="21" spans="1:12" ht="15.75" customHeight="1" x14ac:dyDescent="0.25">
      <c r="A21" s="102" t="s">
        <v>67</v>
      </c>
      <c r="B21" s="102" t="s">
        <v>23</v>
      </c>
      <c r="C21" s="137" t="s">
        <v>64</v>
      </c>
      <c r="D21" s="102"/>
      <c r="E21" s="102"/>
      <c r="F21" s="102"/>
      <c r="G21" s="119"/>
      <c r="H21" s="119"/>
      <c r="I21" s="119"/>
      <c r="J21" s="102"/>
      <c r="K21" s="102"/>
      <c r="L21" s="100"/>
    </row>
    <row r="22" spans="1:12" ht="15.75" customHeight="1" x14ac:dyDescent="0.25">
      <c r="A22" s="102" t="s">
        <v>68</v>
      </c>
      <c r="B22" s="102" t="s">
        <v>24</v>
      </c>
      <c r="C22" s="137" t="s">
        <v>64</v>
      </c>
      <c r="D22" s="102"/>
      <c r="E22" s="102"/>
      <c r="F22" s="102"/>
      <c r="G22" s="119"/>
      <c r="H22" s="119"/>
      <c r="I22" s="119"/>
      <c r="J22" s="102"/>
      <c r="K22" s="102"/>
      <c r="L22" s="100"/>
    </row>
    <row r="23" spans="1:12" ht="15.75" customHeight="1" x14ac:dyDescent="0.25">
      <c r="A23" s="102" t="s">
        <v>69</v>
      </c>
      <c r="B23" s="102" t="s">
        <v>70</v>
      </c>
      <c r="C23" s="137" t="s">
        <v>64</v>
      </c>
      <c r="D23" s="102"/>
      <c r="E23" s="102"/>
      <c r="F23" s="102"/>
      <c r="G23" s="119"/>
      <c r="H23" s="119"/>
      <c r="I23" s="119"/>
      <c r="J23" s="102"/>
      <c r="K23" s="102"/>
      <c r="L23" s="100"/>
    </row>
    <row r="24" spans="1:12" ht="15.75" customHeight="1" x14ac:dyDescent="0.25">
      <c r="A24" s="102" t="s">
        <v>71</v>
      </c>
      <c r="B24" s="102" t="s">
        <v>72</v>
      </c>
      <c r="C24" s="137" t="s">
        <v>64</v>
      </c>
      <c r="D24" s="102"/>
      <c r="E24" s="102"/>
      <c r="F24" s="102"/>
      <c r="G24" s="119"/>
      <c r="H24" s="119"/>
      <c r="I24" s="119"/>
      <c r="J24" s="102"/>
      <c r="K24" s="102"/>
      <c r="L24" s="100"/>
    </row>
    <row r="25" spans="1:12" ht="15.75" customHeight="1" x14ac:dyDescent="0.25">
      <c r="A25" s="102" t="s">
        <v>73</v>
      </c>
      <c r="B25" s="102" t="s">
        <v>74</v>
      </c>
      <c r="C25" s="137" t="s">
        <v>64</v>
      </c>
      <c r="D25" s="102"/>
      <c r="E25" s="102"/>
      <c r="F25" s="102"/>
      <c r="G25" s="119"/>
      <c r="H25" s="119"/>
      <c r="I25" s="119"/>
      <c r="J25" s="102"/>
      <c r="K25" s="102"/>
      <c r="L25" s="100"/>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D1" sqref="D1"/>
    </sheetView>
  </sheetViews>
  <sheetFormatPr defaultColWidth="21.6640625" defaultRowHeight="15" x14ac:dyDescent="0.2"/>
  <cols>
    <col min="1" max="1" width="15" style="77" bestFit="1" customWidth="1"/>
    <col min="2" max="2" width="23.83203125" style="77" bestFit="1" customWidth="1"/>
    <col min="3" max="3" width="26" style="77" customWidth="1"/>
    <col min="4" max="4" width="21.6640625" style="77" bestFit="1" customWidth="1"/>
    <col min="5" max="5" width="13.5" style="77" bestFit="1" customWidth="1"/>
    <col min="6" max="6" width="16.5" style="77" bestFit="1" customWidth="1"/>
    <col min="7" max="7" width="13" style="77" bestFit="1" customWidth="1"/>
    <col min="8" max="8" width="17.6640625" style="77" bestFit="1" customWidth="1"/>
    <col min="9" max="9" width="7.83203125" style="77" bestFit="1" customWidth="1"/>
    <col min="10" max="10" width="7.33203125" style="77" bestFit="1" customWidth="1"/>
    <col min="11" max="16384" width="21.6640625" style="77"/>
  </cols>
  <sheetData>
    <row r="1" spans="1:10" s="95" customFormat="1" x14ac:dyDescent="0.2">
      <c r="A1" s="94" t="s">
        <v>46</v>
      </c>
      <c r="B1" s="208" t="s">
        <v>15</v>
      </c>
      <c r="C1" s="96" t="s">
        <v>47</v>
      </c>
      <c r="D1" s="209" t="s">
        <v>469</v>
      </c>
      <c r="E1" s="94" t="s">
        <v>215</v>
      </c>
      <c r="F1" s="208" t="s">
        <v>1272</v>
      </c>
      <c r="G1" s="94" t="s">
        <v>9</v>
      </c>
      <c r="H1" s="208" t="s">
        <v>217</v>
      </c>
      <c r="I1" s="94" t="s">
        <v>282</v>
      </c>
      <c r="J1" s="208" t="b">
        <v>0</v>
      </c>
    </row>
    <row r="2" spans="1:10" s="72" customFormat="1" x14ac:dyDescent="0.2">
      <c r="A2" s="116" t="s">
        <v>456</v>
      </c>
      <c r="B2" s="166" t="s">
        <v>455</v>
      </c>
      <c r="C2" s="166" t="s">
        <v>204</v>
      </c>
      <c r="D2" s="166" t="s">
        <v>453</v>
      </c>
      <c r="E2" s="167"/>
      <c r="F2" s="388" t="s">
        <v>381</v>
      </c>
      <c r="G2" s="389"/>
      <c r="H2" s="389"/>
      <c r="I2" s="390"/>
    </row>
    <row r="3" spans="1:10" s="72" customFormat="1" x14ac:dyDescent="0.2">
      <c r="A3" s="155" t="s">
        <v>495</v>
      </c>
      <c r="B3" s="166" t="s">
        <v>452</v>
      </c>
      <c r="C3" s="166" t="s">
        <v>382</v>
      </c>
      <c r="D3" s="166" t="s">
        <v>454</v>
      </c>
      <c r="E3" s="167"/>
      <c r="F3" s="118" t="s">
        <v>382</v>
      </c>
      <c r="G3" s="168"/>
      <c r="H3" s="168"/>
      <c r="I3" s="168"/>
    </row>
    <row r="4" spans="1:10" s="65" customFormat="1" x14ac:dyDescent="0.2">
      <c r="A4" s="156" t="s">
        <v>6</v>
      </c>
      <c r="B4" s="156" t="s">
        <v>215</v>
      </c>
      <c r="C4" s="135" t="s">
        <v>9</v>
      </c>
      <c r="D4" s="169" t="s">
        <v>48</v>
      </c>
      <c r="E4" s="170" t="s">
        <v>383</v>
      </c>
      <c r="F4" s="120" t="s">
        <v>380</v>
      </c>
      <c r="G4" s="168"/>
      <c r="H4" s="168"/>
      <c r="I4" s="168"/>
      <c r="J4" s="66"/>
    </row>
    <row r="5" spans="1:10" ht="17.25" x14ac:dyDescent="0.25">
      <c r="A5" s="39">
        <v>0</v>
      </c>
      <c r="B5" s="39" t="s">
        <v>154</v>
      </c>
      <c r="C5" s="39" t="s">
        <v>504</v>
      </c>
    </row>
    <row r="6" spans="1:10" ht="17.25" x14ac:dyDescent="0.25">
      <c r="A6" s="39">
        <v>1</v>
      </c>
      <c r="B6" s="39" t="s">
        <v>155</v>
      </c>
      <c r="C6" s="39" t="s">
        <v>505</v>
      </c>
    </row>
    <row r="7" spans="1:10" x14ac:dyDescent="0.25">
      <c r="A7" s="39">
        <v>2</v>
      </c>
      <c r="B7" s="39" t="s">
        <v>156</v>
      </c>
      <c r="C7" s="39" t="s">
        <v>470</v>
      </c>
    </row>
    <row r="8" spans="1:10" x14ac:dyDescent="0.25">
      <c r="A8" s="39">
        <v>3</v>
      </c>
      <c r="B8" s="39" t="s">
        <v>157</v>
      </c>
      <c r="C8" s="39" t="s">
        <v>471</v>
      </c>
    </row>
    <row r="9" spans="1:10" ht="17.25" x14ac:dyDescent="0.25">
      <c r="A9" s="39">
        <v>4</v>
      </c>
      <c r="B9" s="39" t="s">
        <v>158</v>
      </c>
      <c r="C9" s="39" t="s">
        <v>506</v>
      </c>
    </row>
    <row r="10" spans="1:10" ht="17.25" x14ac:dyDescent="0.25">
      <c r="A10" s="39">
        <v>5</v>
      </c>
      <c r="B10" s="39" t="s">
        <v>159</v>
      </c>
      <c r="C10" s="39" t="s">
        <v>507</v>
      </c>
    </row>
    <row r="11" spans="1:10" ht="17.25" x14ac:dyDescent="0.25">
      <c r="A11" s="39">
        <v>6</v>
      </c>
      <c r="B11" s="39" t="s">
        <v>160</v>
      </c>
      <c r="C11" s="39" t="s">
        <v>508</v>
      </c>
    </row>
    <row r="12" spans="1:10" ht="17.25" x14ac:dyDescent="0.25">
      <c r="A12" s="39">
        <v>7</v>
      </c>
      <c r="B12" s="39" t="s">
        <v>472</v>
      </c>
      <c r="C12" s="39" t="s">
        <v>509</v>
      </c>
    </row>
    <row r="13" spans="1:10" ht="17.25" x14ac:dyDescent="0.25">
      <c r="A13" s="39">
        <v>8</v>
      </c>
      <c r="B13" s="39" t="s">
        <v>473</v>
      </c>
      <c r="C13" s="39" t="s">
        <v>510</v>
      </c>
    </row>
    <row r="14" spans="1:10" ht="17.25" x14ac:dyDescent="0.25">
      <c r="A14" s="39">
        <v>9</v>
      </c>
      <c r="B14" s="39" t="s">
        <v>161</v>
      </c>
      <c r="C14" s="39" t="s">
        <v>511</v>
      </c>
    </row>
    <row r="15" spans="1:10" ht="17.25" x14ac:dyDescent="0.25">
      <c r="A15" s="39">
        <v>10</v>
      </c>
      <c r="B15" s="39" t="s">
        <v>474</v>
      </c>
      <c r="C15" s="39" t="s">
        <v>512</v>
      </c>
    </row>
    <row r="16" spans="1:10" ht="17.25" x14ac:dyDescent="0.25">
      <c r="A16" s="39">
        <v>11</v>
      </c>
      <c r="B16" s="39" t="s">
        <v>475</v>
      </c>
      <c r="C16" s="39" t="s">
        <v>513</v>
      </c>
    </row>
    <row r="17" spans="1:3" ht="17.25" x14ac:dyDescent="0.25">
      <c r="A17" s="39">
        <v>12</v>
      </c>
      <c r="B17" s="39" t="s">
        <v>476</v>
      </c>
      <c r="C17" s="39" t="s">
        <v>514</v>
      </c>
    </row>
    <row r="18" spans="1:3" ht="17.25" x14ac:dyDescent="0.25">
      <c r="A18" s="39">
        <v>13</v>
      </c>
      <c r="B18" s="39" t="s">
        <v>477</v>
      </c>
      <c r="C18" s="39" t="s">
        <v>515</v>
      </c>
    </row>
    <row r="19" spans="1:3" ht="17.25" x14ac:dyDescent="0.25">
      <c r="A19" s="39">
        <v>14</v>
      </c>
      <c r="B19" s="39" t="s">
        <v>478</v>
      </c>
      <c r="C19" s="39" t="s">
        <v>516</v>
      </c>
    </row>
    <row r="20" spans="1:3" ht="17.25" x14ac:dyDescent="0.25">
      <c r="A20" s="39">
        <v>15</v>
      </c>
      <c r="B20" s="39" t="s">
        <v>479</v>
      </c>
      <c r="C20" s="39" t="s">
        <v>517</v>
      </c>
    </row>
    <row r="21" spans="1:3" ht="17.25" x14ac:dyDescent="0.25">
      <c r="A21" s="39">
        <v>-1</v>
      </c>
      <c r="B21" s="39" t="s">
        <v>480</v>
      </c>
      <c r="C21" s="39" t="s">
        <v>518</v>
      </c>
    </row>
    <row r="22" spans="1:3" ht="17.25" x14ac:dyDescent="0.25">
      <c r="A22" s="39">
        <v>-2</v>
      </c>
      <c r="B22" s="39" t="s">
        <v>481</v>
      </c>
      <c r="C22" s="39" t="s">
        <v>519</v>
      </c>
    </row>
    <row r="23" spans="1:3" ht="17.25" x14ac:dyDescent="0.25">
      <c r="A23" s="39">
        <v>-3</v>
      </c>
      <c r="B23" s="39" t="s">
        <v>467</v>
      </c>
      <c r="C23" s="39" t="s">
        <v>520</v>
      </c>
    </row>
    <row r="24" spans="1:3" ht="17.25" x14ac:dyDescent="0.25">
      <c r="A24" s="39">
        <v>-4</v>
      </c>
      <c r="B24" s="39" t="s">
        <v>482</v>
      </c>
      <c r="C24" s="39" t="s">
        <v>521</v>
      </c>
    </row>
    <row r="25" spans="1:3" ht="17.25" x14ac:dyDescent="0.25">
      <c r="A25" s="39">
        <v>-5</v>
      </c>
      <c r="B25" s="39" t="s">
        <v>483</v>
      </c>
      <c r="C25" s="39" t="s">
        <v>522</v>
      </c>
    </row>
    <row r="26" spans="1:3" ht="17.25" x14ac:dyDescent="0.25">
      <c r="A26" s="39">
        <v>-6</v>
      </c>
      <c r="B26" s="39" t="s">
        <v>484</v>
      </c>
      <c r="C26" s="39" t="s">
        <v>523</v>
      </c>
    </row>
    <row r="27" spans="1:3" ht="17.25" x14ac:dyDescent="0.25">
      <c r="A27" s="39">
        <v>-7</v>
      </c>
      <c r="B27" s="39" t="s">
        <v>485</v>
      </c>
      <c r="C27" s="39" t="s">
        <v>524</v>
      </c>
    </row>
    <row r="28" spans="1:3" ht="17.25" x14ac:dyDescent="0.25">
      <c r="A28" s="39">
        <v>-8</v>
      </c>
      <c r="B28" s="39" t="s">
        <v>486</v>
      </c>
      <c r="C28" s="39" t="s">
        <v>525</v>
      </c>
    </row>
    <row r="29" spans="1:3" ht="17.25" x14ac:dyDescent="0.25">
      <c r="A29" s="39">
        <v>-9</v>
      </c>
      <c r="B29" s="39" t="s">
        <v>487</v>
      </c>
      <c r="C29" s="39" t="s">
        <v>526</v>
      </c>
    </row>
    <row r="30" spans="1:3" ht="17.25" x14ac:dyDescent="0.25">
      <c r="A30" s="39">
        <v>-10</v>
      </c>
      <c r="B30" s="39" t="s">
        <v>488</v>
      </c>
      <c r="C30" s="39" t="s">
        <v>527</v>
      </c>
    </row>
    <row r="31" spans="1:3" ht="17.25" x14ac:dyDescent="0.25">
      <c r="A31" s="39">
        <v>-11</v>
      </c>
      <c r="B31" s="39" t="s">
        <v>489</v>
      </c>
      <c r="C31" s="39" t="s">
        <v>528</v>
      </c>
    </row>
    <row r="32" spans="1:3" ht="17.25" x14ac:dyDescent="0.25">
      <c r="A32" s="39">
        <v>-12</v>
      </c>
      <c r="B32" s="39" t="s">
        <v>490</v>
      </c>
      <c r="C32" s="39" t="s">
        <v>529</v>
      </c>
    </row>
    <row r="33" spans="1:3" ht="17.25" x14ac:dyDescent="0.25">
      <c r="A33" s="39">
        <v>-13</v>
      </c>
      <c r="B33" s="39" t="s">
        <v>491</v>
      </c>
      <c r="C33" s="39" t="s">
        <v>530</v>
      </c>
    </row>
    <row r="34" spans="1:3" ht="17.25" x14ac:dyDescent="0.25">
      <c r="A34" s="39">
        <v>-14</v>
      </c>
      <c r="B34" s="39" t="s">
        <v>492</v>
      </c>
      <c r="C34" s="39" t="s">
        <v>531</v>
      </c>
    </row>
    <row r="35" spans="1:3" ht="17.25" x14ac:dyDescent="0.25">
      <c r="A35" s="39">
        <v>-15</v>
      </c>
      <c r="B35" s="39" t="s">
        <v>493</v>
      </c>
      <c r="C35" s="39" t="s">
        <v>532</v>
      </c>
    </row>
  </sheetData>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J14"/>
  <sheetViews>
    <sheetView zoomScaleNormal="100" workbookViewId="0">
      <selection activeCell="J10" sqref="J10"/>
    </sheetView>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t="s">
        <v>15</v>
      </c>
      <c r="C1" s="99" t="s">
        <v>47</v>
      </c>
      <c r="D1" s="211" t="s">
        <v>137</v>
      </c>
      <c r="E1" s="97" t="s">
        <v>215</v>
      </c>
      <c r="F1" s="210" t="s">
        <v>560</v>
      </c>
      <c r="G1" s="97" t="s">
        <v>9</v>
      </c>
      <c r="H1" s="210" t="s">
        <v>561</v>
      </c>
      <c r="I1" s="94" t="s">
        <v>282</v>
      </c>
      <c r="J1" s="208" t="b">
        <v>0</v>
      </c>
    </row>
    <row r="2" spans="1:10" ht="15" x14ac:dyDescent="0.25">
      <c r="A2" s="173" t="s">
        <v>456</v>
      </c>
      <c r="B2" s="174" t="s">
        <v>455</v>
      </c>
      <c r="C2" s="174" t="s">
        <v>204</v>
      </c>
      <c r="D2" s="174" t="s">
        <v>453</v>
      </c>
      <c r="E2" s="172"/>
      <c r="F2" s="389" t="s">
        <v>381</v>
      </c>
      <c r="G2" s="389"/>
      <c r="H2" s="389"/>
      <c r="I2" s="390"/>
      <c r="J2" s="72"/>
    </row>
    <row r="3" spans="1:10" ht="15" x14ac:dyDescent="0.25">
      <c r="A3" s="175" t="s">
        <v>495</v>
      </c>
      <c r="B3" s="174" t="s">
        <v>452</v>
      </c>
      <c r="C3" s="174" t="s">
        <v>382</v>
      </c>
      <c r="D3" s="174" t="s">
        <v>454</v>
      </c>
      <c r="E3" s="172"/>
      <c r="F3" s="171" t="s">
        <v>382</v>
      </c>
      <c r="J3" s="72"/>
    </row>
    <row r="4" spans="1:10" s="141" customFormat="1" ht="15" x14ac:dyDescent="0.2">
      <c r="A4" s="67" t="s">
        <v>6</v>
      </c>
      <c r="B4" s="67" t="s">
        <v>215</v>
      </c>
      <c r="C4" s="68" t="s">
        <v>9</v>
      </c>
      <c r="D4" s="69" t="s">
        <v>48</v>
      </c>
      <c r="E4" s="70" t="s">
        <v>383</v>
      </c>
      <c r="F4" s="120" t="s">
        <v>380</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2:I2 F3: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election activeCell="E27" sqref="E27"/>
    </sheetView>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c r="C1" s="99" t="s">
        <v>47</v>
      </c>
      <c r="D1" s="211"/>
      <c r="E1" s="97" t="s">
        <v>215</v>
      </c>
      <c r="F1" s="210"/>
      <c r="G1" s="97" t="s">
        <v>9</v>
      </c>
      <c r="H1" s="210"/>
      <c r="I1" s="94" t="s">
        <v>282</v>
      </c>
      <c r="J1" s="208" t="b">
        <v>0</v>
      </c>
    </row>
    <row r="2" spans="1:10" ht="15" x14ac:dyDescent="0.25">
      <c r="A2" s="173" t="s">
        <v>456</v>
      </c>
      <c r="B2" s="174" t="s">
        <v>455</v>
      </c>
      <c r="C2" s="174" t="s">
        <v>204</v>
      </c>
      <c r="D2" s="174" t="s">
        <v>453</v>
      </c>
      <c r="E2" s="172"/>
      <c r="F2" s="389" t="s">
        <v>381</v>
      </c>
      <c r="G2" s="389"/>
      <c r="H2" s="389"/>
      <c r="I2" s="390"/>
      <c r="J2" s="72"/>
    </row>
    <row r="3" spans="1:10" ht="15" x14ac:dyDescent="0.25">
      <c r="A3" s="175" t="s">
        <v>495</v>
      </c>
      <c r="B3" s="174" t="s">
        <v>452</v>
      </c>
      <c r="C3" s="174" t="s">
        <v>382</v>
      </c>
      <c r="D3" s="174" t="s">
        <v>454</v>
      </c>
      <c r="E3" s="172"/>
      <c r="F3" s="171" t="s">
        <v>382</v>
      </c>
      <c r="J3" s="72"/>
    </row>
    <row r="4" spans="1:10" s="141" customFormat="1" ht="15" x14ac:dyDescent="0.2">
      <c r="A4" s="67" t="s">
        <v>6</v>
      </c>
      <c r="B4" s="67" t="s">
        <v>215</v>
      </c>
      <c r="C4" s="68" t="s">
        <v>9</v>
      </c>
      <c r="D4" s="69" t="s">
        <v>48</v>
      </c>
      <c r="E4" s="70" t="s">
        <v>383</v>
      </c>
      <c r="F4" s="120" t="s">
        <v>380</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21</vt:i4>
      </vt:variant>
    </vt:vector>
  </HeadingPairs>
  <TitlesOfParts>
    <vt:vector size="48" baseType="lpstr">
      <vt:lpstr>Generate SDMX &amp; Params</vt:lpstr>
      <vt:lpstr>Dropdowns</vt:lpstr>
      <vt:lpstr>How to use</vt:lpstr>
      <vt:lpstr>Indicator-Concept Matrix</vt:lpstr>
      <vt:lpstr>Concept Scheme</vt:lpstr>
      <vt:lpstr>CS with CL_REG</vt:lpstr>
      <vt:lpstr>DSDs</vt:lpstr>
      <vt:lpstr>Dataflows</vt:lpstr>
      <vt:lpstr>DSD-Concept Matrix</vt:lpstr>
      <vt:lpstr>Constraints</vt:lpstr>
      <vt:lpstr>CountDims</vt:lpstr>
      <vt:lpstr>XML_Fragments</vt:lpstr>
      <vt:lpstr>Constraints (2)</vt:lpstr>
      <vt:lpstr>DSD Matrix with CL_REG</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CL_AGGREGATION_OPERATION</vt:lpstr>
      <vt:lpstr>New CL Template</vt:lpstr>
      <vt:lpstr>'DSD Matrix with CL_REG'!ConAttrs</vt:lpstr>
      <vt:lpstr>'DSD Matrix with CL_REG'!ConAttrVals</vt:lpstr>
      <vt:lpstr>ConAttrVals</vt:lpstr>
      <vt:lpstr>'DSD Matrix with CL_REG'!ConDims</vt:lpstr>
      <vt:lpstr>ConDims</vt:lpstr>
      <vt:lpstr>'DSD Matrix with CL_REG'!ConDimVals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 Matrix with CL_REG'!DSDDimCount</vt:lpstr>
      <vt:lpstr>DSDDimCount</vt:lpstr>
      <vt:lpstr>'DSD Matrix with CL_REG'!DSDs</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2019-02-01T11:15:48Z</dcterms:modified>
</cp:coreProperties>
</file>